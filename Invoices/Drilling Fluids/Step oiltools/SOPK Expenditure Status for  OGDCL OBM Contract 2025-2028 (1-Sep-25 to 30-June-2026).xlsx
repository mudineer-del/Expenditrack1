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raishaque\Desktop\"/>
    </mc:Choice>
  </mc:AlternateContent>
  <xr:revisionPtr revIDLastSave="0" documentId="8_{BE4101DA-2471-49A2-9979-D0E0D25B90BC}" xr6:coauthVersionLast="47" xr6:coauthVersionMax="47" xr10:uidLastSave="{00000000-0000-0000-0000-000000000000}"/>
  <bookViews>
    <workbookView xWindow="-110" yWindow="-110" windowWidth="19420" windowHeight="10300" firstSheet="2" activeTab="2" xr2:uid="{EEF98AC4-8E94-484C-9B23-D164D42C438A}"/>
  </bookViews>
  <sheets>
    <sheet name="Summary" sheetId="6" state="hidden" r:id="rId1"/>
    <sheet name="EXP DETAILS Sep-23 to Aug -25" sheetId="5" state="hidden" r:id="rId2"/>
    <sheet name="Exp Details Sep-25 to June-26" sheetId="8" r:id="rId3"/>
    <sheet name="Additional Bugdet Working " sheetId="7" state="hidden" r:id="rId4"/>
  </sheets>
  <definedNames>
    <definedName name="_xlnm.Print_Area" localSheetId="1">'EXP DETAILS Sep-23 to Aug -25'!$A$1:$L$113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8" l="1"/>
  <c r="J47" i="8"/>
  <c r="K47" i="8"/>
  <c r="K46" i="8" l="1"/>
  <c r="K45" i="8"/>
  <c r="K44" i="8" l="1"/>
  <c r="K43" i="8" l="1"/>
  <c r="K42" i="8"/>
  <c r="K41" i="8"/>
  <c r="K40" i="8"/>
  <c r="K35" i="8"/>
  <c r="K55" i="8"/>
  <c r="H55" i="8"/>
  <c r="K39" i="8"/>
  <c r="J36" i="8" l="1"/>
  <c r="K36" i="8" s="1"/>
  <c r="J38" i="8"/>
  <c r="K38" i="8" s="1"/>
  <c r="J37" i="8"/>
  <c r="K37" i="8" s="1"/>
  <c r="K34" i="8"/>
  <c r="K33" i="8"/>
  <c r="K32" i="8" l="1"/>
  <c r="K31" i="8"/>
  <c r="K30" i="8"/>
  <c r="K27" i="8"/>
  <c r="J13" i="8" l="1"/>
  <c r="J14" i="8"/>
  <c r="K29" i="8"/>
  <c r="K28" i="8"/>
  <c r="G54" i="8" l="1"/>
  <c r="K26" i="8"/>
  <c r="K25" i="8"/>
  <c r="K24" i="8"/>
  <c r="J55" i="8"/>
  <c r="I55" i="8"/>
  <c r="K23" i="8"/>
  <c r="K22" i="8"/>
  <c r="K21" i="8"/>
  <c r="K20" i="8"/>
  <c r="K19" i="8"/>
  <c r="K18" i="8"/>
  <c r="K17" i="8"/>
  <c r="K16" i="8"/>
  <c r="K15" i="8"/>
  <c r="K14" i="8"/>
  <c r="K13" i="8"/>
  <c r="K12" i="8"/>
  <c r="K6" i="8"/>
  <c r="K5" i="8"/>
  <c r="G55" i="8" l="1"/>
  <c r="G8" i="6" l="1"/>
  <c r="G5" i="6"/>
  <c r="G6" i="6"/>
  <c r="F8" i="6"/>
  <c r="G7" i="6"/>
  <c r="L111" i="5"/>
  <c r="L110" i="5"/>
  <c r="J111" i="5"/>
  <c r="J110" i="5"/>
  <c r="K107" i="5"/>
  <c r="J107" i="5"/>
  <c r="J82" i="5" l="1"/>
  <c r="K82" i="5" s="1"/>
  <c r="J80" i="5" l="1"/>
  <c r="K80" i="5" s="1"/>
  <c r="K105" i="5" l="1"/>
  <c r="K104" i="5" l="1"/>
  <c r="K101" i="5"/>
  <c r="K102" i="5"/>
  <c r="K103" i="5"/>
  <c r="K100" i="5" l="1"/>
  <c r="K79" i="5" l="1"/>
  <c r="K106" i="5"/>
  <c r="K90" i="5"/>
  <c r="K89" i="5"/>
  <c r="K88" i="5"/>
  <c r="K87" i="5"/>
  <c r="K85" i="5"/>
  <c r="J96" i="5"/>
  <c r="K96" i="5" s="1"/>
  <c r="J81" i="5"/>
  <c r="K81" i="5" s="1"/>
  <c r="J73" i="5"/>
  <c r="K73" i="5" s="1"/>
  <c r="J74" i="5"/>
  <c r="K74" i="5" s="1"/>
  <c r="K75" i="5"/>
  <c r="K76" i="5"/>
  <c r="K97" i="5"/>
  <c r="K83" i="5"/>
  <c r="J77" i="5"/>
  <c r="K77" i="5" s="1"/>
  <c r="J78" i="5"/>
  <c r="K78" i="5" s="1"/>
  <c r="K84" i="5"/>
  <c r="K91" i="5"/>
  <c r="K92" i="5"/>
  <c r="K86" i="5"/>
  <c r="K98" i="5"/>
  <c r="J95" i="5" l="1"/>
  <c r="K95" i="5" s="1"/>
  <c r="K72" i="5"/>
  <c r="K71" i="5"/>
  <c r="K70" i="5"/>
  <c r="J68" i="5"/>
  <c r="K68" i="5" s="1"/>
  <c r="K67" i="5"/>
  <c r="K61" i="5"/>
  <c r="K66" i="5"/>
  <c r="K65" i="5"/>
  <c r="K94" i="5"/>
  <c r="K64" i="5"/>
  <c r="K62" i="5"/>
  <c r="K60" i="5"/>
  <c r="K59" i="5"/>
  <c r="K58" i="5"/>
  <c r="J27" i="5"/>
  <c r="J25" i="5"/>
  <c r="J26" i="5"/>
  <c r="K57" i="5"/>
  <c r="K56" i="5"/>
  <c r="J35" i="5"/>
  <c r="F7" i="6"/>
  <c r="I110" i="5" l="1"/>
  <c r="F26" i="7"/>
  <c r="E26" i="7"/>
  <c r="F23" i="7"/>
  <c r="F16" i="7"/>
  <c r="G16" i="7" s="1"/>
  <c r="F15" i="7"/>
  <c r="G15" i="7" s="1"/>
  <c r="G17" i="7" s="1"/>
  <c r="G13" i="7"/>
  <c r="G23" i="7"/>
  <c r="G19" i="7"/>
  <c r="G20" i="7"/>
  <c r="G21" i="7"/>
  <c r="G22" i="7"/>
  <c r="F22" i="7"/>
  <c r="F20" i="7"/>
  <c r="F21" i="7"/>
  <c r="F19" i="7"/>
  <c r="G7" i="7"/>
  <c r="F7" i="7"/>
  <c r="F13" i="7"/>
  <c r="F12" i="7"/>
  <c r="F11" i="7"/>
  <c r="F6" i="7"/>
  <c r="F5" i="7"/>
  <c r="G12" i="7"/>
  <c r="G11" i="7"/>
  <c r="G6" i="7"/>
  <c r="G5" i="7"/>
  <c r="F17" i="7" l="1"/>
  <c r="K69" i="5" l="1"/>
  <c r="K63" i="5" l="1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 l="1"/>
  <c r="K33" i="5"/>
  <c r="K35" i="5" l="1"/>
  <c r="K34" i="5" l="1"/>
  <c r="K32" i="5" l="1"/>
  <c r="K31" i="5" l="1"/>
  <c r="K29" i="5" l="1"/>
  <c r="K30" i="5" l="1"/>
  <c r="K38" i="5" l="1"/>
  <c r="K36" i="5"/>
  <c r="K37" i="5"/>
  <c r="K40" i="5"/>
  <c r="K39" i="5"/>
  <c r="K28" i="5"/>
  <c r="F4" i="6" l="1"/>
  <c r="K26" i="5"/>
  <c r="K27" i="5"/>
  <c r="K25" i="5"/>
  <c r="K24" i="5"/>
  <c r="K23" i="5"/>
  <c r="K22" i="5"/>
  <c r="K21" i="5"/>
  <c r="K20" i="5"/>
  <c r="K18" i="5"/>
  <c r="K17" i="5"/>
  <c r="K16" i="5"/>
  <c r="K15" i="5"/>
  <c r="K14" i="5"/>
  <c r="K13" i="5"/>
  <c r="K12" i="5"/>
  <c r="K19" i="5" l="1"/>
  <c r="K11" i="5" l="1"/>
  <c r="G4" i="6" l="1"/>
  <c r="I111" i="5"/>
</calcChain>
</file>

<file path=xl/sharedStrings.xml><?xml version="1.0" encoding="utf-8"?>
<sst xmlns="http://schemas.openxmlformats.org/spreadsheetml/2006/main" count="899" uniqueCount="346">
  <si>
    <t>Description</t>
  </si>
  <si>
    <t>Currency Code</t>
  </si>
  <si>
    <t>Amount W/O GST</t>
  </si>
  <si>
    <t>Amount Including GST</t>
  </si>
  <si>
    <t>USD</t>
  </si>
  <si>
    <t xml:space="preserve">TOTAL </t>
  </si>
  <si>
    <t>Sr. No.</t>
  </si>
  <si>
    <t xml:space="preserve">Invoice Date </t>
  </si>
  <si>
    <t xml:space="preserve">Payment Received </t>
  </si>
  <si>
    <t>Invoices submitted to  OGDCL</t>
  </si>
  <si>
    <t>Invoices submitted &amp; paid by OGDCL</t>
  </si>
  <si>
    <t>Payment Status</t>
  </si>
  <si>
    <t>TOTAL EXPENDITURE</t>
  </si>
  <si>
    <t xml:space="preserve">Sr. No. </t>
  </si>
  <si>
    <t>Total Amount (USD) without GST</t>
  </si>
  <si>
    <t>Total Amount (USD) with GST</t>
  </si>
  <si>
    <t>Actual Contract Value(Sep 2023-Aug-2025)</t>
  </si>
  <si>
    <t>Extended Budget cost</t>
  </si>
  <si>
    <t xml:space="preserve">Remaining cost </t>
  </si>
  <si>
    <t xml:space="preserve">Services </t>
  </si>
  <si>
    <t xml:space="preserve">Well-ID </t>
  </si>
  <si>
    <t xml:space="preserve">Period </t>
  </si>
  <si>
    <t>Cost USD (Without GST)</t>
  </si>
  <si>
    <t>Cost USD (With  GST)</t>
  </si>
  <si>
    <t xml:space="preserve">CDFR </t>
  </si>
  <si>
    <t xml:space="preserve">Gulgolot X-1 </t>
  </si>
  <si>
    <t xml:space="preserve">A . </t>
  </si>
  <si>
    <t xml:space="preserve">OBM Cuttings Transportation </t>
  </si>
  <si>
    <t xml:space="preserve">Estimated Volume </t>
  </si>
  <si>
    <t xml:space="preserve">BarakhZai-1 </t>
  </si>
  <si>
    <t xml:space="preserve">B </t>
  </si>
  <si>
    <t xml:space="preserve">OBM Transportation </t>
  </si>
  <si>
    <t>Others (To &amp; Fro ) OGDCL Sites</t>
  </si>
  <si>
    <t xml:space="preserve">C </t>
  </si>
  <si>
    <t xml:space="preserve">Bioremediation </t>
  </si>
  <si>
    <t xml:space="preserve">1000 tons </t>
  </si>
  <si>
    <t xml:space="preserve">D </t>
  </si>
  <si>
    <t xml:space="preserve">A + B+ C +D </t>
  </si>
  <si>
    <t xml:space="preserve">Without GST </t>
  </si>
  <si>
    <t xml:space="preserve">With GST </t>
  </si>
  <si>
    <t>Baragzai-1</t>
  </si>
  <si>
    <t>June-Aug 2025 (Section 17.5' &amp; 12.24')</t>
  </si>
  <si>
    <t>Jun-Aug 2025</t>
  </si>
  <si>
    <t xml:space="preserve">3000 tons </t>
  </si>
  <si>
    <t>BetaniDeep-1 to Baragzai-1</t>
  </si>
  <si>
    <t xml:space="preserve">400m3 </t>
  </si>
  <si>
    <t xml:space="preserve">Batch 12( Biosite Nashpa-4) </t>
  </si>
  <si>
    <t xml:space="preserve">4044 tons </t>
  </si>
  <si>
    <t>June-Aug 2025</t>
  </si>
  <si>
    <t>Wali-1</t>
  </si>
  <si>
    <t xml:space="preserve">6000 tons </t>
  </si>
  <si>
    <t>Jun-July  2025</t>
  </si>
  <si>
    <t xml:space="preserve">1000 m3 </t>
  </si>
  <si>
    <t>Total Budget cost (current)</t>
  </si>
  <si>
    <t xml:space="preserve">USD </t>
  </si>
  <si>
    <t xml:space="preserve">Invoice sent. Payment not received yet. </t>
  </si>
  <si>
    <t xml:space="preserve">SUMMARY </t>
  </si>
  <si>
    <t>SOPK   EXPENDITURE DETAILS  AGAINST CONTRACT OGDCL SCM SERVICES -CB-DF-206292973-4600000272-2023  FROM 1-Sep- 2023 TO 31st Aug -2025</t>
  </si>
  <si>
    <t>Expenditure  up till 31- Aug , 2025</t>
  </si>
  <si>
    <t>SOPK   EXPENDITURE DETAILS  AGAINST CONTRACT OGDCL SCM SERVICES -CB-DF-206292973-4600000272-2023  FROM 1-Sep- 2023 TO 31-Aug -2025</t>
  </si>
  <si>
    <t>Total booked expenditure  till date 31-Aug-2025)</t>
  </si>
  <si>
    <t>Location</t>
  </si>
  <si>
    <t>Service Description</t>
  </si>
  <si>
    <t>Tenure</t>
  </si>
  <si>
    <t xml:space="preserve">Invoice No. </t>
  </si>
  <si>
    <t>068-2023</t>
  </si>
  <si>
    <t>Togh-2</t>
  </si>
  <si>
    <t>OBM Cuttings Transportation</t>
  </si>
  <si>
    <t>069-2023</t>
  </si>
  <si>
    <t>Chanda-7 to Togh-2</t>
  </si>
  <si>
    <t>OBM Transportation</t>
  </si>
  <si>
    <t>073-2023</t>
  </si>
  <si>
    <t>078-2023</t>
  </si>
  <si>
    <t>079-2023</t>
  </si>
  <si>
    <t xml:space="preserve">Chanda-7 </t>
  </si>
  <si>
    <t>080-2023</t>
  </si>
  <si>
    <t>Chanda-7</t>
  </si>
  <si>
    <t xml:space="preserve">Mud Storage Tanks </t>
  </si>
  <si>
    <t>Sep-Nov 2023</t>
  </si>
  <si>
    <t>081-2023</t>
  </si>
  <si>
    <t>Togh-2 to Togh plant</t>
  </si>
  <si>
    <t>082-2023</t>
  </si>
  <si>
    <t>Cuttings Dryer Fluid Recovery (CDFR) System</t>
  </si>
  <si>
    <t>017-2024</t>
  </si>
  <si>
    <t>022-2024</t>
  </si>
  <si>
    <t>Bioremediation of OBM Cuttings- Batch-7</t>
  </si>
  <si>
    <t>Bioremediation of OBM Cuttings- Batch-8</t>
  </si>
  <si>
    <t>023-2024</t>
  </si>
  <si>
    <t>024-2024</t>
  </si>
  <si>
    <t>Nashpa-11(Waste Pit)</t>
  </si>
  <si>
    <t>Chanda-7 (Waste pit)</t>
  </si>
  <si>
    <t>025-2024</t>
  </si>
  <si>
    <t>Dec 2023 &amp; Jan 2024</t>
  </si>
  <si>
    <t>026-2024</t>
  </si>
  <si>
    <t>Chanda-7 to Togh Plant</t>
  </si>
  <si>
    <t>Nov-Dec 2023</t>
  </si>
  <si>
    <t>027-2024</t>
  </si>
  <si>
    <t>028-2024</t>
  </si>
  <si>
    <t xml:space="preserve"> Feb &amp; March  2024</t>
  </si>
  <si>
    <t>034-2024</t>
  </si>
  <si>
    <t xml:space="preserve"> Feb-Apr 2024</t>
  </si>
  <si>
    <t>051-2024</t>
  </si>
  <si>
    <t>Bettani-2</t>
  </si>
  <si>
    <t>Togh Plant to Bettani-2</t>
  </si>
  <si>
    <t>Togh plant to Bettani  Deep-1</t>
  </si>
  <si>
    <t>March-April 2024</t>
  </si>
  <si>
    <t>April-May 2024</t>
  </si>
  <si>
    <t>Bettani Deep-1</t>
  </si>
  <si>
    <t>052-2024</t>
  </si>
  <si>
    <t>053-2024</t>
  </si>
  <si>
    <t>054-2024</t>
  </si>
  <si>
    <t>Bettani-2 to Bettani Deep-1</t>
  </si>
  <si>
    <t>055-2024</t>
  </si>
  <si>
    <t>Nashpa-11</t>
  </si>
  <si>
    <t>058-2024</t>
  </si>
  <si>
    <t>March-May  2024</t>
  </si>
  <si>
    <t>059-2024</t>
  </si>
  <si>
    <t xml:space="preserve"> Apr-May  2024</t>
  </si>
  <si>
    <t>060-2024</t>
  </si>
  <si>
    <t>bettani Deep-1(Wali-1)</t>
  </si>
  <si>
    <t>061-2024</t>
  </si>
  <si>
    <t xml:space="preserve">Togh plant </t>
  </si>
  <si>
    <t>Sep 2023-Apr 2024</t>
  </si>
  <si>
    <t>062-2024</t>
  </si>
  <si>
    <t xml:space="preserve">Sughri North-1 </t>
  </si>
  <si>
    <t>063-2024</t>
  </si>
  <si>
    <t>Cuttings Dryer Fluid Recovery (CDFR) System &amp; OBM Storage Tanks</t>
  </si>
  <si>
    <t>066-2024</t>
  </si>
  <si>
    <t>JUL &amp; AUG 2024</t>
  </si>
  <si>
    <t>075-2024</t>
  </si>
  <si>
    <t>077-2025</t>
  </si>
  <si>
    <t>Sep</t>
  </si>
  <si>
    <t>078-2024</t>
  </si>
  <si>
    <t>Jul-Sept 2024</t>
  </si>
  <si>
    <t>079-2024</t>
  </si>
  <si>
    <t>Bioremediation of OBM Cuttings- Batch-1</t>
  </si>
  <si>
    <t>106-2024</t>
  </si>
  <si>
    <t>Tolgh-2</t>
  </si>
  <si>
    <t>Bioremediation of OBM Cuttings- Batch-9</t>
  </si>
  <si>
    <t>107-2024</t>
  </si>
  <si>
    <t>108-2024</t>
  </si>
  <si>
    <t>109-2024</t>
  </si>
  <si>
    <t>110-2024</t>
  </si>
  <si>
    <t>117-2024</t>
  </si>
  <si>
    <t>oct-Nov 2024</t>
  </si>
  <si>
    <t>118-2024</t>
  </si>
  <si>
    <t>Sep-Nov 2024</t>
  </si>
  <si>
    <t>119-2024</t>
  </si>
  <si>
    <t>Chanda-7(WBM Pit)</t>
  </si>
  <si>
    <t>120-2024</t>
  </si>
  <si>
    <t>Aug-Oct 2024</t>
  </si>
  <si>
    <t>May-Jun 2024</t>
  </si>
  <si>
    <t>121-2024</t>
  </si>
  <si>
    <t>Bettani-2 to Sughri North-1</t>
  </si>
  <si>
    <t>122-2024</t>
  </si>
  <si>
    <t>Togh plant to Bettani Deep-1</t>
  </si>
  <si>
    <t>Sept- Oct 2024</t>
  </si>
  <si>
    <t>123-2024</t>
  </si>
  <si>
    <t>Bettani Deep-1 to Sughri North-1</t>
  </si>
  <si>
    <t>124-2024</t>
  </si>
  <si>
    <t xml:space="preserve">Sughri North-1 to Togh plant </t>
  </si>
  <si>
    <t>125-2024</t>
  </si>
  <si>
    <t>126-2024</t>
  </si>
  <si>
    <t>Bettani Deep-1 to Bettani-2</t>
  </si>
  <si>
    <t>127-2024</t>
  </si>
  <si>
    <t>128-2024</t>
  </si>
  <si>
    <t>Jun-Jul 2024</t>
  </si>
  <si>
    <t>129-2024</t>
  </si>
  <si>
    <t>Jun-Nov 2024</t>
  </si>
  <si>
    <t>132-2024</t>
  </si>
  <si>
    <t>Bitani Deep-1 to Sughri North-1</t>
  </si>
  <si>
    <t>133-2024</t>
  </si>
  <si>
    <t>015-2025</t>
  </si>
  <si>
    <t xml:space="preserve"> Dec  2024 &amp; Jan 2025</t>
  </si>
  <si>
    <t>Sughri North-1</t>
  </si>
  <si>
    <t xml:space="preserve">Cuttings Dryer Fluid Recovery (CDFR) System </t>
  </si>
  <si>
    <t>Bioremediation of OBM Cuttings- Batch-10</t>
  </si>
  <si>
    <t>WALI-1</t>
  </si>
  <si>
    <t>017-2025</t>
  </si>
  <si>
    <t>016-2025</t>
  </si>
  <si>
    <t>018-2025</t>
  </si>
  <si>
    <t>019-2025</t>
  </si>
  <si>
    <t>020-2025</t>
  </si>
  <si>
    <t>Bioremediation of OBM Cuttings- Batch-2</t>
  </si>
  <si>
    <t>021-2025</t>
  </si>
  <si>
    <t>022-2025</t>
  </si>
  <si>
    <t xml:space="preserve">Togh Plant </t>
  </si>
  <si>
    <t>023-2025</t>
  </si>
  <si>
    <t>Nov 2024 to Jan 2025</t>
  </si>
  <si>
    <t>025-2025</t>
  </si>
  <si>
    <t>Nashpa X-5(Waste Pit)</t>
  </si>
  <si>
    <t>052-2025</t>
  </si>
  <si>
    <t>Jan-Mar 2025</t>
  </si>
  <si>
    <t>053-2025</t>
  </si>
  <si>
    <t>Feb-Apr  2025</t>
  </si>
  <si>
    <t>054-2025</t>
  </si>
  <si>
    <t xml:space="preserve">Bettani Deep-1 to Togh plant </t>
  </si>
  <si>
    <t>FEB-MAR 2025</t>
  </si>
  <si>
    <t>055-2025</t>
  </si>
  <si>
    <t>Jan- Mar 2025</t>
  </si>
  <si>
    <t>056-2025</t>
  </si>
  <si>
    <t>April-May  2025</t>
  </si>
  <si>
    <t>057-2025</t>
  </si>
  <si>
    <t>Feb-May 2025</t>
  </si>
  <si>
    <t>058-2025</t>
  </si>
  <si>
    <t>Jan-Feb 2025</t>
  </si>
  <si>
    <t>070-2025</t>
  </si>
  <si>
    <t>Bioremediation of OBM Cuttings- Batch-11</t>
  </si>
  <si>
    <t>073-2025</t>
  </si>
  <si>
    <t>074-2025</t>
  </si>
  <si>
    <t>Sughri North-1 to Baragzai-1</t>
  </si>
  <si>
    <t>075-2025</t>
  </si>
  <si>
    <t>078-2025</t>
  </si>
  <si>
    <t>Togh Plant to Baragzai-1</t>
  </si>
  <si>
    <t>April-May 2025</t>
  </si>
  <si>
    <t>079-2025</t>
  </si>
  <si>
    <t>Bettani Deep-1 to Bragzai-1</t>
  </si>
  <si>
    <t xml:space="preserve"> April  2025</t>
  </si>
  <si>
    <t>087-2025</t>
  </si>
  <si>
    <t>May &amp; June  2025</t>
  </si>
  <si>
    <t>024-2025</t>
  </si>
  <si>
    <t>(Aug-Sept 2024</t>
  </si>
  <si>
    <t>067-2025</t>
  </si>
  <si>
    <t>Bioremediation of OBM Cuttings -Batch-3</t>
  </si>
  <si>
    <t>080-2025</t>
  </si>
  <si>
    <t>072-2025</t>
  </si>
  <si>
    <t>071-2025</t>
  </si>
  <si>
    <t>076-2025</t>
  </si>
  <si>
    <t xml:space="preserve"> Dec-2024- July 2025</t>
  </si>
  <si>
    <t xml:space="preserve"> April-May 2025</t>
  </si>
  <si>
    <t>091-2025</t>
  </si>
  <si>
    <t>092-2025</t>
  </si>
  <si>
    <t>Gurgalot-1</t>
  </si>
  <si>
    <t>093-2025</t>
  </si>
  <si>
    <t>Bettani Deep-1 to Gurgalot-1</t>
  </si>
  <si>
    <t>094-2025</t>
  </si>
  <si>
    <t>Baragzai-1 to Gurgaot-1</t>
  </si>
  <si>
    <t>096-2025</t>
  </si>
  <si>
    <t>bettani Deep-1</t>
  </si>
  <si>
    <t>102-2025</t>
  </si>
  <si>
    <t>103-2025</t>
  </si>
  <si>
    <t>July &amp; Aug 2025</t>
  </si>
  <si>
    <t>104-2025</t>
  </si>
  <si>
    <t>121-2025</t>
  </si>
  <si>
    <t>081-2025</t>
  </si>
  <si>
    <t>Jul-Aug 2025</t>
  </si>
  <si>
    <t>124-2025</t>
  </si>
  <si>
    <t>125-2025</t>
  </si>
  <si>
    <t>Baragzai-1 to Gurgalot-1</t>
  </si>
  <si>
    <t>122-2025</t>
  </si>
  <si>
    <t>Bioremediation of OBM Cuttings -Batch-12</t>
  </si>
  <si>
    <t>123-2025</t>
  </si>
  <si>
    <t xml:space="preserve">Nashpa X-5 </t>
  </si>
  <si>
    <t>127-2025</t>
  </si>
  <si>
    <t>128-2025</t>
  </si>
  <si>
    <t>129-2025</t>
  </si>
  <si>
    <t>Bargzai-1</t>
  </si>
  <si>
    <t>Mar-May 2025</t>
  </si>
  <si>
    <t>005-2026</t>
  </si>
  <si>
    <t>006-2026</t>
  </si>
  <si>
    <t>Togh plant</t>
  </si>
  <si>
    <t xml:space="preserve">Cleaning &amp; Washing of Tanks </t>
  </si>
  <si>
    <t xml:space="preserve">Invoices not paid yet </t>
  </si>
  <si>
    <t>Invoice No.</t>
  </si>
  <si>
    <t xml:space="preserve">Location </t>
  </si>
  <si>
    <t xml:space="preserve">Tenure </t>
  </si>
  <si>
    <t>117-2025</t>
  </si>
  <si>
    <t>120-2025</t>
  </si>
  <si>
    <t xml:space="preserve">Baragzai-1 </t>
  </si>
  <si>
    <t>133-2025</t>
  </si>
  <si>
    <t xml:space="preserve">Gurgalot-1 </t>
  </si>
  <si>
    <t>134-2025</t>
  </si>
  <si>
    <t xml:space="preserve">Bettani Deep-1 </t>
  </si>
  <si>
    <t>135-2025</t>
  </si>
  <si>
    <t xml:space="preserve"> Bettani Deep-1 to Togh plant</t>
  </si>
  <si>
    <t>Sep-Oct 2025</t>
  </si>
  <si>
    <t>136-2025</t>
  </si>
  <si>
    <t xml:space="preserve">Bettani Deep-1 to Gurgalot-1 </t>
  </si>
  <si>
    <t>137-2025</t>
  </si>
  <si>
    <t xml:space="preserve">Togh Plant to Gurgalot-1 </t>
  </si>
  <si>
    <t>138-2025</t>
  </si>
  <si>
    <t xml:space="preserve">Gurgalot-1 to Togh Plant </t>
  </si>
  <si>
    <t>139-2025</t>
  </si>
  <si>
    <t>140-2025</t>
  </si>
  <si>
    <t xml:space="preserve">Bioremediation of OBM Cuttings- Batch-12 </t>
  </si>
  <si>
    <t>141-2025</t>
  </si>
  <si>
    <t>142-2025</t>
  </si>
  <si>
    <t>143-2025</t>
  </si>
  <si>
    <t xml:space="preserve">Cuttings Dryer Fluid Recovery (CDFR) System &amp; Tanks </t>
  </si>
  <si>
    <t>150-2025</t>
  </si>
  <si>
    <t>151-2025- OGDCL  INVOICE  OBM TRANS -   Gurgalot  TO togh plant   November  25</t>
  </si>
  <si>
    <t>151-2205</t>
  </si>
  <si>
    <t>152-2025</t>
  </si>
  <si>
    <t xml:space="preserve">Baragzai-1 to Gurgalot-1 </t>
  </si>
  <si>
    <t>Oct-Nov 2025</t>
  </si>
  <si>
    <t>153-2025</t>
  </si>
  <si>
    <t xml:space="preserve">Baragzai-1  to Togh Plant </t>
  </si>
  <si>
    <t>155-2025</t>
  </si>
  <si>
    <t>002-2026</t>
  </si>
  <si>
    <t>003-2026</t>
  </si>
  <si>
    <t>004-2026</t>
  </si>
  <si>
    <t>007-2026</t>
  </si>
  <si>
    <t>Nov-Dec 2025</t>
  </si>
  <si>
    <t>008-2026</t>
  </si>
  <si>
    <t>009-2026</t>
  </si>
  <si>
    <t xml:space="preserve">Payment received </t>
  </si>
  <si>
    <t xml:space="preserve">Payment is pending </t>
  </si>
  <si>
    <t xml:space="preserve">Total Amount With GST </t>
  </si>
  <si>
    <t xml:space="preserve">Total Amount Witout  GST </t>
  </si>
  <si>
    <t>010-2026</t>
  </si>
  <si>
    <t>OnSite Bioremediation of OBM Cuttings(Batch-1)</t>
  </si>
  <si>
    <t>Sep-Dec 2025</t>
  </si>
  <si>
    <t>O18-2026</t>
  </si>
  <si>
    <t>019-2026</t>
  </si>
  <si>
    <t>020-2026</t>
  </si>
  <si>
    <t>O21-2026</t>
  </si>
  <si>
    <t>024-2026</t>
  </si>
  <si>
    <t>031-2026</t>
  </si>
  <si>
    <t>O25-2026</t>
  </si>
  <si>
    <t>Feb &amp; Mar 2026</t>
  </si>
  <si>
    <t>Bioremediation of OBM Cuttings- Batch-13</t>
  </si>
  <si>
    <t>Dec- 25 to Feb -2026</t>
  </si>
  <si>
    <t xml:space="preserve">Bragzai-1 </t>
  </si>
  <si>
    <t>035-2026</t>
  </si>
  <si>
    <t xml:space="preserve">Betani Deep-1 </t>
  </si>
  <si>
    <t>Invoices yet to be paid by  OGDC</t>
  </si>
  <si>
    <t>Invoices yet not submitted to OGDC</t>
  </si>
  <si>
    <t>Invoices submitted &amp; paid by OGDC</t>
  </si>
  <si>
    <t>Invoices submitted to  OGDC</t>
  </si>
  <si>
    <t>039-2026</t>
  </si>
  <si>
    <t>040-2026</t>
  </si>
  <si>
    <t>041-2026</t>
  </si>
  <si>
    <t>043-2026</t>
  </si>
  <si>
    <t>044-2026</t>
  </si>
  <si>
    <t>045-2026</t>
  </si>
  <si>
    <t>046-2026</t>
  </si>
  <si>
    <t>O47-2026</t>
  </si>
  <si>
    <t>Apr-May -26</t>
  </si>
  <si>
    <t>SOPK   EXPENDITURE DETAILS  AGAINST CONTRACT OGDCL-SCM SERVICES-CB-DF-DOC288082970-2025   FROM 1-Sept, 2025 TO 30th June, 2026</t>
  </si>
  <si>
    <t>O48-2026</t>
  </si>
  <si>
    <t>To be invoiced</t>
  </si>
  <si>
    <t>Togh Plant to Ghari X2</t>
  </si>
  <si>
    <t>O49-2026</t>
  </si>
  <si>
    <t>050-2026</t>
  </si>
  <si>
    <t>.</t>
  </si>
  <si>
    <t>Expenditure  up till       30- June 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</si>
</sst>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s&quot;* #,##0.00_-;\-&quot;Rs&quot;* #,##0.00_-;_-&quot;Rs&quot;* &quot;-&quot;??_-;_-@_-"/>
    <numFmt numFmtId="43" formatCode="_-* #,##0.00_-;\-* #,##0.00_-;_-* &quot;-&quot;??_-;_-@_-"/>
    <numFmt numFmtId="164" formatCode="_(* #,##0.00_);_(* \(#,##0.00\);_(* &quot;-&quot;??_);_(@_)"/>
    <numFmt numFmtId="165" formatCode="_-[$$-409]* #,##0.00_ ;_-[$$-409]* \-#,##0.00\ ;_-[$$-409]* &quot;-&quot;??_ ;_-@_ "/>
    <numFmt numFmtId="166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0"/>
      <name val="MS Sans Serif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</font>
    <font>
      <b/>
      <sz val="16"/>
      <color rgb="FF4F7F4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rgb="FF4F7F49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name val="Arial"/>
      <family val="2"/>
    </font>
    <font>
      <b/>
      <sz val="18"/>
      <color rgb="FFFF0000"/>
      <name val="Arial"/>
      <family val="2"/>
    </font>
    <font>
      <b/>
      <sz val="18"/>
      <color rgb="FF000000"/>
      <name val="Arial"/>
      <family val="2"/>
    </font>
    <font>
      <b/>
      <sz val="1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F7F4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/>
    <xf numFmtId="0" fontId="1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>
      <alignment vertical="center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43" fontId="13" fillId="0" borderId="0" applyFont="0" applyFill="0" applyBorder="0" applyAlignment="0" applyProtection="0"/>
    <xf numFmtId="0" fontId="2" fillId="0" borderId="0"/>
    <xf numFmtId="0" fontId="1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/>
    <xf numFmtId="44" fontId="2" fillId="0" borderId="0" applyFont="0" applyFill="0" applyBorder="0" applyAlignment="0" applyProtection="0"/>
  </cellStyleXfs>
  <cellXfs count="17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/>
    <xf numFmtId="164" fontId="3" fillId="2" borderId="0" xfId="4" applyFont="1" applyFill="1" applyAlignment="1">
      <alignment horizontal="center"/>
    </xf>
    <xf numFmtId="0" fontId="3" fillId="2" borderId="2" xfId="0" applyFont="1" applyFill="1" applyBorder="1"/>
    <xf numFmtId="0" fontId="3" fillId="2" borderId="0" xfId="0" applyFont="1" applyFill="1" applyAlignment="1">
      <alignment vertical="center" wrapText="1"/>
    </xf>
    <xf numFmtId="164" fontId="3" fillId="2" borderId="0" xfId="4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164" fontId="7" fillId="5" borderId="1" xfId="4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4" fontId="9" fillId="3" borderId="1" xfId="4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11" fillId="2" borderId="0" xfId="0" applyFont="1" applyFill="1"/>
    <xf numFmtId="0" fontId="12" fillId="2" borderId="0" xfId="0" applyFont="1" applyFill="1"/>
    <xf numFmtId="0" fontId="14" fillId="6" borderId="1" xfId="0" applyFont="1" applyFill="1" applyBorder="1" applyAlignment="1">
      <alignment horizontal="center" vertical="center" wrapText="1"/>
    </xf>
    <xf numFmtId="15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164" fontId="14" fillId="6" borderId="1" xfId="4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/>
    <xf numFmtId="0" fontId="0" fillId="6" borderId="1" xfId="0" applyFill="1" applyBorder="1"/>
    <xf numFmtId="43" fontId="0" fillId="6" borderId="1" xfId="28" applyFont="1" applyFill="1" applyBorder="1"/>
    <xf numFmtId="0" fontId="0" fillId="6" borderId="1" xfId="0" applyFill="1" applyBorder="1" applyAlignment="1">
      <alignment wrapText="1"/>
    </xf>
    <xf numFmtId="43" fontId="0" fillId="6" borderId="1" xfId="28" applyFont="1" applyFill="1" applyBorder="1" applyAlignment="1">
      <alignment wrapText="1"/>
    </xf>
    <xf numFmtId="0" fontId="0" fillId="6" borderId="1" xfId="0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43" fontId="15" fillId="6" borderId="1" xfId="28" applyFont="1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43" fontId="15" fillId="2" borderId="1" xfId="28" applyFont="1" applyFill="1" applyBorder="1" applyAlignment="1">
      <alignment wrapText="1"/>
    </xf>
    <xf numFmtId="0" fontId="0" fillId="2" borderId="0" xfId="0" applyFill="1"/>
    <xf numFmtId="0" fontId="0" fillId="7" borderId="1" xfId="0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43" fontId="0" fillId="7" borderId="1" xfId="28" applyFont="1" applyFill="1" applyBorder="1" applyAlignment="1">
      <alignment wrapText="1"/>
    </xf>
    <xf numFmtId="0" fontId="15" fillId="7" borderId="1" xfId="0" applyFont="1" applyFill="1" applyBorder="1"/>
    <xf numFmtId="0" fontId="15" fillId="7" borderId="1" xfId="0" applyFont="1" applyFill="1" applyBorder="1" applyAlignment="1">
      <alignment horizontal="center" vertical="center"/>
    </xf>
    <xf numFmtId="43" fontId="15" fillId="7" borderId="1" xfId="0" applyNumberFormat="1" applyFont="1" applyFill="1" applyBorder="1"/>
    <xf numFmtId="0" fontId="15" fillId="0" borderId="0" xfId="0" applyFont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166" fontId="0" fillId="8" borderId="1" xfId="28" applyNumberFormat="1" applyFont="1" applyFill="1" applyBorder="1"/>
    <xf numFmtId="43" fontId="0" fillId="8" borderId="1" xfId="0" applyNumberFormat="1" applyFill="1" applyBorder="1"/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/>
    <xf numFmtId="43" fontId="15" fillId="8" borderId="1" xfId="0" applyNumberFormat="1" applyFont="1" applyFill="1" applyBorder="1"/>
    <xf numFmtId="0" fontId="0" fillId="9" borderId="1" xfId="0" applyFill="1" applyBorder="1" applyAlignment="1">
      <alignment horizontal="center" vertical="center"/>
    </xf>
    <xf numFmtId="0" fontId="0" fillId="10" borderId="1" xfId="0" applyFill="1" applyBorder="1"/>
    <xf numFmtId="0" fontId="16" fillId="10" borderId="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/>
    <xf numFmtId="0" fontId="15" fillId="3" borderId="0" xfId="0" applyFont="1" applyFill="1" applyAlignment="1">
      <alignment horizontal="center" vertical="center"/>
    </xf>
    <xf numFmtId="0" fontId="15" fillId="3" borderId="0" xfId="0" applyFont="1" applyFill="1"/>
    <xf numFmtId="43" fontId="15" fillId="3" borderId="0" xfId="0" applyNumberFormat="1" applyFont="1" applyFill="1"/>
    <xf numFmtId="43" fontId="0" fillId="0" borderId="0" xfId="0" applyNumberFormat="1"/>
    <xf numFmtId="164" fontId="0" fillId="10" borderId="1" xfId="4" applyFont="1" applyFill="1" applyBorder="1"/>
    <xf numFmtId="164" fontId="15" fillId="10" borderId="1" xfId="4" applyFont="1" applyFill="1" applyBorder="1"/>
    <xf numFmtId="164" fontId="0" fillId="8" borderId="1" xfId="4" applyFont="1" applyFill="1" applyBorder="1"/>
    <xf numFmtId="0" fontId="19" fillId="0" borderId="0" xfId="0" applyFont="1"/>
    <xf numFmtId="0" fontId="18" fillId="6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5" fontId="19" fillId="3" borderId="1" xfId="4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1" xfId="36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165" fontId="19" fillId="0" borderId="1" xfId="4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1" fillId="2" borderId="0" xfId="0" applyFont="1" applyFill="1"/>
    <xf numFmtId="0" fontId="14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4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top" wrapText="1"/>
    </xf>
    <xf numFmtId="164" fontId="14" fillId="6" borderId="1" xfId="0" applyNumberFormat="1" applyFont="1" applyFill="1" applyBorder="1" applyAlignment="1">
      <alignment horizontal="center" vertical="center" wrapText="1"/>
    </xf>
    <xf numFmtId="165" fontId="19" fillId="0" borderId="0" xfId="0" applyNumberFormat="1" applyFont="1"/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9" fillId="2" borderId="0" xfId="4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2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7" fontId="14" fillId="6" borderId="1" xfId="0" applyNumberFormat="1" applyFont="1" applyFill="1" applyBorder="1" applyAlignment="1">
      <alignment horizontal="left" vertical="top" wrapText="1"/>
    </xf>
    <xf numFmtId="17" fontId="14" fillId="6" borderId="1" xfId="0" applyNumberFormat="1" applyFont="1" applyFill="1" applyBorder="1" applyAlignment="1">
      <alignment horizontal="left" vertical="center" wrapText="1"/>
    </xf>
    <xf numFmtId="17" fontId="3" fillId="3" borderId="1" xfId="0" applyNumberFormat="1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15" fontId="14" fillId="11" borderId="1" xfId="0" applyNumberFormat="1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17" fontId="14" fillId="11" borderId="1" xfId="0" applyNumberFormat="1" applyFont="1" applyFill="1" applyBorder="1" applyAlignment="1">
      <alignment horizontal="left" vertical="center" wrapText="1"/>
    </xf>
    <xf numFmtId="164" fontId="14" fillId="11" borderId="1" xfId="4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165" fontId="24" fillId="4" borderId="1" xfId="0" applyNumberFormat="1" applyFont="1" applyFill="1" applyBorder="1" applyAlignment="1">
      <alignment horizontal="center" vertical="center" wrapText="1"/>
    </xf>
    <xf numFmtId="165" fontId="24" fillId="4" borderId="1" xfId="4" applyNumberFormat="1" applyFont="1" applyFill="1" applyBorder="1" applyAlignment="1">
      <alignment horizontal="center" vertical="center" wrapText="1"/>
    </xf>
    <xf numFmtId="4" fontId="24" fillId="4" borderId="1" xfId="0" applyNumberFormat="1" applyFont="1" applyFill="1" applyBorder="1" applyAlignment="1">
      <alignment horizontal="center" vertical="center" wrapText="1"/>
    </xf>
    <xf numFmtId="165" fontId="25" fillId="4" borderId="1" xfId="0" applyNumberFormat="1" applyFont="1" applyFill="1" applyBorder="1" applyAlignment="1">
      <alignment horizontal="center" vertical="center"/>
    </xf>
    <xf numFmtId="165" fontId="25" fillId="4" borderId="1" xfId="4" applyNumberFormat="1" applyFont="1" applyFill="1" applyBorder="1" applyAlignment="1">
      <alignment horizontal="center" vertical="center"/>
    </xf>
    <xf numFmtId="4" fontId="24" fillId="4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 wrapText="1"/>
    </xf>
    <xf numFmtId="164" fontId="26" fillId="5" borderId="1" xfId="4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40" fontId="27" fillId="2" borderId="1" xfId="2" applyFont="1" applyFill="1" applyBorder="1" applyAlignment="1">
      <alignment horizontal="right" vertical="center"/>
    </xf>
    <xf numFmtId="40" fontId="27" fillId="4" borderId="1" xfId="2" applyFont="1" applyFill="1" applyBorder="1" applyAlignment="1">
      <alignment horizontal="right" vertical="center"/>
    </xf>
    <xf numFmtId="0" fontId="28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164" fontId="27" fillId="2" borderId="0" xfId="4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165" fontId="27" fillId="3" borderId="1" xfId="0" applyNumberFormat="1" applyFont="1" applyFill="1" applyBorder="1" applyAlignment="1">
      <alignment horizontal="center" vertical="center" wrapText="1"/>
    </xf>
    <xf numFmtId="165" fontId="27" fillId="3" borderId="1" xfId="4" applyNumberFormat="1" applyFont="1" applyFill="1" applyBorder="1" applyAlignment="1">
      <alignment horizontal="center" vertical="center" wrapText="1"/>
    </xf>
    <xf numFmtId="165" fontId="29" fillId="3" borderId="1" xfId="0" applyNumberFormat="1" applyFont="1" applyFill="1" applyBorder="1" applyAlignment="1">
      <alignment horizontal="center" vertical="center"/>
    </xf>
    <xf numFmtId="165" fontId="29" fillId="3" borderId="1" xfId="4" applyNumberFormat="1" applyFont="1" applyFill="1" applyBorder="1" applyAlignment="1">
      <alignment horizontal="center" vertical="center"/>
    </xf>
    <xf numFmtId="165" fontId="27" fillId="3" borderId="1" xfId="36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15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17" fontId="27" fillId="2" borderId="1" xfId="0" applyNumberFormat="1" applyFont="1" applyFill="1" applyBorder="1" applyAlignment="1">
      <alignment horizontal="left" vertical="top" wrapText="1"/>
    </xf>
    <xf numFmtId="164" fontId="27" fillId="2" borderId="1" xfId="4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top" wrapText="1"/>
    </xf>
    <xf numFmtId="0" fontId="27" fillId="2" borderId="1" xfId="0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 wrapText="1"/>
    </xf>
    <xf numFmtId="15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17" fontId="27" fillId="0" borderId="1" xfId="0" applyNumberFormat="1" applyFont="1" applyBorder="1" applyAlignment="1">
      <alignment horizontal="left" vertical="center" wrapText="1"/>
    </xf>
    <xf numFmtId="164" fontId="27" fillId="0" borderId="1" xfId="4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15" fontId="27" fillId="4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left" vertical="center" wrapText="1"/>
    </xf>
    <xf numFmtId="17" fontId="27" fillId="4" borderId="1" xfId="0" applyNumberFormat="1" applyFont="1" applyFill="1" applyBorder="1" applyAlignment="1">
      <alignment horizontal="left" vertical="center" wrapText="1"/>
    </xf>
    <xf numFmtId="164" fontId="27" fillId="4" borderId="1" xfId="4" applyFont="1" applyFill="1" applyBorder="1" applyAlignment="1">
      <alignment horizontal="center" vertical="center" wrapText="1"/>
    </xf>
    <xf numFmtId="17" fontId="27" fillId="2" borderId="1" xfId="0" applyNumberFormat="1" applyFont="1" applyFill="1" applyBorder="1" applyAlignment="1">
      <alignment horizontal="left" vertical="center" wrapText="1"/>
    </xf>
    <xf numFmtId="4" fontId="27" fillId="2" borderId="1" xfId="0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right" vertical="center" wrapText="1"/>
    </xf>
    <xf numFmtId="164" fontId="27" fillId="4" borderId="1" xfId="4" applyFont="1" applyFill="1" applyBorder="1" applyAlignment="1">
      <alignment horizontal="right" vertical="center" wrapText="1"/>
    </xf>
    <xf numFmtId="164" fontId="27" fillId="2" borderId="1" xfId="4" applyFont="1" applyFill="1" applyBorder="1" applyAlignment="1">
      <alignment horizontal="right" vertical="center" wrapText="1"/>
    </xf>
    <xf numFmtId="0" fontId="27" fillId="4" borderId="1" xfId="0" applyFont="1" applyFill="1" applyBorder="1"/>
    <xf numFmtId="0" fontId="28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164" fontId="27" fillId="4" borderId="1" xfId="4" applyFont="1" applyFill="1" applyBorder="1" applyAlignment="1">
      <alignment horizontal="center" vertical="center"/>
    </xf>
    <xf numFmtId="0" fontId="27" fillId="2" borderId="0" xfId="0" applyFont="1" applyFill="1"/>
    <xf numFmtId="165" fontId="28" fillId="3" borderId="1" xfId="0" applyNumberFormat="1" applyFont="1" applyFill="1" applyBorder="1"/>
    <xf numFmtId="165" fontId="28" fillId="3" borderId="1" xfId="36" applyNumberFormat="1" applyFont="1" applyFill="1" applyBorder="1" applyAlignment="1">
      <alignment horizontal="center" vertical="center"/>
    </xf>
    <xf numFmtId="164" fontId="27" fillId="2" borderId="0" xfId="4" applyFont="1" applyFill="1" applyAlignment="1">
      <alignment horizontal="center"/>
    </xf>
  </cellXfs>
  <cellStyles count="37">
    <cellStyle name="Comma" xfId="4" builtinId="3"/>
    <cellStyle name="Comma 2" xfId="2" xr:uid="{9E60F11C-0B9C-4855-B4E5-D8DE5FC02359}"/>
    <cellStyle name="Comma 2 2" xfId="28" xr:uid="{9ADE7CA0-17BF-43CA-AD3D-0080F8512CD7}"/>
    <cellStyle name="Comma 2 3" xfId="7" xr:uid="{E8F807D4-D9E4-42DE-A17D-E21A437EDAD3}"/>
    <cellStyle name="Comma 3" xfId="11" xr:uid="{BBCFAD1A-8486-4FC0-BDA9-67A59444D5F3}"/>
    <cellStyle name="Comma 3 2" xfId="31" xr:uid="{98824FE9-A056-47C8-B1B5-77459C3F3F0F}"/>
    <cellStyle name="Comma 4" xfId="24" xr:uid="{AE83A631-76AC-4F03-B168-3D416457AE9C}"/>
    <cellStyle name="Comma 5" xfId="21" xr:uid="{6C046156-1BB7-4196-A096-89F338986EF6}"/>
    <cellStyle name="Currency" xfId="36" builtinId="4"/>
    <cellStyle name="Normal" xfId="0" builtinId="0"/>
    <cellStyle name="Normal 10" xfId="19" xr:uid="{878F2908-37ED-44A5-9D69-A89618CA6778}"/>
    <cellStyle name="Normal 11" xfId="16" xr:uid="{FCA0A755-D7CC-4DA5-9DCB-0F68DB743255}"/>
    <cellStyle name="Normal 2" xfId="1" xr:uid="{D97F4E1F-8C4A-4D8B-8216-5AEE98DCDAF9}"/>
    <cellStyle name="Normal 2 2" xfId="26" xr:uid="{DB10D39C-3F08-46BE-A9CC-730043EE4AA8}"/>
    <cellStyle name="Normal 2 3" xfId="17" xr:uid="{CDFD894E-2D6F-4FBC-871D-DD873251B7DD}"/>
    <cellStyle name="Normal 2 4" xfId="5" xr:uid="{1D63E8BF-6A24-48BD-AF3E-158C8669CA92}"/>
    <cellStyle name="Normal 3" xfId="9" xr:uid="{87618F6E-6D99-4EE5-87FD-C84FCDCE2074}"/>
    <cellStyle name="Normal 4" xfId="6" xr:uid="{AE983856-A7E2-475D-9BA3-CCAC79CB0584}"/>
    <cellStyle name="Normal 4 2" xfId="27" xr:uid="{4F31F79E-351F-42BE-8B94-66815644BFFA}"/>
    <cellStyle name="Normal 5" xfId="10" xr:uid="{39C0C255-8AC8-4DD2-884B-1D10FCD50094}"/>
    <cellStyle name="Normal 5 2" xfId="30" xr:uid="{AED9368C-5C6A-43D4-AFBC-C041AAF6A1FC}"/>
    <cellStyle name="Normal 5 3" xfId="20" xr:uid="{E15BF260-3006-41ED-81EC-4E8CD789DDB6}"/>
    <cellStyle name="Normal 6" xfId="13" xr:uid="{7775441F-5332-4842-9421-2644D37925B8}"/>
    <cellStyle name="Normal 6 2" xfId="33" xr:uid="{9BA361F7-F202-40F3-97A1-F40FC601BD11}"/>
    <cellStyle name="Normal 6 3" xfId="18" xr:uid="{BB42A674-EED9-419D-9AAC-DF751FF893AC}"/>
    <cellStyle name="Normal 7" xfId="14" xr:uid="{C69882A4-FD25-4654-B81B-F08535915A01}"/>
    <cellStyle name="Normal 7 2" xfId="34" xr:uid="{C7761BA1-0D0C-49B1-AC86-87EFBFFCFC5A}"/>
    <cellStyle name="Normal 8" xfId="15" xr:uid="{0A5917D6-5289-4EFE-904A-5762C125C7D9}"/>
    <cellStyle name="Normal 8 2" xfId="35" xr:uid="{9F4A3AAC-7B4F-4F97-8EE3-0EC9784B8D1F}"/>
    <cellStyle name="Normal 8 3" xfId="22" xr:uid="{9B382C6B-8D5B-4327-B2FB-08951DAA2EC1}"/>
    <cellStyle name="Normal 9" xfId="23" xr:uid="{ACDE90CA-7F78-42E0-9800-C6DC96F76B53}"/>
    <cellStyle name="Percent 2" xfId="3" xr:uid="{6D91374E-75DB-495D-A04A-5969DC665906}"/>
    <cellStyle name="Percent 2 2" xfId="29" xr:uid="{CDE10625-AF71-4367-A575-FE6372B5D199}"/>
    <cellStyle name="Percent 2 3" xfId="8" xr:uid="{272C503A-1FCF-4C8E-8BA7-FBCD3B2F47E1}"/>
    <cellStyle name="Percent 3" xfId="12" xr:uid="{51872DCA-98FC-4F8B-B4D0-16F49A1A3D52}"/>
    <cellStyle name="Percent 3 2" xfId="32" xr:uid="{2B4ADC0A-B70F-4BEA-BA1D-5E9E5E519F5F}"/>
    <cellStyle name="Percent 4" xfId="25" xr:uid="{AF36C207-5B36-4B61-A5EA-B14864402BB3}"/>
  </cellStyles>
  <dxfs count="0"/>
  <tableStyles count="0" defaultTableStyle="TableStyleMedium2" defaultPivotStyle="PivotStyleLight16"/>
  <colors>
    <mruColors>
      <color rgb="FFFCE4D6"/>
      <color rgb="FF4F7F49"/>
      <color rgb="FF00FF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A353-71DB-4F1A-807B-69E2A6D41130}">
  <dimension ref="B2:G10"/>
  <sheetViews>
    <sheetView zoomScale="81" zoomScaleNormal="81" workbookViewId="0">
      <selection activeCell="E5" sqref="E5"/>
    </sheetView>
  </sheetViews>
  <sheetFormatPr defaultColWidth="21.6328125" defaultRowHeight="15.5" x14ac:dyDescent="0.35"/>
  <cols>
    <col min="1" max="1" width="21.1796875" style="69" customWidth="1"/>
    <col min="2" max="3" width="21.6328125" style="69" hidden="1" customWidth="1"/>
    <col min="4" max="4" width="8" style="69" customWidth="1"/>
    <col min="5" max="5" width="48.1796875" style="69" customWidth="1"/>
    <col min="6" max="16384" width="21.6328125" style="69"/>
  </cols>
  <sheetData>
    <row r="2" spans="4:7" ht="44" customHeight="1" x14ac:dyDescent="0.35">
      <c r="D2" s="120" t="s">
        <v>59</v>
      </c>
      <c r="E2" s="120"/>
      <c r="F2" s="120"/>
      <c r="G2" s="120"/>
    </row>
    <row r="3" spans="4:7" s="71" customFormat="1" ht="38" customHeight="1" x14ac:dyDescent="0.35">
      <c r="D3" s="70" t="s">
        <v>13</v>
      </c>
      <c r="E3" s="70" t="s">
        <v>0</v>
      </c>
      <c r="F3" s="70" t="s">
        <v>14</v>
      </c>
      <c r="G3" s="70" t="s">
        <v>15</v>
      </c>
    </row>
    <row r="4" spans="4:7" s="75" customFormat="1" ht="38" customHeight="1" x14ac:dyDescent="0.35">
      <c r="D4" s="72">
        <v>1</v>
      </c>
      <c r="E4" s="73" t="s">
        <v>60</v>
      </c>
      <c r="F4" s="74">
        <f>'EXP DETAILS Sep-23 to Aug -25'!J107</f>
        <v>2048654.7576550001</v>
      </c>
      <c r="G4" s="74">
        <f>'EXP DETAILS Sep-23 to Aug -25'!K107</f>
        <v>2358747.2881032485</v>
      </c>
    </row>
    <row r="5" spans="4:7" s="75" customFormat="1" ht="38" customHeight="1" x14ac:dyDescent="0.35">
      <c r="D5" s="72">
        <v>2</v>
      </c>
      <c r="E5" s="72" t="s">
        <v>16</v>
      </c>
      <c r="F5" s="76">
        <v>1342579</v>
      </c>
      <c r="G5" s="77">
        <f>F5*1.15</f>
        <v>1543965.8499999999</v>
      </c>
    </row>
    <row r="6" spans="4:7" s="75" customFormat="1" ht="38" customHeight="1" x14ac:dyDescent="0.35">
      <c r="D6" s="72">
        <v>3</v>
      </c>
      <c r="E6" s="72" t="s">
        <v>17</v>
      </c>
      <c r="F6" s="78">
        <v>717408.06</v>
      </c>
      <c r="G6" s="77">
        <f>F6*1.15</f>
        <v>825019.26899999997</v>
      </c>
    </row>
    <row r="7" spans="4:7" s="75" customFormat="1" ht="38" customHeight="1" x14ac:dyDescent="0.35">
      <c r="D7" s="72">
        <v>4</v>
      </c>
      <c r="E7" s="79" t="s">
        <v>53</v>
      </c>
      <c r="F7" s="80">
        <f>F5+F6</f>
        <v>2059987.06</v>
      </c>
      <c r="G7" s="80">
        <f>G5+G6</f>
        <v>2368985.1189999999</v>
      </c>
    </row>
    <row r="8" spans="4:7" s="75" customFormat="1" ht="38" customHeight="1" x14ac:dyDescent="0.35">
      <c r="D8" s="72">
        <v>5</v>
      </c>
      <c r="E8" s="81" t="s">
        <v>18</v>
      </c>
      <c r="F8" s="82">
        <f>F7-F4</f>
        <v>11332.302344999975</v>
      </c>
      <c r="G8" s="82">
        <f>F8*1.15</f>
        <v>13032.147696749969</v>
      </c>
    </row>
    <row r="9" spans="4:7" s="75" customFormat="1" ht="20" customHeight="1" x14ac:dyDescent="0.35"/>
    <row r="10" spans="4:7" x14ac:dyDescent="0.35">
      <c r="G10" s="93"/>
    </row>
  </sheetData>
  <mergeCells count="1">
    <mergeCell ref="D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EAA9-F895-409B-8364-46D9883762B8}">
  <dimension ref="A1:L141"/>
  <sheetViews>
    <sheetView topLeftCell="A108" zoomScale="36" zoomScaleNormal="36" zoomScaleSheetLayoutView="41" workbookViewId="0">
      <selection activeCell="I3" sqref="I3"/>
    </sheetView>
  </sheetViews>
  <sheetFormatPr defaultColWidth="8.81640625" defaultRowHeight="21" x14ac:dyDescent="0.5"/>
  <cols>
    <col min="1" max="1" width="3.81640625" style="3" customWidth="1"/>
    <col min="2" max="2" width="8.453125" style="3" hidden="1" customWidth="1"/>
    <col min="3" max="3" width="18.81640625" style="5" customWidth="1"/>
    <col min="4" max="4" width="25.90625" style="1" customWidth="1"/>
    <col min="5" max="5" width="18.81640625" style="1" customWidth="1"/>
    <col min="6" max="6" width="40.6328125" style="1" customWidth="1"/>
    <col min="7" max="7" width="143.90625" style="1" bestFit="1" customWidth="1"/>
    <col min="8" max="8" width="30.08984375" style="1" customWidth="1"/>
    <col min="9" max="9" width="32.6328125" style="1" customWidth="1"/>
    <col min="10" max="10" width="37.6328125" style="4" customWidth="1"/>
    <col min="11" max="11" width="44.54296875" style="4" customWidth="1"/>
    <col min="12" max="12" width="69.36328125" style="14" customWidth="1"/>
    <col min="13" max="16384" width="8.81640625" style="1"/>
  </cols>
  <sheetData>
    <row r="1" spans="1:12" ht="96" customHeight="1" x14ac:dyDescent="0.5">
      <c r="A1" s="1"/>
      <c r="B1" s="1"/>
      <c r="C1" s="121" t="s">
        <v>57</v>
      </c>
      <c r="D1" s="121"/>
      <c r="E1" s="121"/>
      <c r="F1" s="121"/>
      <c r="G1" s="121"/>
      <c r="H1" s="121"/>
      <c r="I1" s="121"/>
      <c r="J1" s="121"/>
      <c r="K1" s="121"/>
      <c r="L1" s="121"/>
    </row>
    <row r="2" spans="1:12" s="2" customFormat="1" ht="112.5" customHeight="1" x14ac:dyDescent="0.5">
      <c r="C2" s="8" t="s">
        <v>6</v>
      </c>
      <c r="D2" s="8" t="s">
        <v>7</v>
      </c>
      <c r="E2" s="8" t="s">
        <v>64</v>
      </c>
      <c r="F2" s="8" t="s">
        <v>61</v>
      </c>
      <c r="G2" s="8" t="s">
        <v>62</v>
      </c>
      <c r="H2" s="8" t="s">
        <v>63</v>
      </c>
      <c r="I2" s="8" t="s">
        <v>1</v>
      </c>
      <c r="J2" s="9" t="s">
        <v>2</v>
      </c>
      <c r="K2" s="9" t="s">
        <v>3</v>
      </c>
      <c r="L2" s="13" t="s">
        <v>11</v>
      </c>
    </row>
    <row r="3" spans="1:12" s="2" customFormat="1" ht="55" customHeight="1" x14ac:dyDescent="0.5">
      <c r="C3" s="17">
        <v>1</v>
      </c>
      <c r="D3" s="18">
        <v>45231</v>
      </c>
      <c r="E3" s="18" t="s">
        <v>65</v>
      </c>
      <c r="F3" s="18" t="s">
        <v>66</v>
      </c>
      <c r="G3" s="91" t="s">
        <v>67</v>
      </c>
      <c r="H3" s="101">
        <v>45170</v>
      </c>
      <c r="I3" s="17" t="s">
        <v>4</v>
      </c>
      <c r="J3" s="20">
        <v>3875.5610999999999</v>
      </c>
      <c r="K3" s="20">
        <v>4456.8952650000001</v>
      </c>
      <c r="L3" s="17" t="s">
        <v>8</v>
      </c>
    </row>
    <row r="4" spans="1:12" s="2" customFormat="1" ht="55" customHeight="1" x14ac:dyDescent="0.5">
      <c r="C4" s="17">
        <v>2</v>
      </c>
      <c r="D4" s="18">
        <v>45231</v>
      </c>
      <c r="E4" s="18" t="s">
        <v>68</v>
      </c>
      <c r="F4" s="18" t="s">
        <v>69</v>
      </c>
      <c r="G4" s="91" t="s">
        <v>70</v>
      </c>
      <c r="H4" s="101">
        <v>45170</v>
      </c>
      <c r="I4" s="17" t="s">
        <v>4</v>
      </c>
      <c r="J4" s="20">
        <v>2201.15</v>
      </c>
      <c r="K4" s="20">
        <v>2531.3225000000002</v>
      </c>
      <c r="L4" s="17" t="s">
        <v>8</v>
      </c>
    </row>
    <row r="5" spans="1:12" s="2" customFormat="1" ht="55" customHeight="1" x14ac:dyDescent="0.5">
      <c r="C5" s="17">
        <v>3</v>
      </c>
      <c r="D5" s="18">
        <v>45258</v>
      </c>
      <c r="E5" s="18" t="s">
        <v>71</v>
      </c>
      <c r="F5" s="18" t="s">
        <v>66</v>
      </c>
      <c r="G5" s="19" t="s">
        <v>67</v>
      </c>
      <c r="H5" s="101">
        <v>45200</v>
      </c>
      <c r="I5" s="17" t="s">
        <v>4</v>
      </c>
      <c r="J5" s="20">
        <v>5743.39</v>
      </c>
      <c r="K5" s="20">
        <v>6604.9</v>
      </c>
      <c r="L5" s="17" t="s">
        <v>8</v>
      </c>
    </row>
    <row r="6" spans="1:12" s="2" customFormat="1" ht="55" customHeight="1" x14ac:dyDescent="0.5">
      <c r="C6" s="17">
        <v>4</v>
      </c>
      <c r="D6" s="18">
        <v>45275</v>
      </c>
      <c r="E6" s="18" t="s">
        <v>72</v>
      </c>
      <c r="F6" s="18" t="s">
        <v>66</v>
      </c>
      <c r="G6" s="19" t="s">
        <v>67</v>
      </c>
      <c r="H6" s="101">
        <v>45231</v>
      </c>
      <c r="I6" s="17" t="s">
        <v>4</v>
      </c>
      <c r="J6" s="20">
        <v>1169.9000000000001</v>
      </c>
      <c r="K6" s="20">
        <v>1345.38</v>
      </c>
      <c r="L6" s="17" t="s">
        <v>8</v>
      </c>
    </row>
    <row r="7" spans="1:12" s="2" customFormat="1" ht="55" customHeight="1" x14ac:dyDescent="0.5">
      <c r="C7" s="17">
        <v>5</v>
      </c>
      <c r="D7" s="18">
        <v>45275</v>
      </c>
      <c r="E7" s="18" t="s">
        <v>73</v>
      </c>
      <c r="F7" s="18" t="s">
        <v>74</v>
      </c>
      <c r="G7" s="19" t="s">
        <v>67</v>
      </c>
      <c r="H7" s="102">
        <v>45200</v>
      </c>
      <c r="I7" s="17" t="s">
        <v>4</v>
      </c>
      <c r="J7" s="20">
        <v>440.38</v>
      </c>
      <c r="K7" s="20">
        <v>506.44</v>
      </c>
      <c r="L7" s="92" t="s">
        <v>8</v>
      </c>
    </row>
    <row r="8" spans="1:12" s="6" customFormat="1" ht="55" customHeight="1" x14ac:dyDescent="0.35">
      <c r="C8" s="17">
        <v>6</v>
      </c>
      <c r="D8" s="18">
        <v>45275</v>
      </c>
      <c r="E8" s="18" t="s">
        <v>75</v>
      </c>
      <c r="F8" s="18" t="s">
        <v>76</v>
      </c>
      <c r="G8" s="19" t="s">
        <v>77</v>
      </c>
      <c r="H8" s="19" t="s">
        <v>78</v>
      </c>
      <c r="I8" s="17" t="s">
        <v>4</v>
      </c>
      <c r="J8" s="20">
        <v>636</v>
      </c>
      <c r="K8" s="20">
        <v>731.4</v>
      </c>
      <c r="L8" s="17" t="s">
        <v>8</v>
      </c>
    </row>
    <row r="9" spans="1:12" s="6" customFormat="1" ht="55" customHeight="1" x14ac:dyDescent="0.35">
      <c r="C9" s="17">
        <v>7</v>
      </c>
      <c r="D9" s="18">
        <v>45275</v>
      </c>
      <c r="E9" s="18" t="s">
        <v>79</v>
      </c>
      <c r="F9" s="18" t="s">
        <v>80</v>
      </c>
      <c r="G9" s="19" t="s">
        <v>70</v>
      </c>
      <c r="H9" s="102">
        <v>45231</v>
      </c>
      <c r="I9" s="17" t="s">
        <v>4</v>
      </c>
      <c r="J9" s="20">
        <v>709.4</v>
      </c>
      <c r="K9" s="20">
        <v>815.81</v>
      </c>
      <c r="L9" s="17" t="s">
        <v>8</v>
      </c>
    </row>
    <row r="10" spans="1:12" s="6" customFormat="1" ht="55" customHeight="1" x14ac:dyDescent="0.35">
      <c r="C10" s="17">
        <v>8</v>
      </c>
      <c r="D10" s="18">
        <v>45275</v>
      </c>
      <c r="E10" s="18" t="s">
        <v>81</v>
      </c>
      <c r="F10" s="18" t="s">
        <v>66</v>
      </c>
      <c r="G10" s="19" t="s">
        <v>82</v>
      </c>
      <c r="H10" s="19" t="s">
        <v>78</v>
      </c>
      <c r="I10" s="17" t="s">
        <v>4</v>
      </c>
      <c r="J10" s="20">
        <v>9490</v>
      </c>
      <c r="K10" s="20">
        <v>10913.5</v>
      </c>
      <c r="L10" s="17" t="s">
        <v>8</v>
      </c>
    </row>
    <row r="11" spans="1:12" s="2" customFormat="1" ht="55" customHeight="1" x14ac:dyDescent="0.5">
      <c r="C11" s="17">
        <v>9</v>
      </c>
      <c r="D11" s="18">
        <v>45359</v>
      </c>
      <c r="E11" s="18" t="s">
        <v>83</v>
      </c>
      <c r="F11" s="18" t="s">
        <v>90</v>
      </c>
      <c r="G11" s="19" t="s">
        <v>85</v>
      </c>
      <c r="H11" s="19"/>
      <c r="I11" s="17" t="s">
        <v>4</v>
      </c>
      <c r="J11" s="20">
        <v>70520</v>
      </c>
      <c r="K11" s="20">
        <f t="shared" ref="K11:K28" si="0">J11*1.15</f>
        <v>81098</v>
      </c>
      <c r="L11" s="17" t="s">
        <v>8</v>
      </c>
    </row>
    <row r="12" spans="1:12" s="2" customFormat="1" ht="55" customHeight="1" x14ac:dyDescent="0.5">
      <c r="C12" s="17">
        <v>10</v>
      </c>
      <c r="D12" s="18">
        <v>45426</v>
      </c>
      <c r="E12" s="18" t="s">
        <v>84</v>
      </c>
      <c r="F12" s="18" t="s">
        <v>76</v>
      </c>
      <c r="G12" s="19" t="s">
        <v>86</v>
      </c>
      <c r="H12" s="19"/>
      <c r="I12" s="17" t="s">
        <v>4</v>
      </c>
      <c r="J12" s="20">
        <v>27222</v>
      </c>
      <c r="K12" s="20">
        <f t="shared" si="0"/>
        <v>31305.3</v>
      </c>
      <c r="L12" s="17" t="s">
        <v>8</v>
      </c>
    </row>
    <row r="13" spans="1:12" s="2" customFormat="1" ht="55" customHeight="1" x14ac:dyDescent="0.5">
      <c r="C13" s="17">
        <v>11</v>
      </c>
      <c r="D13" s="18">
        <v>45426</v>
      </c>
      <c r="E13" s="18" t="s">
        <v>87</v>
      </c>
      <c r="F13" s="18" t="s">
        <v>66</v>
      </c>
      <c r="G13" s="19" t="s">
        <v>86</v>
      </c>
      <c r="H13" s="19"/>
      <c r="I13" s="17" t="s">
        <v>4</v>
      </c>
      <c r="J13" s="20">
        <v>46876</v>
      </c>
      <c r="K13" s="20">
        <f t="shared" si="0"/>
        <v>53907.399999999994</v>
      </c>
      <c r="L13" s="17" t="s">
        <v>8</v>
      </c>
    </row>
    <row r="14" spans="1:12" s="2" customFormat="1" ht="55" customHeight="1" x14ac:dyDescent="0.5">
      <c r="C14" s="17">
        <v>12</v>
      </c>
      <c r="D14" s="18">
        <v>45426</v>
      </c>
      <c r="E14" s="18" t="s">
        <v>88</v>
      </c>
      <c r="F14" s="18" t="s">
        <v>89</v>
      </c>
      <c r="G14" s="19" t="s">
        <v>86</v>
      </c>
      <c r="H14" s="19"/>
      <c r="I14" s="17" t="s">
        <v>4</v>
      </c>
      <c r="J14" s="20">
        <v>89497.5</v>
      </c>
      <c r="K14" s="20">
        <f t="shared" si="0"/>
        <v>102922.12499999999</v>
      </c>
      <c r="L14" s="17" t="s">
        <v>8</v>
      </c>
    </row>
    <row r="15" spans="1:12" s="2" customFormat="1" ht="55" customHeight="1" x14ac:dyDescent="0.5">
      <c r="C15" s="17">
        <v>13</v>
      </c>
      <c r="D15" s="18">
        <v>45426</v>
      </c>
      <c r="E15" s="18" t="s">
        <v>91</v>
      </c>
      <c r="F15" s="18" t="s">
        <v>76</v>
      </c>
      <c r="G15" s="19" t="s">
        <v>77</v>
      </c>
      <c r="H15" s="19" t="s">
        <v>92</v>
      </c>
      <c r="I15" s="17" t="s">
        <v>4</v>
      </c>
      <c r="J15" s="20">
        <v>297</v>
      </c>
      <c r="K15" s="20">
        <f t="shared" si="0"/>
        <v>341.54999999999995</v>
      </c>
      <c r="L15" s="17" t="s">
        <v>8</v>
      </c>
    </row>
    <row r="16" spans="1:12" s="2" customFormat="1" ht="55" customHeight="1" x14ac:dyDescent="0.5">
      <c r="C16" s="17">
        <v>14</v>
      </c>
      <c r="D16" s="18">
        <v>45426</v>
      </c>
      <c r="E16" s="18" t="s">
        <v>93</v>
      </c>
      <c r="F16" s="18" t="s">
        <v>94</v>
      </c>
      <c r="G16" s="19" t="s">
        <v>70</v>
      </c>
      <c r="H16" s="19" t="s">
        <v>95</v>
      </c>
      <c r="I16" s="17" t="s">
        <v>4</v>
      </c>
      <c r="J16" s="20">
        <v>465.39</v>
      </c>
      <c r="K16" s="20">
        <f t="shared" si="0"/>
        <v>535.19849999999997</v>
      </c>
      <c r="L16" s="17" t="s">
        <v>8</v>
      </c>
    </row>
    <row r="17" spans="3:12" s="2" customFormat="1" ht="55" customHeight="1" x14ac:dyDescent="0.5">
      <c r="C17" s="17">
        <v>15</v>
      </c>
      <c r="D17" s="18">
        <v>45426</v>
      </c>
      <c r="E17" s="18" t="s">
        <v>96</v>
      </c>
      <c r="F17" s="18" t="s">
        <v>80</v>
      </c>
      <c r="G17" s="19" t="s">
        <v>70</v>
      </c>
      <c r="H17" s="102">
        <v>45292</v>
      </c>
      <c r="I17" s="17" t="s">
        <v>4</v>
      </c>
      <c r="J17" s="20">
        <v>75.47</v>
      </c>
      <c r="K17" s="20">
        <f t="shared" si="0"/>
        <v>86.790499999999994</v>
      </c>
      <c r="L17" s="17" t="s">
        <v>8</v>
      </c>
    </row>
    <row r="18" spans="3:12" s="2" customFormat="1" ht="55" customHeight="1" x14ac:dyDescent="0.5">
      <c r="C18" s="17">
        <v>16</v>
      </c>
      <c r="D18" s="18">
        <v>45426</v>
      </c>
      <c r="E18" s="18" t="s">
        <v>97</v>
      </c>
      <c r="F18" s="18" t="s">
        <v>103</v>
      </c>
      <c r="G18" s="19" t="s">
        <v>70</v>
      </c>
      <c r="H18" s="19" t="s">
        <v>98</v>
      </c>
      <c r="I18" s="17" t="s">
        <v>4</v>
      </c>
      <c r="J18" s="20">
        <v>14600.19</v>
      </c>
      <c r="K18" s="20">
        <f t="shared" si="0"/>
        <v>16790.218499999999</v>
      </c>
      <c r="L18" s="17" t="s">
        <v>8</v>
      </c>
    </row>
    <row r="19" spans="3:12" ht="55" customHeight="1" x14ac:dyDescent="0.5">
      <c r="C19" s="17">
        <v>17</v>
      </c>
      <c r="D19" s="18">
        <v>45386</v>
      </c>
      <c r="E19" s="18" t="s">
        <v>99</v>
      </c>
      <c r="F19" s="18" t="s">
        <v>104</v>
      </c>
      <c r="G19" s="19" t="s">
        <v>70</v>
      </c>
      <c r="H19" s="19" t="s">
        <v>100</v>
      </c>
      <c r="I19" s="17" t="s">
        <v>4</v>
      </c>
      <c r="J19" s="20">
        <v>297</v>
      </c>
      <c r="K19" s="20">
        <f t="shared" si="0"/>
        <v>341.54999999999995</v>
      </c>
      <c r="L19" s="21" t="s">
        <v>8</v>
      </c>
    </row>
    <row r="20" spans="3:12" ht="55" customHeight="1" x14ac:dyDescent="0.5">
      <c r="C20" s="17">
        <v>18</v>
      </c>
      <c r="D20" s="18">
        <v>45450</v>
      </c>
      <c r="E20" s="18" t="s">
        <v>101</v>
      </c>
      <c r="F20" s="18" t="s">
        <v>102</v>
      </c>
      <c r="G20" s="19" t="s">
        <v>82</v>
      </c>
      <c r="H20" s="19" t="s">
        <v>105</v>
      </c>
      <c r="I20" s="17" t="s">
        <v>4</v>
      </c>
      <c r="J20" s="20">
        <v>8636</v>
      </c>
      <c r="K20" s="20">
        <f t="shared" si="0"/>
        <v>9931.4</v>
      </c>
      <c r="L20" s="21" t="s">
        <v>8</v>
      </c>
    </row>
    <row r="21" spans="3:12" ht="55" customHeight="1" x14ac:dyDescent="0.5">
      <c r="C21" s="17">
        <v>19</v>
      </c>
      <c r="D21" s="18">
        <v>45467</v>
      </c>
      <c r="E21" s="18" t="s">
        <v>108</v>
      </c>
      <c r="F21" s="18" t="s">
        <v>107</v>
      </c>
      <c r="G21" s="19" t="s">
        <v>82</v>
      </c>
      <c r="H21" s="19" t="s">
        <v>106</v>
      </c>
      <c r="I21" s="17" t="s">
        <v>4</v>
      </c>
      <c r="J21" s="20">
        <v>7064</v>
      </c>
      <c r="K21" s="20">
        <f t="shared" si="0"/>
        <v>8123.5999999999995</v>
      </c>
      <c r="L21" s="21" t="s">
        <v>8</v>
      </c>
    </row>
    <row r="22" spans="3:12" ht="55" customHeight="1" x14ac:dyDescent="0.5">
      <c r="C22" s="17">
        <v>20</v>
      </c>
      <c r="D22" s="18">
        <v>45467</v>
      </c>
      <c r="E22" s="18" t="s">
        <v>109</v>
      </c>
      <c r="F22" s="18" t="s">
        <v>102</v>
      </c>
      <c r="G22" s="19" t="s">
        <v>82</v>
      </c>
      <c r="H22" s="102">
        <v>45413</v>
      </c>
      <c r="I22" s="17" t="s">
        <v>4</v>
      </c>
      <c r="J22" s="20">
        <v>2748</v>
      </c>
      <c r="K22" s="20">
        <f t="shared" si="0"/>
        <v>3160.2</v>
      </c>
      <c r="L22" s="21" t="s">
        <v>8</v>
      </c>
    </row>
    <row r="23" spans="3:12" ht="55" customHeight="1" x14ac:dyDescent="0.5">
      <c r="C23" s="17">
        <v>21</v>
      </c>
      <c r="D23" s="18">
        <v>45467</v>
      </c>
      <c r="E23" s="18" t="s">
        <v>110</v>
      </c>
      <c r="F23" s="18" t="s">
        <v>111</v>
      </c>
      <c r="G23" s="19" t="s">
        <v>70</v>
      </c>
      <c r="H23" s="102">
        <v>45413</v>
      </c>
      <c r="I23" s="17" t="s">
        <v>4</v>
      </c>
      <c r="J23" s="20">
        <v>685.02932499999997</v>
      </c>
      <c r="K23" s="20">
        <f t="shared" si="0"/>
        <v>787.78372374999992</v>
      </c>
      <c r="L23" s="21" t="s">
        <v>8</v>
      </c>
    </row>
    <row r="24" spans="3:12" ht="55" customHeight="1" x14ac:dyDescent="0.5">
      <c r="C24" s="17">
        <v>22</v>
      </c>
      <c r="D24" s="18">
        <v>45467</v>
      </c>
      <c r="E24" s="18" t="s">
        <v>112</v>
      </c>
      <c r="F24" s="18" t="s">
        <v>113</v>
      </c>
      <c r="G24" s="19" t="s">
        <v>67</v>
      </c>
      <c r="H24" s="102">
        <v>45352</v>
      </c>
      <c r="I24" s="17" t="s">
        <v>4</v>
      </c>
      <c r="J24" s="20">
        <v>26450.69</v>
      </c>
      <c r="K24" s="20">
        <f t="shared" si="0"/>
        <v>30418.293499999996</v>
      </c>
      <c r="L24" s="21" t="s">
        <v>8</v>
      </c>
    </row>
    <row r="25" spans="3:12" ht="55" customHeight="1" x14ac:dyDescent="0.5">
      <c r="C25" s="17">
        <v>23</v>
      </c>
      <c r="D25" s="18">
        <v>45469</v>
      </c>
      <c r="E25" s="18" t="s">
        <v>114</v>
      </c>
      <c r="F25" s="18" t="s">
        <v>102</v>
      </c>
      <c r="G25" s="19" t="s">
        <v>67</v>
      </c>
      <c r="H25" s="19" t="s">
        <v>115</v>
      </c>
      <c r="I25" s="17" t="s">
        <v>4</v>
      </c>
      <c r="J25" s="20">
        <f>0.11*177*1695.945</f>
        <v>33020.049149999999</v>
      </c>
      <c r="K25" s="20">
        <f t="shared" si="0"/>
        <v>37973.056522499995</v>
      </c>
      <c r="L25" s="21" t="s">
        <v>8</v>
      </c>
    </row>
    <row r="26" spans="3:12" ht="55" customHeight="1" x14ac:dyDescent="0.5">
      <c r="C26" s="17">
        <v>24</v>
      </c>
      <c r="D26" s="18">
        <v>45469</v>
      </c>
      <c r="E26" s="18" t="s">
        <v>116</v>
      </c>
      <c r="F26" s="18" t="s">
        <v>107</v>
      </c>
      <c r="G26" s="19" t="s">
        <v>67</v>
      </c>
      <c r="H26" s="19" t="s">
        <v>117</v>
      </c>
      <c r="I26" s="17" t="s">
        <v>4</v>
      </c>
      <c r="J26" s="20">
        <f>0.11*1281.23*179</f>
        <v>25227.418700000002</v>
      </c>
      <c r="K26" s="20">
        <f t="shared" si="0"/>
        <v>29011.531504999999</v>
      </c>
      <c r="L26" s="21" t="s">
        <v>8</v>
      </c>
    </row>
    <row r="27" spans="3:12" ht="55" customHeight="1" x14ac:dyDescent="0.5">
      <c r="C27" s="17">
        <v>25</v>
      </c>
      <c r="D27" s="18">
        <v>45469</v>
      </c>
      <c r="E27" s="18" t="s">
        <v>118</v>
      </c>
      <c r="F27" s="18" t="s">
        <v>119</v>
      </c>
      <c r="G27" s="19" t="s">
        <v>67</v>
      </c>
      <c r="H27" s="19" t="s">
        <v>117</v>
      </c>
      <c r="I27" s="17" t="s">
        <v>4</v>
      </c>
      <c r="J27" s="20">
        <f>0.11*177*620.45</f>
        <v>12080.1615</v>
      </c>
      <c r="K27" s="20">
        <f t="shared" si="0"/>
        <v>13892.185724999999</v>
      </c>
      <c r="L27" s="21" t="s">
        <v>8</v>
      </c>
    </row>
    <row r="28" spans="3:12" ht="55" customHeight="1" x14ac:dyDescent="0.5">
      <c r="C28" s="17">
        <v>26</v>
      </c>
      <c r="D28" s="18">
        <v>45566</v>
      </c>
      <c r="E28" s="18" t="s">
        <v>120</v>
      </c>
      <c r="F28" s="18" t="s">
        <v>121</v>
      </c>
      <c r="G28" s="19" t="s">
        <v>77</v>
      </c>
      <c r="H28" s="19" t="s">
        <v>122</v>
      </c>
      <c r="I28" s="17" t="s">
        <v>4</v>
      </c>
      <c r="J28" s="20">
        <v>2436</v>
      </c>
      <c r="K28" s="20">
        <f t="shared" si="0"/>
        <v>2801.3999999999996</v>
      </c>
      <c r="L28" s="21" t="s">
        <v>8</v>
      </c>
    </row>
    <row r="29" spans="3:12" ht="55" customHeight="1" x14ac:dyDescent="0.5">
      <c r="C29" s="17">
        <v>27</v>
      </c>
      <c r="D29" s="18">
        <v>45566</v>
      </c>
      <c r="E29" s="18" t="s">
        <v>123</v>
      </c>
      <c r="F29" s="18" t="s">
        <v>124</v>
      </c>
      <c r="G29" s="19" t="s">
        <v>82</v>
      </c>
      <c r="H29" s="102">
        <v>45444</v>
      </c>
      <c r="I29" s="17" t="s">
        <v>4</v>
      </c>
      <c r="J29" s="20">
        <v>4772</v>
      </c>
      <c r="K29" s="20">
        <f>J29*1.16</f>
        <v>5535.5199999999995</v>
      </c>
      <c r="L29" s="21" t="s">
        <v>8</v>
      </c>
    </row>
    <row r="30" spans="3:12" ht="55" customHeight="1" x14ac:dyDescent="0.5">
      <c r="C30" s="17">
        <v>28</v>
      </c>
      <c r="D30" s="18">
        <v>45566</v>
      </c>
      <c r="E30" s="18" t="s">
        <v>125</v>
      </c>
      <c r="F30" s="18" t="s">
        <v>107</v>
      </c>
      <c r="G30" s="19" t="s">
        <v>126</v>
      </c>
      <c r="H30" s="102">
        <v>45444</v>
      </c>
      <c r="I30" s="17" t="s">
        <v>4</v>
      </c>
      <c r="J30" s="20">
        <v>4728</v>
      </c>
      <c r="K30" s="20">
        <f>J30*1.15</f>
        <v>5437.2</v>
      </c>
      <c r="L30" s="21" t="s">
        <v>8</v>
      </c>
    </row>
    <row r="31" spans="3:12" ht="55" customHeight="1" x14ac:dyDescent="0.5">
      <c r="C31" s="17">
        <v>29</v>
      </c>
      <c r="D31" s="18">
        <v>45566</v>
      </c>
      <c r="E31" s="18" t="s">
        <v>127</v>
      </c>
      <c r="F31" s="18" t="s">
        <v>124</v>
      </c>
      <c r="G31" s="19" t="s">
        <v>82</v>
      </c>
      <c r="H31" s="19" t="s">
        <v>128</v>
      </c>
      <c r="I31" s="17" t="s">
        <v>4</v>
      </c>
      <c r="J31" s="20">
        <v>9440</v>
      </c>
      <c r="K31" s="20">
        <f>J31*1.16</f>
        <v>10950.4</v>
      </c>
      <c r="L31" s="21" t="s">
        <v>8</v>
      </c>
    </row>
    <row r="32" spans="3:12" ht="55" customHeight="1" x14ac:dyDescent="0.5">
      <c r="C32" s="17">
        <v>30</v>
      </c>
      <c r="D32" s="18">
        <v>45566</v>
      </c>
      <c r="E32" s="18" t="s">
        <v>129</v>
      </c>
      <c r="F32" s="18" t="s">
        <v>102</v>
      </c>
      <c r="G32" s="19" t="s">
        <v>82</v>
      </c>
      <c r="H32" s="19" t="s">
        <v>128</v>
      </c>
      <c r="I32" s="17" t="s">
        <v>4</v>
      </c>
      <c r="J32" s="20">
        <v>6488</v>
      </c>
      <c r="K32" s="20">
        <f>J32*1.15</f>
        <v>7461.2</v>
      </c>
      <c r="L32" s="21" t="s">
        <v>8</v>
      </c>
    </row>
    <row r="33" spans="1:12" ht="55" customHeight="1" x14ac:dyDescent="0.5">
      <c r="C33" s="17">
        <v>31</v>
      </c>
      <c r="D33" s="18">
        <v>45597</v>
      </c>
      <c r="E33" s="18" t="s">
        <v>130</v>
      </c>
      <c r="F33" s="18" t="s">
        <v>124</v>
      </c>
      <c r="G33" s="19" t="s">
        <v>82</v>
      </c>
      <c r="H33" s="102">
        <v>45536</v>
      </c>
      <c r="I33" s="17" t="s">
        <v>131</v>
      </c>
      <c r="J33" s="20">
        <v>4728</v>
      </c>
      <c r="K33" s="20">
        <f>J33*1.16</f>
        <v>5484.48</v>
      </c>
      <c r="L33" s="21" t="s">
        <v>8</v>
      </c>
    </row>
    <row r="34" spans="1:12" ht="55" customHeight="1" x14ac:dyDescent="0.5">
      <c r="C34" s="17">
        <v>32</v>
      </c>
      <c r="D34" s="18">
        <v>45597</v>
      </c>
      <c r="E34" s="18" t="s">
        <v>132</v>
      </c>
      <c r="F34" s="18" t="s">
        <v>107</v>
      </c>
      <c r="G34" s="19" t="s">
        <v>126</v>
      </c>
      <c r="H34" s="19" t="s">
        <v>133</v>
      </c>
      <c r="I34" s="17" t="s">
        <v>4</v>
      </c>
      <c r="J34" s="20">
        <v>8364</v>
      </c>
      <c r="K34" s="20">
        <f>J34*1.15</f>
        <v>9618.5999999999985</v>
      </c>
      <c r="L34" s="21" t="s">
        <v>8</v>
      </c>
    </row>
    <row r="35" spans="1:12" ht="55" customHeight="1" x14ac:dyDescent="0.5">
      <c r="C35" s="17">
        <v>33</v>
      </c>
      <c r="D35" s="18">
        <v>45597</v>
      </c>
      <c r="E35" s="18" t="s">
        <v>134</v>
      </c>
      <c r="F35" s="18" t="s">
        <v>124</v>
      </c>
      <c r="G35" s="19" t="s">
        <v>135</v>
      </c>
      <c r="H35" s="19"/>
      <c r="I35" s="17" t="s">
        <v>4</v>
      </c>
      <c r="J35" s="20">
        <f>1060*50</f>
        <v>53000</v>
      </c>
      <c r="K35" s="20">
        <f>J35*1.16</f>
        <v>61479.999999999993</v>
      </c>
      <c r="L35" s="21" t="s">
        <v>8</v>
      </c>
    </row>
    <row r="36" spans="1:12" ht="55" customHeight="1" x14ac:dyDescent="0.5">
      <c r="C36" s="17">
        <v>34</v>
      </c>
      <c r="D36" s="18">
        <v>45597</v>
      </c>
      <c r="E36" s="18" t="s">
        <v>136</v>
      </c>
      <c r="F36" s="18" t="s">
        <v>137</v>
      </c>
      <c r="G36" s="19" t="s">
        <v>138</v>
      </c>
      <c r="H36" s="19"/>
      <c r="I36" s="17" t="s">
        <v>4</v>
      </c>
      <c r="J36" s="20">
        <v>5701.25</v>
      </c>
      <c r="K36" s="20">
        <f>J36*1.15</f>
        <v>6556.4374999999991</v>
      </c>
      <c r="L36" s="21" t="s">
        <v>8</v>
      </c>
    </row>
    <row r="37" spans="1:12" ht="55" customHeight="1" x14ac:dyDescent="0.5">
      <c r="C37" s="17">
        <v>35</v>
      </c>
      <c r="D37" s="18">
        <v>45597</v>
      </c>
      <c r="E37" s="18" t="s">
        <v>139</v>
      </c>
      <c r="F37" s="18" t="s">
        <v>113</v>
      </c>
      <c r="G37" s="19" t="s">
        <v>138</v>
      </c>
      <c r="H37" s="19"/>
      <c r="I37" s="17" t="s">
        <v>4</v>
      </c>
      <c r="J37" s="20">
        <v>262668.25</v>
      </c>
      <c r="K37" s="20">
        <f>J37*1.15</f>
        <v>302068.48749999999</v>
      </c>
      <c r="L37" s="21" t="s">
        <v>8</v>
      </c>
    </row>
    <row r="38" spans="1:12" ht="55" customHeight="1" x14ac:dyDescent="0.5">
      <c r="C38" s="17">
        <v>36</v>
      </c>
      <c r="D38" s="18">
        <v>45597</v>
      </c>
      <c r="E38" s="18" t="s">
        <v>140</v>
      </c>
      <c r="F38" s="18" t="s">
        <v>102</v>
      </c>
      <c r="G38" s="19" t="s">
        <v>138</v>
      </c>
      <c r="H38" s="19"/>
      <c r="I38" s="17" t="s">
        <v>4</v>
      </c>
      <c r="J38" s="20">
        <v>55524.749999999993</v>
      </c>
      <c r="K38" s="20">
        <f>J38*1.15</f>
        <v>63853.462499999987</v>
      </c>
      <c r="L38" s="21" t="s">
        <v>8</v>
      </c>
    </row>
    <row r="39" spans="1:12" ht="55" customHeight="1" x14ac:dyDescent="0.5">
      <c r="C39" s="17">
        <v>37</v>
      </c>
      <c r="D39" s="18">
        <v>45597</v>
      </c>
      <c r="E39" s="18" t="s">
        <v>141</v>
      </c>
      <c r="F39" s="18" t="s">
        <v>49</v>
      </c>
      <c r="G39" s="19" t="s">
        <v>138</v>
      </c>
      <c r="H39" s="19"/>
      <c r="I39" s="17" t="s">
        <v>4</v>
      </c>
      <c r="J39" s="20">
        <v>18318.75</v>
      </c>
      <c r="K39" s="20">
        <f>J39*1.15</f>
        <v>21066.5625</v>
      </c>
      <c r="L39" s="21" t="s">
        <v>8</v>
      </c>
    </row>
    <row r="40" spans="1:12" ht="55" customHeight="1" x14ac:dyDescent="0.5">
      <c r="C40" s="17">
        <v>38</v>
      </c>
      <c r="D40" s="18">
        <v>45597</v>
      </c>
      <c r="E40" s="18" t="s">
        <v>142</v>
      </c>
      <c r="F40" s="18" t="s">
        <v>107</v>
      </c>
      <c r="G40" s="19" t="s">
        <v>138</v>
      </c>
      <c r="H40" s="19"/>
      <c r="I40" s="17" t="s">
        <v>4</v>
      </c>
      <c r="J40" s="20">
        <v>18030.5</v>
      </c>
      <c r="K40" s="20">
        <f>J40*1.15</f>
        <v>20735.074999999997</v>
      </c>
      <c r="L40" s="21" t="s">
        <v>8</v>
      </c>
    </row>
    <row r="41" spans="1:12" s="84" customFormat="1" ht="55" customHeight="1" x14ac:dyDescent="0.5">
      <c r="A41" s="83"/>
      <c r="B41" s="83"/>
      <c r="C41" s="17">
        <v>39</v>
      </c>
      <c r="D41" s="18">
        <v>45628</v>
      </c>
      <c r="E41" s="18" t="s">
        <v>143</v>
      </c>
      <c r="F41" s="18" t="s">
        <v>124</v>
      </c>
      <c r="G41" s="19" t="s">
        <v>82</v>
      </c>
      <c r="H41" s="19" t="s">
        <v>144</v>
      </c>
      <c r="I41" s="17" t="s">
        <v>4</v>
      </c>
      <c r="J41" s="20">
        <v>9052</v>
      </c>
      <c r="K41" s="20">
        <f>J41*1.16</f>
        <v>10500.32</v>
      </c>
      <c r="L41" s="21" t="s">
        <v>8</v>
      </c>
    </row>
    <row r="42" spans="1:12" s="84" customFormat="1" ht="55" customHeight="1" x14ac:dyDescent="0.5">
      <c r="A42" s="83"/>
      <c r="B42" s="83"/>
      <c r="C42" s="17">
        <v>40</v>
      </c>
      <c r="D42" s="18">
        <v>45628</v>
      </c>
      <c r="E42" s="18" t="s">
        <v>145</v>
      </c>
      <c r="F42" s="18" t="s">
        <v>102</v>
      </c>
      <c r="G42" s="19" t="s">
        <v>82</v>
      </c>
      <c r="H42" s="19" t="s">
        <v>146</v>
      </c>
      <c r="I42" s="17" t="s">
        <v>4</v>
      </c>
      <c r="J42" s="20">
        <v>10334</v>
      </c>
      <c r="K42" s="20">
        <f>J42*1.15</f>
        <v>11884.099999999999</v>
      </c>
      <c r="L42" s="21" t="s">
        <v>8</v>
      </c>
    </row>
    <row r="43" spans="1:12" s="84" customFormat="1" ht="55" customHeight="1" x14ac:dyDescent="0.5">
      <c r="A43" s="83"/>
      <c r="B43" s="83"/>
      <c r="C43" s="17">
        <v>41</v>
      </c>
      <c r="D43" s="18">
        <v>45646</v>
      </c>
      <c r="E43" s="18" t="s">
        <v>147</v>
      </c>
      <c r="F43" s="18" t="s">
        <v>148</v>
      </c>
      <c r="G43" s="19" t="s">
        <v>67</v>
      </c>
      <c r="H43" s="102">
        <v>45597</v>
      </c>
      <c r="I43" s="17" t="s">
        <v>4</v>
      </c>
      <c r="J43" s="20">
        <v>20088.990000000002</v>
      </c>
      <c r="K43" s="20">
        <f>J43*1.15</f>
        <v>23102.338500000002</v>
      </c>
      <c r="L43" s="21" t="s">
        <v>8</v>
      </c>
    </row>
    <row r="44" spans="1:12" s="84" customFormat="1" ht="55" customHeight="1" x14ac:dyDescent="0.5">
      <c r="A44" s="83"/>
      <c r="B44" s="83"/>
      <c r="C44" s="17">
        <v>42</v>
      </c>
      <c r="D44" s="18">
        <v>45646</v>
      </c>
      <c r="E44" s="18" t="s">
        <v>149</v>
      </c>
      <c r="F44" s="18" t="s">
        <v>111</v>
      </c>
      <c r="G44" s="19" t="s">
        <v>70</v>
      </c>
      <c r="H44" s="19" t="s">
        <v>150</v>
      </c>
      <c r="I44" s="17" t="s">
        <v>4</v>
      </c>
      <c r="J44" s="20">
        <v>105.66</v>
      </c>
      <c r="K44" s="20">
        <f>J44*1.15</f>
        <v>121.50899999999999</v>
      </c>
      <c r="L44" s="21" t="s">
        <v>8</v>
      </c>
    </row>
    <row r="45" spans="1:12" s="84" customFormat="1" ht="55" customHeight="1" x14ac:dyDescent="0.5">
      <c r="A45" s="83"/>
      <c r="B45" s="83"/>
      <c r="C45" s="17">
        <v>43</v>
      </c>
      <c r="D45" s="18">
        <v>45646</v>
      </c>
      <c r="E45" s="18" t="s">
        <v>152</v>
      </c>
      <c r="F45" s="18" t="s">
        <v>153</v>
      </c>
      <c r="G45" s="19" t="s">
        <v>70</v>
      </c>
      <c r="H45" s="19" t="s">
        <v>151</v>
      </c>
      <c r="I45" s="17" t="s">
        <v>4</v>
      </c>
      <c r="J45" s="20">
        <v>5755.96</v>
      </c>
      <c r="K45" s="20">
        <f>J45*1.16</f>
        <v>6676.9135999999999</v>
      </c>
      <c r="L45" s="21" t="s">
        <v>8</v>
      </c>
    </row>
    <row r="46" spans="1:12" s="84" customFormat="1" ht="55" customHeight="1" x14ac:dyDescent="0.5">
      <c r="A46" s="83"/>
      <c r="B46" s="83"/>
      <c r="C46" s="17">
        <v>44</v>
      </c>
      <c r="D46" s="18">
        <v>45646</v>
      </c>
      <c r="E46" s="18" t="s">
        <v>154</v>
      </c>
      <c r="F46" s="18" t="s">
        <v>155</v>
      </c>
      <c r="G46" s="19" t="s">
        <v>70</v>
      </c>
      <c r="H46" s="19" t="s">
        <v>156</v>
      </c>
      <c r="I46" s="17" t="s">
        <v>4</v>
      </c>
      <c r="J46" s="20">
        <v>5199.75</v>
      </c>
      <c r="K46" s="20">
        <f>J46*1.15</f>
        <v>5979.7124999999996</v>
      </c>
      <c r="L46" s="21" t="s">
        <v>8</v>
      </c>
    </row>
    <row r="47" spans="1:12" s="84" customFormat="1" ht="55" customHeight="1" x14ac:dyDescent="0.5">
      <c r="A47" s="83"/>
      <c r="B47" s="83"/>
      <c r="C47" s="17">
        <v>45</v>
      </c>
      <c r="D47" s="18">
        <v>45646</v>
      </c>
      <c r="E47" s="18" t="s">
        <v>157</v>
      </c>
      <c r="F47" s="18" t="s">
        <v>158</v>
      </c>
      <c r="G47" s="19" t="s">
        <v>70</v>
      </c>
      <c r="H47" s="19" t="s">
        <v>151</v>
      </c>
      <c r="I47" s="17" t="s">
        <v>4</v>
      </c>
      <c r="J47" s="20">
        <v>5954.2</v>
      </c>
      <c r="K47" s="20">
        <f>J47*1.16</f>
        <v>6906.8719999999994</v>
      </c>
      <c r="L47" s="21" t="s">
        <v>8</v>
      </c>
    </row>
    <row r="48" spans="1:12" s="84" customFormat="1" ht="55" customHeight="1" x14ac:dyDescent="0.5">
      <c r="A48" s="83"/>
      <c r="B48" s="83"/>
      <c r="C48" s="17">
        <v>46</v>
      </c>
      <c r="D48" s="18">
        <v>45646</v>
      </c>
      <c r="E48" s="18" t="s">
        <v>159</v>
      </c>
      <c r="F48" s="18" t="s">
        <v>160</v>
      </c>
      <c r="G48" s="19" t="s">
        <v>70</v>
      </c>
      <c r="H48" s="102">
        <v>45505</v>
      </c>
      <c r="I48" s="17" t="s">
        <v>4</v>
      </c>
      <c r="J48" s="20">
        <v>1816.51</v>
      </c>
      <c r="K48" s="20">
        <f>J48*1.16</f>
        <v>2107.1515999999997</v>
      </c>
      <c r="L48" s="21" t="s">
        <v>8</v>
      </c>
    </row>
    <row r="49" spans="1:12" s="84" customFormat="1" ht="55" customHeight="1" x14ac:dyDescent="0.5">
      <c r="A49" s="83"/>
      <c r="B49" s="83"/>
      <c r="C49" s="17">
        <v>47</v>
      </c>
      <c r="D49" s="18">
        <v>45646</v>
      </c>
      <c r="E49" s="18" t="s">
        <v>161</v>
      </c>
      <c r="F49" s="18" t="s">
        <v>160</v>
      </c>
      <c r="G49" s="19" t="s">
        <v>70</v>
      </c>
      <c r="H49" s="102">
        <v>45597</v>
      </c>
      <c r="I49" s="17" t="s">
        <v>4</v>
      </c>
      <c r="J49" s="20">
        <v>4509.97</v>
      </c>
      <c r="K49" s="20">
        <f>J49*1.16</f>
        <v>5231.5652</v>
      </c>
      <c r="L49" s="21" t="s">
        <v>8</v>
      </c>
    </row>
    <row r="50" spans="1:12" s="84" customFormat="1" ht="55" customHeight="1" x14ac:dyDescent="0.5">
      <c r="A50" s="83"/>
      <c r="B50" s="83"/>
      <c r="C50" s="17">
        <v>48</v>
      </c>
      <c r="D50" s="18">
        <v>45646</v>
      </c>
      <c r="E50" s="18" t="s">
        <v>162</v>
      </c>
      <c r="F50" s="18" t="s">
        <v>163</v>
      </c>
      <c r="G50" s="19" t="s">
        <v>70</v>
      </c>
      <c r="H50" s="102">
        <v>45474</v>
      </c>
      <c r="I50" s="17" t="s">
        <v>4</v>
      </c>
      <c r="J50" s="20">
        <v>221.69</v>
      </c>
      <c r="K50" s="20">
        <f>J50*1.15</f>
        <v>254.94349999999997</v>
      </c>
      <c r="L50" s="21" t="s">
        <v>8</v>
      </c>
    </row>
    <row r="51" spans="1:12" s="84" customFormat="1" ht="55" customHeight="1" x14ac:dyDescent="0.5">
      <c r="A51" s="83"/>
      <c r="B51" s="83"/>
      <c r="C51" s="17">
        <v>49</v>
      </c>
      <c r="D51" s="18">
        <v>45646</v>
      </c>
      <c r="E51" s="18" t="s">
        <v>164</v>
      </c>
      <c r="F51" s="18" t="s">
        <v>163</v>
      </c>
      <c r="G51" s="19" t="s">
        <v>70</v>
      </c>
      <c r="H51" s="102">
        <v>45505</v>
      </c>
      <c r="I51" s="17" t="s">
        <v>4</v>
      </c>
      <c r="J51" s="20">
        <v>148.11000000000001</v>
      </c>
      <c r="K51" s="20">
        <f>J51*1.15</f>
        <v>170.32650000000001</v>
      </c>
      <c r="L51" s="21" t="s">
        <v>8</v>
      </c>
    </row>
    <row r="52" spans="1:12" s="84" customFormat="1" ht="55" customHeight="1" x14ac:dyDescent="0.5">
      <c r="A52" s="83"/>
      <c r="B52" s="83"/>
      <c r="C52" s="17">
        <v>50</v>
      </c>
      <c r="D52" s="18">
        <v>45646</v>
      </c>
      <c r="E52" s="18" t="s">
        <v>165</v>
      </c>
      <c r="F52" s="18" t="s">
        <v>107</v>
      </c>
      <c r="G52" s="19" t="s">
        <v>67</v>
      </c>
      <c r="H52" s="19" t="s">
        <v>166</v>
      </c>
      <c r="I52" s="17" t="s">
        <v>4</v>
      </c>
      <c r="J52" s="20">
        <v>31396.79</v>
      </c>
      <c r="K52" s="20">
        <f>J52*1.15</f>
        <v>36106.308499999999</v>
      </c>
      <c r="L52" s="21" t="s">
        <v>8</v>
      </c>
    </row>
    <row r="53" spans="1:12" ht="55" customHeight="1" x14ac:dyDescent="0.5">
      <c r="C53" s="17">
        <v>51</v>
      </c>
      <c r="D53" s="18">
        <v>45646</v>
      </c>
      <c r="E53" s="18" t="s">
        <v>167</v>
      </c>
      <c r="F53" s="18" t="s">
        <v>102</v>
      </c>
      <c r="G53" s="19" t="s">
        <v>67</v>
      </c>
      <c r="H53" s="19" t="s">
        <v>168</v>
      </c>
      <c r="I53" s="17" t="s">
        <v>4</v>
      </c>
      <c r="J53" s="20">
        <v>11594.39</v>
      </c>
      <c r="K53" s="20">
        <f>J53*1.15</f>
        <v>13333.548499999999</v>
      </c>
      <c r="L53" s="21" t="s">
        <v>8</v>
      </c>
    </row>
    <row r="54" spans="1:12" ht="55" customHeight="1" x14ac:dyDescent="0.5">
      <c r="C54" s="17">
        <v>52</v>
      </c>
      <c r="D54" s="18">
        <v>45646</v>
      </c>
      <c r="E54" s="18" t="s">
        <v>169</v>
      </c>
      <c r="F54" s="18" t="s">
        <v>170</v>
      </c>
      <c r="G54" s="19" t="s">
        <v>70</v>
      </c>
      <c r="H54" s="102">
        <v>45444</v>
      </c>
      <c r="I54" s="17" t="s">
        <v>4</v>
      </c>
      <c r="J54" s="20">
        <v>2480.92</v>
      </c>
      <c r="K54" s="20">
        <f>J54*1.16</f>
        <v>2877.8671999999997</v>
      </c>
      <c r="L54" s="21" t="s">
        <v>8</v>
      </c>
    </row>
    <row r="55" spans="1:12" ht="55" customHeight="1" x14ac:dyDescent="0.5">
      <c r="C55" s="17">
        <v>53</v>
      </c>
      <c r="D55" s="18">
        <v>45646</v>
      </c>
      <c r="E55" s="18" t="s">
        <v>171</v>
      </c>
      <c r="F55" s="18" t="s">
        <v>111</v>
      </c>
      <c r="G55" s="19" t="s">
        <v>70</v>
      </c>
      <c r="H55" s="19" t="s">
        <v>95</v>
      </c>
      <c r="I55" s="17" t="s">
        <v>4</v>
      </c>
      <c r="J55" s="20">
        <v>282.06</v>
      </c>
      <c r="K55" s="20">
        <f>J55*1.15</f>
        <v>324.36899999999997</v>
      </c>
      <c r="L55" s="21" t="s">
        <v>8</v>
      </c>
    </row>
    <row r="56" spans="1:12" ht="55" customHeight="1" x14ac:dyDescent="0.5">
      <c r="C56" s="17">
        <v>54</v>
      </c>
      <c r="D56" s="18">
        <v>45713</v>
      </c>
      <c r="E56" s="18" t="s">
        <v>172</v>
      </c>
      <c r="F56" s="18" t="s">
        <v>107</v>
      </c>
      <c r="G56" s="19" t="s">
        <v>126</v>
      </c>
      <c r="H56" s="19" t="s">
        <v>173</v>
      </c>
      <c r="I56" s="17" t="s">
        <v>4</v>
      </c>
      <c r="J56" s="20">
        <v>10428</v>
      </c>
      <c r="K56" s="20">
        <f>J56*1.15</f>
        <v>11992.199999999999</v>
      </c>
      <c r="L56" s="21" t="s">
        <v>8</v>
      </c>
    </row>
    <row r="57" spans="1:12" ht="55" customHeight="1" x14ac:dyDescent="0.5">
      <c r="C57" s="17">
        <v>55</v>
      </c>
      <c r="D57" s="18">
        <v>45713</v>
      </c>
      <c r="E57" s="18" t="s">
        <v>179</v>
      </c>
      <c r="F57" s="18" t="s">
        <v>174</v>
      </c>
      <c r="G57" s="19" t="s">
        <v>175</v>
      </c>
      <c r="H57" s="19" t="s">
        <v>173</v>
      </c>
      <c r="I57" s="17" t="s">
        <v>54</v>
      </c>
      <c r="J57" s="20">
        <v>8144</v>
      </c>
      <c r="K57" s="20">
        <f>J57*1.16</f>
        <v>9447.0399999999991</v>
      </c>
      <c r="L57" s="21" t="s">
        <v>8</v>
      </c>
    </row>
    <row r="58" spans="1:12" ht="55" customHeight="1" x14ac:dyDescent="0.5">
      <c r="C58" s="17">
        <v>56</v>
      </c>
      <c r="D58" s="18">
        <v>45713</v>
      </c>
      <c r="E58" s="18" t="s">
        <v>178</v>
      </c>
      <c r="F58" s="18" t="s">
        <v>102</v>
      </c>
      <c r="G58" s="19" t="s">
        <v>176</v>
      </c>
      <c r="H58" s="19"/>
      <c r="I58" s="17" t="s">
        <v>54</v>
      </c>
      <c r="J58" s="20">
        <v>43359.5</v>
      </c>
      <c r="K58" s="20">
        <f>J58*1.15</f>
        <v>49863.424999999996</v>
      </c>
      <c r="L58" s="21" t="s">
        <v>8</v>
      </c>
    </row>
    <row r="59" spans="1:12" ht="55" customHeight="1" x14ac:dyDescent="0.5">
      <c r="C59" s="17">
        <v>57</v>
      </c>
      <c r="D59" s="18">
        <v>45713</v>
      </c>
      <c r="E59" s="18" t="s">
        <v>180</v>
      </c>
      <c r="F59" s="18" t="s">
        <v>177</v>
      </c>
      <c r="G59" s="19" t="s">
        <v>176</v>
      </c>
      <c r="H59" s="19"/>
      <c r="I59" s="17" t="s">
        <v>54</v>
      </c>
      <c r="J59" s="20">
        <v>12703.75</v>
      </c>
      <c r="K59" s="20">
        <f>J59*1.15</f>
        <v>14609.312499999998</v>
      </c>
      <c r="L59" s="21" t="s">
        <v>8</v>
      </c>
    </row>
    <row r="60" spans="1:12" ht="55" customHeight="1" x14ac:dyDescent="0.5">
      <c r="C60" s="17">
        <v>58</v>
      </c>
      <c r="D60" s="18">
        <v>45713</v>
      </c>
      <c r="E60" s="18" t="s">
        <v>181</v>
      </c>
      <c r="F60" s="18" t="s">
        <v>107</v>
      </c>
      <c r="G60" s="19" t="s">
        <v>176</v>
      </c>
      <c r="H60" s="19"/>
      <c r="I60" s="17" t="s">
        <v>54</v>
      </c>
      <c r="J60" s="20">
        <v>148906.5</v>
      </c>
      <c r="K60" s="20">
        <f>J60*1.15</f>
        <v>171242.47499999998</v>
      </c>
      <c r="L60" s="21" t="s">
        <v>8</v>
      </c>
    </row>
    <row r="61" spans="1:12" ht="55" customHeight="1" x14ac:dyDescent="0.5">
      <c r="C61" s="17">
        <v>59</v>
      </c>
      <c r="D61" s="18">
        <v>45713</v>
      </c>
      <c r="E61" s="18" t="s">
        <v>182</v>
      </c>
      <c r="F61" s="18" t="s">
        <v>174</v>
      </c>
      <c r="G61" s="19" t="s">
        <v>183</v>
      </c>
      <c r="H61" s="19"/>
      <c r="I61" s="17" t="s">
        <v>54</v>
      </c>
      <c r="J61" s="20">
        <v>113950</v>
      </c>
      <c r="K61" s="20">
        <f>J61*1.16</f>
        <v>132182</v>
      </c>
      <c r="L61" s="21" t="s">
        <v>8</v>
      </c>
    </row>
    <row r="62" spans="1:12" ht="55" customHeight="1" x14ac:dyDescent="0.5">
      <c r="C62" s="17">
        <v>60</v>
      </c>
      <c r="D62" s="18">
        <v>45713</v>
      </c>
      <c r="E62" s="18" t="s">
        <v>184</v>
      </c>
      <c r="F62" s="18" t="s">
        <v>90</v>
      </c>
      <c r="G62" s="19" t="s">
        <v>67</v>
      </c>
      <c r="H62" s="102">
        <v>45627</v>
      </c>
      <c r="I62" s="17" t="s">
        <v>4</v>
      </c>
      <c r="J62" s="20">
        <v>27024.678975000003</v>
      </c>
      <c r="K62" s="20">
        <f t="shared" ref="K62:K67" si="1">J62*1.15</f>
        <v>31078.380821250001</v>
      </c>
      <c r="L62" s="21" t="s">
        <v>8</v>
      </c>
    </row>
    <row r="63" spans="1:12" s="84" customFormat="1" ht="55" customHeight="1" x14ac:dyDescent="0.5">
      <c r="A63" s="83"/>
      <c r="B63" s="83"/>
      <c r="C63" s="17">
        <v>61</v>
      </c>
      <c r="D63" s="18">
        <v>45713</v>
      </c>
      <c r="E63" s="18" t="s">
        <v>185</v>
      </c>
      <c r="F63" s="18" t="s">
        <v>186</v>
      </c>
      <c r="G63" s="19" t="s">
        <v>67</v>
      </c>
      <c r="H63" s="102">
        <v>45627</v>
      </c>
      <c r="I63" s="17" t="s">
        <v>4</v>
      </c>
      <c r="J63" s="20">
        <v>1299.43</v>
      </c>
      <c r="K63" s="20">
        <f t="shared" si="1"/>
        <v>1494.3444999999999</v>
      </c>
      <c r="L63" s="21" t="s">
        <v>8</v>
      </c>
    </row>
    <row r="64" spans="1:12" s="84" customFormat="1" ht="55" customHeight="1" x14ac:dyDescent="0.5">
      <c r="A64" s="83"/>
      <c r="B64" s="83"/>
      <c r="C64" s="17">
        <v>62</v>
      </c>
      <c r="D64" s="18">
        <v>45779</v>
      </c>
      <c r="E64" s="18" t="s">
        <v>187</v>
      </c>
      <c r="F64" s="18" t="s">
        <v>102</v>
      </c>
      <c r="G64" s="19" t="s">
        <v>67</v>
      </c>
      <c r="H64" s="19" t="s">
        <v>188</v>
      </c>
      <c r="I64" s="17" t="s">
        <v>4</v>
      </c>
      <c r="J64" s="20">
        <v>7937.27</v>
      </c>
      <c r="K64" s="20">
        <f t="shared" si="1"/>
        <v>9127.8605000000007</v>
      </c>
      <c r="L64" s="21" t="s">
        <v>8</v>
      </c>
    </row>
    <row r="65" spans="1:12" ht="55" customHeight="1" x14ac:dyDescent="0.5">
      <c r="C65" s="17">
        <v>63</v>
      </c>
      <c r="D65" s="18">
        <v>45779</v>
      </c>
      <c r="E65" s="18" t="s">
        <v>189</v>
      </c>
      <c r="F65" s="18" t="s">
        <v>190</v>
      </c>
      <c r="G65" s="19" t="s">
        <v>67</v>
      </c>
      <c r="H65" s="102">
        <v>45748</v>
      </c>
      <c r="I65" s="17" t="s">
        <v>4</v>
      </c>
      <c r="J65" s="20">
        <v>9789.92</v>
      </c>
      <c r="K65" s="20">
        <f t="shared" si="1"/>
        <v>11258.407999999999</v>
      </c>
      <c r="L65" s="21" t="s">
        <v>8</v>
      </c>
    </row>
    <row r="66" spans="1:12" ht="55" customHeight="1" x14ac:dyDescent="0.5">
      <c r="C66" s="17">
        <v>64</v>
      </c>
      <c r="D66" s="18">
        <v>45779</v>
      </c>
      <c r="E66" s="18" t="s">
        <v>191</v>
      </c>
      <c r="F66" s="18" t="s">
        <v>40</v>
      </c>
      <c r="G66" s="19" t="s">
        <v>175</v>
      </c>
      <c r="H66" s="19" t="s">
        <v>192</v>
      </c>
      <c r="I66" s="17" t="s">
        <v>4</v>
      </c>
      <c r="J66" s="20">
        <v>10742</v>
      </c>
      <c r="K66" s="20">
        <f t="shared" si="1"/>
        <v>12353.3</v>
      </c>
      <c r="L66" s="21" t="s">
        <v>8</v>
      </c>
    </row>
    <row r="67" spans="1:12" ht="55" customHeight="1" x14ac:dyDescent="0.5">
      <c r="C67" s="17">
        <v>65</v>
      </c>
      <c r="D67" s="18">
        <v>45779</v>
      </c>
      <c r="E67" s="18" t="s">
        <v>193</v>
      </c>
      <c r="F67" s="18" t="s">
        <v>107</v>
      </c>
      <c r="G67" s="19" t="s">
        <v>126</v>
      </c>
      <c r="H67" s="19" t="s">
        <v>194</v>
      </c>
      <c r="I67" s="17" t="s">
        <v>4</v>
      </c>
      <c r="J67" s="20">
        <v>9764</v>
      </c>
      <c r="K67" s="20">
        <f t="shared" si="1"/>
        <v>11228.599999999999</v>
      </c>
      <c r="L67" s="21" t="s">
        <v>8</v>
      </c>
    </row>
    <row r="68" spans="1:12" ht="55" customHeight="1" x14ac:dyDescent="0.5">
      <c r="C68" s="17">
        <v>66</v>
      </c>
      <c r="D68" s="18">
        <v>45834</v>
      </c>
      <c r="E68" s="18" t="s">
        <v>195</v>
      </c>
      <c r="F68" s="18" t="s">
        <v>196</v>
      </c>
      <c r="G68" s="19" t="s">
        <v>70</v>
      </c>
      <c r="H68" s="19" t="s">
        <v>197</v>
      </c>
      <c r="I68" s="17" t="s">
        <v>4</v>
      </c>
      <c r="J68" s="20">
        <f>1172.899*0.03*212</f>
        <v>7459.637639999999</v>
      </c>
      <c r="K68" s="20">
        <f t="shared" ref="K68" si="2">J68*1.15</f>
        <v>8578.5832859999973</v>
      </c>
      <c r="L68" s="21" t="s">
        <v>8</v>
      </c>
    </row>
    <row r="69" spans="1:12" ht="55" customHeight="1" x14ac:dyDescent="0.5">
      <c r="C69" s="17">
        <v>67</v>
      </c>
      <c r="D69" s="18">
        <v>45834</v>
      </c>
      <c r="E69" s="18" t="s">
        <v>198</v>
      </c>
      <c r="F69" s="18" t="s">
        <v>160</v>
      </c>
      <c r="G69" s="19" t="s">
        <v>70</v>
      </c>
      <c r="H69" s="19" t="s">
        <v>199</v>
      </c>
      <c r="I69" s="17" t="s">
        <v>4</v>
      </c>
      <c r="J69" s="20">
        <v>1503.32</v>
      </c>
      <c r="K69" s="20">
        <f>J69*1.16</f>
        <v>1743.8511999999998</v>
      </c>
      <c r="L69" s="21" t="s">
        <v>8</v>
      </c>
    </row>
    <row r="70" spans="1:12" ht="55" customHeight="1" x14ac:dyDescent="0.5">
      <c r="C70" s="17">
        <v>68</v>
      </c>
      <c r="D70" s="18">
        <v>45834</v>
      </c>
      <c r="E70" s="18" t="s">
        <v>200</v>
      </c>
      <c r="F70" s="18" t="s">
        <v>40</v>
      </c>
      <c r="G70" s="19" t="s">
        <v>175</v>
      </c>
      <c r="H70" s="19" t="s">
        <v>201</v>
      </c>
      <c r="I70" s="17" t="s">
        <v>4</v>
      </c>
      <c r="J70" s="20">
        <v>8116</v>
      </c>
      <c r="K70" s="20">
        <f t="shared" ref="K70:K94" si="3">J70*1.15</f>
        <v>9333.4</v>
      </c>
      <c r="L70" s="21" t="s">
        <v>8</v>
      </c>
    </row>
    <row r="71" spans="1:12" ht="55" customHeight="1" x14ac:dyDescent="0.5">
      <c r="C71" s="17">
        <v>69</v>
      </c>
      <c r="D71" s="18">
        <v>45834</v>
      </c>
      <c r="E71" s="18" t="s">
        <v>202</v>
      </c>
      <c r="F71" s="18" t="s">
        <v>40</v>
      </c>
      <c r="G71" s="19" t="s">
        <v>77</v>
      </c>
      <c r="H71" s="19" t="s">
        <v>203</v>
      </c>
      <c r="I71" s="17" t="s">
        <v>4</v>
      </c>
      <c r="J71" s="20">
        <v>300</v>
      </c>
      <c r="K71" s="20">
        <f t="shared" si="3"/>
        <v>345</v>
      </c>
      <c r="L71" s="21" t="s">
        <v>8</v>
      </c>
    </row>
    <row r="72" spans="1:12" ht="55" customHeight="1" x14ac:dyDescent="0.5">
      <c r="C72" s="17">
        <v>70</v>
      </c>
      <c r="D72" s="18">
        <v>45834</v>
      </c>
      <c r="E72" s="18" t="s">
        <v>204</v>
      </c>
      <c r="F72" s="18" t="s">
        <v>174</v>
      </c>
      <c r="G72" s="19" t="s">
        <v>77</v>
      </c>
      <c r="H72" s="19" t="s">
        <v>205</v>
      </c>
      <c r="I72" s="17" t="s">
        <v>4</v>
      </c>
      <c r="J72" s="20">
        <v>180</v>
      </c>
      <c r="K72" s="20">
        <f t="shared" si="3"/>
        <v>206.99999999999997</v>
      </c>
      <c r="L72" s="21" t="s">
        <v>8</v>
      </c>
    </row>
    <row r="73" spans="1:12" ht="55" customHeight="1" x14ac:dyDescent="0.5">
      <c r="C73" s="17">
        <v>71</v>
      </c>
      <c r="D73" s="18">
        <v>45841</v>
      </c>
      <c r="E73" s="18" t="s">
        <v>206</v>
      </c>
      <c r="F73" s="18" t="s">
        <v>107</v>
      </c>
      <c r="G73" s="19" t="s">
        <v>207</v>
      </c>
      <c r="H73" s="19"/>
      <c r="I73" s="17" t="s">
        <v>54</v>
      </c>
      <c r="J73" s="20">
        <f>368.37*50</f>
        <v>18418.5</v>
      </c>
      <c r="K73" s="20">
        <f t="shared" si="3"/>
        <v>21181.274999999998</v>
      </c>
      <c r="L73" s="21" t="s">
        <v>8</v>
      </c>
    </row>
    <row r="74" spans="1:12" ht="55" customHeight="1" x14ac:dyDescent="0.5">
      <c r="C74" s="17">
        <v>72</v>
      </c>
      <c r="D74" s="18">
        <v>45841</v>
      </c>
      <c r="E74" s="18" t="s">
        <v>208</v>
      </c>
      <c r="F74" s="18" t="s">
        <v>121</v>
      </c>
      <c r="G74" s="19" t="s">
        <v>67</v>
      </c>
      <c r="H74" s="102">
        <v>45778</v>
      </c>
      <c r="I74" s="17" t="s">
        <v>4</v>
      </c>
      <c r="J74" s="20">
        <f>600.765*0.19*60.1</f>
        <v>6860.1355349999994</v>
      </c>
      <c r="K74" s="20">
        <f t="shared" si="3"/>
        <v>7889.1558652499989</v>
      </c>
      <c r="L74" s="21" t="s">
        <v>8</v>
      </c>
    </row>
    <row r="75" spans="1:12" ht="55" customHeight="1" x14ac:dyDescent="0.5">
      <c r="C75" s="17">
        <v>73</v>
      </c>
      <c r="D75" s="18">
        <v>45841</v>
      </c>
      <c r="E75" s="18" t="s">
        <v>209</v>
      </c>
      <c r="F75" s="18" t="s">
        <v>210</v>
      </c>
      <c r="G75" s="19" t="s">
        <v>70</v>
      </c>
      <c r="H75" s="19" t="s">
        <v>192</v>
      </c>
      <c r="I75" s="17" t="s">
        <v>4</v>
      </c>
      <c r="J75" s="20">
        <v>14789.28</v>
      </c>
      <c r="K75" s="20">
        <f t="shared" si="3"/>
        <v>17007.671999999999</v>
      </c>
      <c r="L75" s="21" t="s">
        <v>8</v>
      </c>
    </row>
    <row r="76" spans="1:12" ht="55" customHeight="1" x14ac:dyDescent="0.5">
      <c r="C76" s="17">
        <v>74</v>
      </c>
      <c r="D76" s="18">
        <v>45841</v>
      </c>
      <c r="E76" s="18" t="s">
        <v>211</v>
      </c>
      <c r="F76" s="18" t="s">
        <v>40</v>
      </c>
      <c r="G76" s="19" t="s">
        <v>175</v>
      </c>
      <c r="H76" s="102">
        <v>45809</v>
      </c>
      <c r="I76" s="17" t="s">
        <v>54</v>
      </c>
      <c r="J76" s="20">
        <v>3936</v>
      </c>
      <c r="K76" s="20">
        <f t="shared" si="3"/>
        <v>4526.3999999999996</v>
      </c>
      <c r="L76" s="21" t="s">
        <v>8</v>
      </c>
    </row>
    <row r="77" spans="1:12" ht="55" customHeight="1" x14ac:dyDescent="0.5">
      <c r="C77" s="17">
        <v>75</v>
      </c>
      <c r="D77" s="18">
        <v>45841</v>
      </c>
      <c r="E77" s="18" t="s">
        <v>212</v>
      </c>
      <c r="F77" s="18" t="s">
        <v>213</v>
      </c>
      <c r="G77" s="19" t="s">
        <v>70</v>
      </c>
      <c r="H77" s="19" t="s">
        <v>214</v>
      </c>
      <c r="I77" s="17" t="s">
        <v>4</v>
      </c>
      <c r="J77" s="20">
        <f>2066.5654*0.05*74</f>
        <v>7646.29198</v>
      </c>
      <c r="K77" s="20">
        <f t="shared" si="3"/>
        <v>8793.2357769999999</v>
      </c>
      <c r="L77" s="21" t="s">
        <v>8</v>
      </c>
    </row>
    <row r="78" spans="1:12" ht="55" customHeight="1" x14ac:dyDescent="0.5">
      <c r="C78" s="17">
        <v>76</v>
      </c>
      <c r="D78" s="18">
        <v>45841</v>
      </c>
      <c r="E78" s="18" t="s">
        <v>215</v>
      </c>
      <c r="F78" s="18" t="s">
        <v>216</v>
      </c>
      <c r="G78" s="19" t="s">
        <v>70</v>
      </c>
      <c r="H78" s="19" t="s">
        <v>217</v>
      </c>
      <c r="I78" s="17" t="s">
        <v>4</v>
      </c>
      <c r="J78" s="20">
        <f>779*0.03*188</f>
        <v>4393.5599999999995</v>
      </c>
      <c r="K78" s="20">
        <f t="shared" si="3"/>
        <v>5052.5939999999991</v>
      </c>
      <c r="L78" s="21" t="s">
        <v>8</v>
      </c>
    </row>
    <row r="79" spans="1:12" ht="55" customHeight="1" x14ac:dyDescent="0.5">
      <c r="C79" s="17">
        <v>77</v>
      </c>
      <c r="D79" s="18">
        <v>45870</v>
      </c>
      <c r="E79" s="18" t="s">
        <v>218</v>
      </c>
      <c r="F79" s="18" t="s">
        <v>107</v>
      </c>
      <c r="G79" s="19" t="s">
        <v>77</v>
      </c>
      <c r="H79" s="19" t="s">
        <v>219</v>
      </c>
      <c r="I79" s="17" t="s">
        <v>4</v>
      </c>
      <c r="J79" s="20">
        <v>732</v>
      </c>
      <c r="K79" s="20">
        <f t="shared" si="3"/>
        <v>841.8</v>
      </c>
      <c r="L79" s="21" t="s">
        <v>8</v>
      </c>
    </row>
    <row r="80" spans="1:12" s="84" customFormat="1" ht="55" customHeight="1" x14ac:dyDescent="0.5">
      <c r="A80" s="83"/>
      <c r="B80" s="83"/>
      <c r="C80" s="17">
        <v>78</v>
      </c>
      <c r="D80" s="18">
        <v>45841</v>
      </c>
      <c r="E80" s="18" t="s">
        <v>225</v>
      </c>
      <c r="F80" s="18" t="s">
        <v>76</v>
      </c>
      <c r="G80" s="19" t="s">
        <v>207</v>
      </c>
      <c r="H80" s="19"/>
      <c r="I80" s="17" t="s">
        <v>54</v>
      </c>
      <c r="J80" s="20">
        <f>3949.45*50</f>
        <v>197472.5</v>
      </c>
      <c r="K80" s="20">
        <f t="shared" si="3"/>
        <v>227093.37499999997</v>
      </c>
      <c r="L80" s="21" t="s">
        <v>8</v>
      </c>
    </row>
    <row r="81" spans="3:12" ht="55" customHeight="1" x14ac:dyDescent="0.5">
      <c r="C81" s="17">
        <v>79</v>
      </c>
      <c r="D81" s="18">
        <v>45841</v>
      </c>
      <c r="E81" s="18" t="s">
        <v>215</v>
      </c>
      <c r="F81" s="18" t="s">
        <v>121</v>
      </c>
      <c r="G81" s="19" t="s">
        <v>207</v>
      </c>
      <c r="H81" s="19"/>
      <c r="I81" s="17" t="s">
        <v>54</v>
      </c>
      <c r="J81" s="20">
        <f>113.375*50</f>
        <v>5668.75</v>
      </c>
      <c r="K81" s="20">
        <f>J81*1.15</f>
        <v>6519.0624999999991</v>
      </c>
      <c r="L81" s="21" t="s">
        <v>8</v>
      </c>
    </row>
    <row r="82" spans="3:12" ht="55" customHeight="1" x14ac:dyDescent="0.5">
      <c r="C82" s="17">
        <v>80</v>
      </c>
      <c r="D82" s="18">
        <v>45938</v>
      </c>
      <c r="E82" s="18" t="s">
        <v>226</v>
      </c>
      <c r="F82" s="18" t="s">
        <v>40</v>
      </c>
      <c r="G82" s="19" t="s">
        <v>207</v>
      </c>
      <c r="H82" s="19"/>
      <c r="I82" s="17" t="s">
        <v>54</v>
      </c>
      <c r="J82" s="20">
        <f>1339.933*50</f>
        <v>66996.649999999994</v>
      </c>
      <c r="K82" s="20">
        <f t="shared" ref="K82" si="4">J82*1.15</f>
        <v>77046.147499999992</v>
      </c>
      <c r="L82" s="21" t="s">
        <v>8</v>
      </c>
    </row>
    <row r="83" spans="3:12" ht="55" customHeight="1" x14ac:dyDescent="0.5">
      <c r="C83" s="17">
        <v>81</v>
      </c>
      <c r="D83" s="18">
        <v>45841</v>
      </c>
      <c r="E83" s="18" t="s">
        <v>130</v>
      </c>
      <c r="F83" s="18" t="s">
        <v>216</v>
      </c>
      <c r="G83" s="19" t="s">
        <v>70</v>
      </c>
      <c r="H83" s="19" t="s">
        <v>229</v>
      </c>
      <c r="I83" s="17" t="s">
        <v>4</v>
      </c>
      <c r="J83" s="20">
        <v>4351.4799999999996</v>
      </c>
      <c r="K83" s="20">
        <f t="shared" ref="K83:K89" si="5">J83*1.15</f>
        <v>5004.2019999999993</v>
      </c>
      <c r="L83" s="21" t="s">
        <v>8</v>
      </c>
    </row>
    <row r="84" spans="3:12" ht="55" customHeight="1" x14ac:dyDescent="0.5">
      <c r="C84" s="17">
        <v>82</v>
      </c>
      <c r="D84" s="18">
        <v>45880</v>
      </c>
      <c r="E84" s="18" t="s">
        <v>230</v>
      </c>
      <c r="F84" s="18" t="s">
        <v>40</v>
      </c>
      <c r="G84" s="19" t="s">
        <v>175</v>
      </c>
      <c r="H84" s="102">
        <v>45839</v>
      </c>
      <c r="I84" s="17" t="s">
        <v>4</v>
      </c>
      <c r="J84" s="20">
        <v>4633</v>
      </c>
      <c r="K84" s="20">
        <f t="shared" si="5"/>
        <v>5327.95</v>
      </c>
      <c r="L84" s="21" t="s">
        <v>8</v>
      </c>
    </row>
    <row r="85" spans="3:12" ht="55" customHeight="1" x14ac:dyDescent="0.5">
      <c r="C85" s="17">
        <v>83</v>
      </c>
      <c r="D85" s="18">
        <v>45880</v>
      </c>
      <c r="E85" s="18" t="s">
        <v>231</v>
      </c>
      <c r="F85" s="18" t="s">
        <v>232</v>
      </c>
      <c r="G85" s="19" t="s">
        <v>175</v>
      </c>
      <c r="H85" s="102">
        <v>45839</v>
      </c>
      <c r="I85" s="17" t="s">
        <v>4</v>
      </c>
      <c r="J85" s="20">
        <v>1204</v>
      </c>
      <c r="K85" s="20">
        <f t="shared" si="5"/>
        <v>1384.6</v>
      </c>
      <c r="L85" s="21" t="s">
        <v>8</v>
      </c>
    </row>
    <row r="86" spans="3:12" ht="55" customHeight="1" x14ac:dyDescent="0.5">
      <c r="C86" s="17">
        <v>84</v>
      </c>
      <c r="D86" s="18">
        <v>45888</v>
      </c>
      <c r="E86" s="18" t="s">
        <v>233</v>
      </c>
      <c r="F86" s="18" t="s">
        <v>234</v>
      </c>
      <c r="G86" s="19" t="s">
        <v>70</v>
      </c>
      <c r="H86" s="102">
        <v>45839</v>
      </c>
      <c r="I86" s="17" t="s">
        <v>4</v>
      </c>
      <c r="J86" s="20">
        <v>1979</v>
      </c>
      <c r="K86" s="20">
        <f t="shared" si="5"/>
        <v>2275.85</v>
      </c>
      <c r="L86" s="21" t="s">
        <v>8</v>
      </c>
    </row>
    <row r="87" spans="3:12" ht="55" customHeight="1" x14ac:dyDescent="0.5">
      <c r="C87" s="17">
        <v>85</v>
      </c>
      <c r="D87" s="18">
        <v>45888</v>
      </c>
      <c r="E87" s="18" t="s">
        <v>235</v>
      </c>
      <c r="F87" s="18" t="s">
        <v>236</v>
      </c>
      <c r="G87" s="19" t="s">
        <v>70</v>
      </c>
      <c r="H87" s="102">
        <v>45839</v>
      </c>
      <c r="I87" s="17" t="s">
        <v>4</v>
      </c>
      <c r="J87" s="20">
        <v>2065.94</v>
      </c>
      <c r="K87" s="20">
        <f t="shared" si="5"/>
        <v>2375.8309999999997</v>
      </c>
      <c r="L87" s="21" t="s">
        <v>8</v>
      </c>
    </row>
    <row r="88" spans="3:12" ht="55" customHeight="1" x14ac:dyDescent="0.5">
      <c r="C88" s="17">
        <v>86</v>
      </c>
      <c r="D88" s="18">
        <v>45889</v>
      </c>
      <c r="E88" s="18" t="s">
        <v>237</v>
      </c>
      <c r="F88" s="18" t="s">
        <v>238</v>
      </c>
      <c r="G88" s="19" t="s">
        <v>77</v>
      </c>
      <c r="H88" s="102">
        <v>45839</v>
      </c>
      <c r="I88" s="17" t="s">
        <v>4</v>
      </c>
      <c r="J88" s="20">
        <v>372</v>
      </c>
      <c r="K88" s="20">
        <f t="shared" si="5"/>
        <v>427.79999999999995</v>
      </c>
      <c r="L88" s="21" t="s">
        <v>8</v>
      </c>
    </row>
    <row r="89" spans="3:12" ht="55" customHeight="1" x14ac:dyDescent="0.5">
      <c r="C89" s="17">
        <v>87</v>
      </c>
      <c r="D89" s="18">
        <v>45915</v>
      </c>
      <c r="E89" s="18" t="s">
        <v>239</v>
      </c>
      <c r="F89" s="18" t="s">
        <v>238</v>
      </c>
      <c r="G89" s="19" t="s">
        <v>77</v>
      </c>
      <c r="H89" s="102">
        <v>45870</v>
      </c>
      <c r="I89" s="17" t="s">
        <v>4</v>
      </c>
      <c r="J89" s="20">
        <v>318</v>
      </c>
      <c r="K89" s="20">
        <f t="shared" si="5"/>
        <v>365.7</v>
      </c>
      <c r="L89" s="21" t="s">
        <v>8</v>
      </c>
    </row>
    <row r="90" spans="3:12" ht="55" customHeight="1" x14ac:dyDescent="0.5">
      <c r="C90" s="17">
        <v>88</v>
      </c>
      <c r="D90" s="18">
        <v>45917</v>
      </c>
      <c r="E90" s="18" t="s">
        <v>240</v>
      </c>
      <c r="F90" s="18" t="s">
        <v>232</v>
      </c>
      <c r="G90" s="19" t="s">
        <v>175</v>
      </c>
      <c r="H90" s="19" t="s">
        <v>241</v>
      </c>
      <c r="I90" s="17" t="s">
        <v>4</v>
      </c>
      <c r="J90" s="20">
        <v>5960</v>
      </c>
      <c r="K90" s="20">
        <f t="shared" ref="K90" si="6">J90*1.15</f>
        <v>6853.9999999999991</v>
      </c>
      <c r="L90" s="21" t="s">
        <v>8</v>
      </c>
    </row>
    <row r="91" spans="3:12" ht="55" customHeight="1" x14ac:dyDescent="0.5">
      <c r="C91" s="17">
        <v>89</v>
      </c>
      <c r="D91" s="18">
        <v>45915</v>
      </c>
      <c r="E91" s="18" t="s">
        <v>242</v>
      </c>
      <c r="F91" s="18" t="s">
        <v>40</v>
      </c>
      <c r="G91" s="19" t="s">
        <v>175</v>
      </c>
      <c r="H91" s="102">
        <v>45870</v>
      </c>
      <c r="I91" s="17" t="s">
        <v>4</v>
      </c>
      <c r="J91" s="20">
        <v>4345</v>
      </c>
      <c r="K91" s="20">
        <f>J91*1.15</f>
        <v>4996.75</v>
      </c>
      <c r="L91" s="21" t="s">
        <v>8</v>
      </c>
    </row>
    <row r="92" spans="3:12" ht="55" customHeight="1" x14ac:dyDescent="0.5">
      <c r="C92" s="17">
        <v>90</v>
      </c>
      <c r="D92" s="18">
        <v>45931</v>
      </c>
      <c r="E92" s="18" t="s">
        <v>243</v>
      </c>
      <c r="F92" s="18" t="s">
        <v>40</v>
      </c>
      <c r="G92" s="19" t="s">
        <v>67</v>
      </c>
      <c r="H92" s="19" t="s">
        <v>205</v>
      </c>
      <c r="I92" s="17" t="s">
        <v>4</v>
      </c>
      <c r="J92" s="20">
        <v>11461.446</v>
      </c>
      <c r="K92" s="20">
        <f>J92*1.15</f>
        <v>13180.662899999999</v>
      </c>
      <c r="L92" s="21" t="s">
        <v>8</v>
      </c>
    </row>
    <row r="93" spans="3:12" ht="55" customHeight="1" x14ac:dyDescent="0.5">
      <c r="C93" s="17">
        <v>91</v>
      </c>
      <c r="D93" s="105">
        <v>45961</v>
      </c>
      <c r="E93" s="105" t="s">
        <v>246</v>
      </c>
      <c r="F93" s="105" t="s">
        <v>234</v>
      </c>
      <c r="G93" s="106" t="s">
        <v>70</v>
      </c>
      <c r="H93" s="107">
        <v>45870</v>
      </c>
      <c r="I93" s="104" t="s">
        <v>4</v>
      </c>
      <c r="J93" s="108">
        <v>4084.78</v>
      </c>
      <c r="K93" s="108">
        <v>4697.5</v>
      </c>
      <c r="L93" s="109" t="s">
        <v>8</v>
      </c>
    </row>
    <row r="94" spans="3:12" ht="55" customHeight="1" x14ac:dyDescent="0.5">
      <c r="C94" s="110">
        <v>92</v>
      </c>
      <c r="D94" s="86">
        <v>45958</v>
      </c>
      <c r="E94" s="86" t="s">
        <v>220</v>
      </c>
      <c r="F94" s="86" t="s">
        <v>107</v>
      </c>
      <c r="G94" s="90" t="s">
        <v>67</v>
      </c>
      <c r="H94" s="90" t="s">
        <v>221</v>
      </c>
      <c r="I94" s="85" t="s">
        <v>4</v>
      </c>
      <c r="J94" s="88">
        <v>15835.39</v>
      </c>
      <c r="K94" s="88">
        <f t="shared" si="3"/>
        <v>18210.698499999999</v>
      </c>
      <c r="L94" s="89" t="s">
        <v>55</v>
      </c>
    </row>
    <row r="95" spans="3:12" ht="55" customHeight="1" x14ac:dyDescent="0.5">
      <c r="C95" s="110">
        <v>93</v>
      </c>
      <c r="D95" s="86">
        <v>45841</v>
      </c>
      <c r="E95" s="86" t="s">
        <v>222</v>
      </c>
      <c r="F95" s="86" t="s">
        <v>174</v>
      </c>
      <c r="G95" s="87" t="s">
        <v>223</v>
      </c>
      <c r="H95" s="87"/>
      <c r="I95" s="85" t="s">
        <v>54</v>
      </c>
      <c r="J95" s="88">
        <f>1086.5*50</f>
        <v>54325</v>
      </c>
      <c r="K95" s="88">
        <f>J95*1.16</f>
        <v>63016.999999999993</v>
      </c>
      <c r="L95" s="89" t="s">
        <v>55</v>
      </c>
    </row>
    <row r="96" spans="3:12" ht="55" customHeight="1" x14ac:dyDescent="0.5">
      <c r="C96" s="110">
        <v>94</v>
      </c>
      <c r="D96" s="86">
        <v>45841</v>
      </c>
      <c r="E96" s="86" t="s">
        <v>224</v>
      </c>
      <c r="F96" s="86" t="s">
        <v>102</v>
      </c>
      <c r="G96" s="87" t="s">
        <v>207</v>
      </c>
      <c r="H96" s="87"/>
      <c r="I96" s="85" t="s">
        <v>54</v>
      </c>
      <c r="J96" s="88">
        <f>770.45*50</f>
        <v>38522.5</v>
      </c>
      <c r="K96" s="88">
        <f t="shared" ref="K96" si="7">J96*1.15</f>
        <v>44300.875</v>
      </c>
      <c r="L96" s="89" t="s">
        <v>55</v>
      </c>
    </row>
    <row r="97" spans="1:12" ht="55" customHeight="1" x14ac:dyDescent="0.5">
      <c r="C97" s="110">
        <v>95</v>
      </c>
      <c r="D97" s="86">
        <v>45931</v>
      </c>
      <c r="E97" s="86" t="s">
        <v>227</v>
      </c>
      <c r="F97" s="86" t="s">
        <v>107</v>
      </c>
      <c r="G97" s="87" t="s">
        <v>67</v>
      </c>
      <c r="H97" s="87" t="s">
        <v>228</v>
      </c>
      <c r="I97" s="85" t="s">
        <v>54</v>
      </c>
      <c r="J97" s="88">
        <v>13153.27</v>
      </c>
      <c r="K97" s="88">
        <f t="shared" ref="K97:K104" si="8">J97*1.15</f>
        <v>15126.260499999999</v>
      </c>
      <c r="L97" s="89" t="s">
        <v>55</v>
      </c>
    </row>
    <row r="98" spans="1:12" ht="55" customHeight="1" x14ac:dyDescent="0.5">
      <c r="C98" s="110">
        <v>96</v>
      </c>
      <c r="D98" s="86">
        <v>45958</v>
      </c>
      <c r="E98" s="86" t="s">
        <v>244</v>
      </c>
      <c r="F98" s="86" t="s">
        <v>232</v>
      </c>
      <c r="G98" s="87" t="s">
        <v>67</v>
      </c>
      <c r="H98" s="87" t="s">
        <v>245</v>
      </c>
      <c r="I98" s="85" t="s">
        <v>4</v>
      </c>
      <c r="J98" s="88">
        <v>13189.05</v>
      </c>
      <c r="K98" s="88">
        <f t="shared" si="8"/>
        <v>15167.407499999998</v>
      </c>
      <c r="L98" s="89" t="s">
        <v>55</v>
      </c>
    </row>
    <row r="99" spans="1:12" ht="55" customHeight="1" x14ac:dyDescent="0.5">
      <c r="C99" s="110">
        <v>97</v>
      </c>
      <c r="D99" s="86">
        <v>45961</v>
      </c>
      <c r="E99" s="86" t="s">
        <v>247</v>
      </c>
      <c r="F99" s="86" t="s">
        <v>248</v>
      </c>
      <c r="G99" s="87" t="s">
        <v>70</v>
      </c>
      <c r="H99" s="103">
        <v>45870</v>
      </c>
      <c r="I99" s="85" t="s">
        <v>4</v>
      </c>
      <c r="J99" s="88">
        <v>1415.03</v>
      </c>
      <c r="K99" s="88">
        <v>1627.28</v>
      </c>
      <c r="L99" s="89" t="s">
        <v>55</v>
      </c>
    </row>
    <row r="100" spans="1:12" ht="55" customHeight="1" x14ac:dyDescent="0.5">
      <c r="C100" s="110">
        <v>98</v>
      </c>
      <c r="D100" s="86">
        <v>45964</v>
      </c>
      <c r="E100" s="86" t="s">
        <v>249</v>
      </c>
      <c r="F100" s="86" t="s">
        <v>121</v>
      </c>
      <c r="G100" s="87" t="s">
        <v>250</v>
      </c>
      <c r="H100" s="87"/>
      <c r="I100" s="85" t="s">
        <v>4</v>
      </c>
      <c r="J100" s="88">
        <v>30038.25</v>
      </c>
      <c r="K100" s="88">
        <f t="shared" si="8"/>
        <v>34543.987499999996</v>
      </c>
      <c r="L100" s="89" t="s">
        <v>55</v>
      </c>
    </row>
    <row r="101" spans="1:12" ht="55" customHeight="1" x14ac:dyDescent="0.5">
      <c r="C101" s="110">
        <v>99</v>
      </c>
      <c r="D101" s="86">
        <v>45964</v>
      </c>
      <c r="E101" s="86" t="s">
        <v>251</v>
      </c>
      <c r="F101" s="86" t="s">
        <v>252</v>
      </c>
      <c r="G101" s="87" t="s">
        <v>250</v>
      </c>
      <c r="H101" s="87"/>
      <c r="I101" s="85" t="s">
        <v>4</v>
      </c>
      <c r="J101" s="88">
        <v>88837.75</v>
      </c>
      <c r="K101" s="88">
        <f t="shared" si="8"/>
        <v>102163.41249999999</v>
      </c>
      <c r="L101" s="89" t="s">
        <v>55</v>
      </c>
    </row>
    <row r="102" spans="1:12" ht="55" customHeight="1" x14ac:dyDescent="0.5">
      <c r="C102" s="110">
        <v>100</v>
      </c>
      <c r="D102" s="86">
        <v>45964</v>
      </c>
      <c r="E102" s="86" t="s">
        <v>253</v>
      </c>
      <c r="F102" s="86" t="s">
        <v>66</v>
      </c>
      <c r="G102" s="87" t="s">
        <v>250</v>
      </c>
      <c r="H102" s="87"/>
      <c r="I102" s="85" t="s">
        <v>4</v>
      </c>
      <c r="J102" s="88">
        <v>1147.75</v>
      </c>
      <c r="K102" s="88">
        <f t="shared" si="8"/>
        <v>1319.9124999999999</v>
      </c>
      <c r="L102" s="89" t="s">
        <v>55</v>
      </c>
    </row>
    <row r="103" spans="1:12" ht="55" customHeight="1" x14ac:dyDescent="0.5">
      <c r="C103" s="110">
        <v>101</v>
      </c>
      <c r="D103" s="86">
        <v>45964</v>
      </c>
      <c r="E103" s="86" t="s">
        <v>254</v>
      </c>
      <c r="F103" s="86" t="s">
        <v>107</v>
      </c>
      <c r="G103" s="87" t="s">
        <v>250</v>
      </c>
      <c r="H103" s="87"/>
      <c r="I103" s="85" t="s">
        <v>4</v>
      </c>
      <c r="J103" s="88">
        <v>19138.25</v>
      </c>
      <c r="K103" s="88">
        <f t="shared" si="8"/>
        <v>22008.987499999999</v>
      </c>
      <c r="L103" s="89" t="s">
        <v>55</v>
      </c>
    </row>
    <row r="104" spans="1:12" ht="55" customHeight="1" x14ac:dyDescent="0.5">
      <c r="C104" s="110">
        <v>102</v>
      </c>
      <c r="D104" s="86">
        <v>45982</v>
      </c>
      <c r="E104" s="86" t="s">
        <v>255</v>
      </c>
      <c r="F104" s="86" t="s">
        <v>256</v>
      </c>
      <c r="G104" s="87" t="s">
        <v>67</v>
      </c>
      <c r="H104" s="87" t="s">
        <v>257</v>
      </c>
      <c r="I104" s="85" t="s">
        <v>4</v>
      </c>
      <c r="J104" s="88">
        <v>8979.59</v>
      </c>
      <c r="K104" s="88">
        <f t="shared" si="8"/>
        <v>10326.528499999999</v>
      </c>
      <c r="L104" s="89" t="s">
        <v>55</v>
      </c>
    </row>
    <row r="105" spans="1:12" ht="56" customHeight="1" x14ac:dyDescent="0.5">
      <c r="C105" s="110">
        <v>103</v>
      </c>
      <c r="D105" s="86">
        <v>45658</v>
      </c>
      <c r="E105" s="86" t="s">
        <v>258</v>
      </c>
      <c r="F105" s="86" t="s">
        <v>256</v>
      </c>
      <c r="G105" s="87" t="s">
        <v>67</v>
      </c>
      <c r="H105" s="87" t="s">
        <v>245</v>
      </c>
      <c r="I105" s="85" t="s">
        <v>4</v>
      </c>
      <c r="J105" s="88">
        <v>8282.4277500000026</v>
      </c>
      <c r="K105" s="88">
        <f>J105*1.15</f>
        <v>9524.7919125000026</v>
      </c>
      <c r="L105" s="89" t="s">
        <v>55</v>
      </c>
    </row>
    <row r="106" spans="1:12" ht="56" customHeight="1" x14ac:dyDescent="0.5">
      <c r="C106" s="110">
        <v>104</v>
      </c>
      <c r="D106" s="86">
        <v>45962</v>
      </c>
      <c r="E106" s="86" t="s">
        <v>259</v>
      </c>
      <c r="F106" s="86" t="s">
        <v>260</v>
      </c>
      <c r="G106" s="87" t="s">
        <v>261</v>
      </c>
      <c r="H106" s="103">
        <v>45778</v>
      </c>
      <c r="I106" s="85" t="s">
        <v>4</v>
      </c>
      <c r="J106" s="88">
        <v>13326</v>
      </c>
      <c r="K106" s="88">
        <f t="shared" ref="K106" si="9">J106*1.15</f>
        <v>15324.9</v>
      </c>
      <c r="L106" s="89" t="s">
        <v>55</v>
      </c>
    </row>
    <row r="107" spans="1:12" s="16" customFormat="1" ht="81" customHeight="1" x14ac:dyDescent="0.6">
      <c r="A107" s="15"/>
      <c r="B107" s="15"/>
      <c r="C107" s="98"/>
      <c r="D107" s="98"/>
      <c r="E107" s="98"/>
      <c r="F107" s="98"/>
      <c r="G107" s="10"/>
      <c r="H107" s="10"/>
      <c r="I107" s="11" t="s">
        <v>5</v>
      </c>
      <c r="J107" s="12">
        <f>SUM(J3:J106)</f>
        <v>2048654.7576550001</v>
      </c>
      <c r="K107" s="12">
        <f>SUM(K1:K106)</f>
        <v>2358747.2881032485</v>
      </c>
      <c r="L107" s="89"/>
    </row>
    <row r="108" spans="1:12" s="16" customFormat="1" ht="81" customHeight="1" x14ac:dyDescent="0.6">
      <c r="A108" s="15"/>
      <c r="B108" s="15"/>
      <c r="C108" s="1"/>
      <c r="D108" s="1"/>
      <c r="E108" s="1"/>
      <c r="F108" s="1"/>
      <c r="G108" s="94" t="s">
        <v>56</v>
      </c>
      <c r="H108" s="94"/>
      <c r="I108" s="95"/>
      <c r="J108" s="96"/>
      <c r="K108" s="96"/>
      <c r="L108" s="97"/>
    </row>
    <row r="109" spans="1:12" ht="171" customHeight="1" x14ac:dyDescent="0.6">
      <c r="C109" s="16"/>
      <c r="D109" s="16"/>
      <c r="E109" s="16"/>
      <c r="F109" s="16"/>
      <c r="G109" s="99" t="s">
        <v>12</v>
      </c>
      <c r="H109" s="99"/>
      <c r="I109" s="100" t="s">
        <v>58</v>
      </c>
      <c r="J109" s="100" t="s">
        <v>9</v>
      </c>
      <c r="K109" s="100" t="s">
        <v>10</v>
      </c>
      <c r="L109" s="100" t="s">
        <v>262</v>
      </c>
    </row>
    <row r="110" spans="1:12" ht="84" customHeight="1" x14ac:dyDescent="0.6">
      <c r="C110" s="16"/>
      <c r="D110" s="16"/>
      <c r="E110" s="16"/>
      <c r="F110" s="16"/>
      <c r="G110" s="99"/>
      <c r="H110" s="99"/>
      <c r="I110" s="111">
        <f>J107</f>
        <v>2048654.7576550001</v>
      </c>
      <c r="J110" s="112">
        <f>J107</f>
        <v>2048654.7576550001</v>
      </c>
      <c r="K110" s="111">
        <v>1742464.5</v>
      </c>
      <c r="L110" s="113">
        <f>J110-K110</f>
        <v>306190.25765500008</v>
      </c>
    </row>
    <row r="111" spans="1:12" ht="82.5" customHeight="1" x14ac:dyDescent="0.5">
      <c r="C111" s="1"/>
      <c r="G111" s="99"/>
      <c r="H111" s="99"/>
      <c r="I111" s="114">
        <f>K107</f>
        <v>2358747.2881032485</v>
      </c>
      <c r="J111" s="115">
        <f>K107</f>
        <v>2358747.2881032485</v>
      </c>
      <c r="K111" s="114">
        <v>2006085.25</v>
      </c>
      <c r="L111" s="116">
        <f>J111-K111</f>
        <v>352662.03810324846</v>
      </c>
    </row>
    <row r="112" spans="1:12" x14ac:dyDescent="0.5">
      <c r="C112" s="1"/>
      <c r="J112" s="7"/>
      <c r="K112" s="7"/>
    </row>
    <row r="113" spans="3:11" x14ac:dyDescent="0.5">
      <c r="C113" s="1"/>
      <c r="J113" s="7"/>
      <c r="K113" s="7"/>
    </row>
    <row r="114" spans="3:11" x14ac:dyDescent="0.5">
      <c r="C114" s="1"/>
      <c r="J114" s="7"/>
      <c r="K114" s="7"/>
    </row>
    <row r="115" spans="3:11" x14ac:dyDescent="0.5">
      <c r="C115" s="1"/>
      <c r="J115" s="7"/>
      <c r="K115" s="7"/>
    </row>
    <row r="116" spans="3:11" x14ac:dyDescent="0.5">
      <c r="C116" s="1"/>
      <c r="J116" s="7"/>
      <c r="K116" s="7"/>
    </row>
    <row r="117" spans="3:11" x14ac:dyDescent="0.5">
      <c r="C117" s="1"/>
      <c r="J117" s="7"/>
      <c r="K117" s="7"/>
    </row>
    <row r="118" spans="3:11" x14ac:dyDescent="0.5">
      <c r="C118" s="1"/>
      <c r="J118" s="7"/>
      <c r="K118" s="7"/>
    </row>
    <row r="119" spans="3:11" x14ac:dyDescent="0.5">
      <c r="C119" s="1"/>
      <c r="J119" s="7"/>
      <c r="K119" s="7"/>
    </row>
    <row r="120" spans="3:11" x14ac:dyDescent="0.5">
      <c r="C120" s="1"/>
      <c r="J120" s="7"/>
      <c r="K120" s="7"/>
    </row>
    <row r="121" spans="3:11" x14ac:dyDescent="0.5">
      <c r="C121" s="1"/>
      <c r="J121" s="7"/>
      <c r="K121" s="7"/>
    </row>
    <row r="122" spans="3:11" x14ac:dyDescent="0.5">
      <c r="C122" s="1"/>
      <c r="J122" s="7"/>
      <c r="K122" s="7"/>
    </row>
    <row r="123" spans="3:11" x14ac:dyDescent="0.5">
      <c r="C123" s="1"/>
      <c r="J123" s="7"/>
      <c r="K123" s="7"/>
    </row>
    <row r="124" spans="3:11" x14ac:dyDescent="0.5">
      <c r="C124" s="1"/>
      <c r="J124" s="7"/>
      <c r="K124" s="7"/>
    </row>
    <row r="125" spans="3:11" x14ac:dyDescent="0.5">
      <c r="C125" s="1"/>
      <c r="J125" s="7"/>
      <c r="K125" s="7"/>
    </row>
    <row r="126" spans="3:11" x14ac:dyDescent="0.5">
      <c r="C126" s="1"/>
      <c r="J126" s="7"/>
      <c r="K126" s="7"/>
    </row>
    <row r="127" spans="3:11" x14ac:dyDescent="0.5">
      <c r="C127" s="1"/>
      <c r="J127" s="7"/>
      <c r="K127" s="7"/>
    </row>
    <row r="128" spans="3:11" x14ac:dyDescent="0.5">
      <c r="C128" s="1"/>
      <c r="J128" s="7"/>
      <c r="K128" s="7"/>
    </row>
    <row r="129" spans="3:11" x14ac:dyDescent="0.5">
      <c r="C129" s="1"/>
      <c r="J129" s="7"/>
      <c r="K129" s="7"/>
    </row>
    <row r="130" spans="3:11" x14ac:dyDescent="0.5">
      <c r="C130" s="1"/>
      <c r="J130" s="7"/>
      <c r="K130" s="7"/>
    </row>
    <row r="131" spans="3:11" x14ac:dyDescent="0.5">
      <c r="C131" s="1"/>
      <c r="J131" s="7"/>
      <c r="K131" s="7"/>
    </row>
    <row r="132" spans="3:11" x14ac:dyDescent="0.5">
      <c r="C132" s="1"/>
      <c r="J132" s="7"/>
      <c r="K132" s="7"/>
    </row>
    <row r="133" spans="3:11" x14ac:dyDescent="0.5">
      <c r="C133" s="1"/>
      <c r="J133" s="7"/>
      <c r="K133" s="7"/>
    </row>
    <row r="134" spans="3:11" x14ac:dyDescent="0.5">
      <c r="C134" s="1"/>
      <c r="J134" s="7"/>
      <c r="K134" s="7"/>
    </row>
    <row r="135" spans="3:11" x14ac:dyDescent="0.5">
      <c r="C135" s="1"/>
      <c r="J135" s="7"/>
      <c r="K135" s="7"/>
    </row>
    <row r="136" spans="3:11" x14ac:dyDescent="0.5">
      <c r="C136" s="1"/>
      <c r="J136" s="7"/>
      <c r="K136" s="7"/>
    </row>
    <row r="137" spans="3:11" x14ac:dyDescent="0.5">
      <c r="C137" s="1"/>
      <c r="J137" s="7"/>
      <c r="K137" s="7"/>
    </row>
    <row r="138" spans="3:11" x14ac:dyDescent="0.5">
      <c r="C138" s="1"/>
      <c r="J138" s="7"/>
      <c r="K138" s="7"/>
    </row>
    <row r="139" spans="3:11" x14ac:dyDescent="0.5">
      <c r="C139" s="1"/>
      <c r="J139" s="7"/>
      <c r="K139" s="7"/>
    </row>
    <row r="140" spans="3:11" x14ac:dyDescent="0.5">
      <c r="C140" s="1"/>
      <c r="J140" s="7"/>
      <c r="K140" s="7"/>
    </row>
    <row r="141" spans="3:11" x14ac:dyDescent="0.5">
      <c r="J141" s="7"/>
      <c r="K141" s="7"/>
    </row>
  </sheetData>
  <mergeCells count="1">
    <mergeCell ref="C1:L1"/>
  </mergeCells>
  <phoneticPr fontId="8" type="noConversion"/>
  <pageMargins left="0.7" right="0.7" top="0.75" bottom="0.75" header="0.3" footer="0.3"/>
  <pageSetup scale="15" orientation="portrait" r:id="rId1"/>
  <rowBreaks count="1" manualBreakCount="1">
    <brk id="7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E08B-FF7C-4B3C-AE26-5777E6E4BE5E}">
  <dimension ref="A1:M56"/>
  <sheetViews>
    <sheetView tabSelected="1" zoomScale="33" zoomScaleNormal="33" workbookViewId="0">
      <pane ySplit="2" topLeftCell="A47" activePane="bottomLeft" state="frozen"/>
      <selection activeCell="D1" sqref="D1"/>
      <selection pane="bottomLeft" activeCell="F54" sqref="F54"/>
    </sheetView>
  </sheetViews>
  <sheetFormatPr defaultColWidth="8.81640625" defaultRowHeight="21" x14ac:dyDescent="0.5"/>
  <cols>
    <col min="1" max="1" width="3.81640625" style="3" customWidth="1"/>
    <col min="2" max="2" width="8.453125" style="3" hidden="1" customWidth="1"/>
    <col min="3" max="3" width="18.81640625" style="1" customWidth="1"/>
    <col min="4" max="5" width="27.90625" style="1" customWidth="1"/>
    <col min="6" max="6" width="53.26953125" style="1" customWidth="1"/>
    <col min="7" max="7" width="144.1796875" style="1" customWidth="1"/>
    <col min="8" max="8" width="58.36328125" style="1" customWidth="1"/>
    <col min="9" max="9" width="32.6328125" style="1" customWidth="1"/>
    <col min="10" max="10" width="37.6328125" style="4" customWidth="1"/>
    <col min="11" max="11" width="44.54296875" style="4" customWidth="1"/>
    <col min="12" max="12" width="69.36328125" style="97" customWidth="1"/>
    <col min="13" max="13" width="40.1796875" style="1" customWidth="1"/>
    <col min="14" max="14" width="16" style="1" customWidth="1"/>
    <col min="15" max="16384" width="8.81640625" style="1"/>
  </cols>
  <sheetData>
    <row r="1" spans="1:13" ht="66" customHeight="1" x14ac:dyDescent="0.5">
      <c r="A1" s="1"/>
      <c r="B1" s="1"/>
      <c r="C1" s="119" t="s">
        <v>338</v>
      </c>
      <c r="D1" s="119"/>
      <c r="E1" s="119"/>
      <c r="F1" s="119"/>
      <c r="G1" s="119"/>
      <c r="H1" s="119"/>
      <c r="I1" s="119"/>
      <c r="J1" s="119"/>
      <c r="K1" s="119"/>
      <c r="L1" s="119"/>
    </row>
    <row r="2" spans="1:13" s="2" customFormat="1" ht="112.5" customHeight="1" x14ac:dyDescent="0.5">
      <c r="C2" s="117" t="s">
        <v>6</v>
      </c>
      <c r="D2" s="117" t="s">
        <v>7</v>
      </c>
      <c r="E2" s="117" t="s">
        <v>263</v>
      </c>
      <c r="F2" s="117" t="s">
        <v>264</v>
      </c>
      <c r="G2" s="117" t="s">
        <v>62</v>
      </c>
      <c r="H2" s="117" t="s">
        <v>265</v>
      </c>
      <c r="I2" s="117" t="s">
        <v>1</v>
      </c>
      <c r="J2" s="118" t="s">
        <v>2</v>
      </c>
      <c r="K2" s="118" t="s">
        <v>3</v>
      </c>
      <c r="L2" s="117" t="s">
        <v>11</v>
      </c>
    </row>
    <row r="3" spans="1:13" s="2" customFormat="1" ht="55" customHeight="1" x14ac:dyDescent="0.5">
      <c r="C3" s="145">
        <v>1</v>
      </c>
      <c r="D3" s="146">
        <v>45952</v>
      </c>
      <c r="E3" s="146" t="s">
        <v>266</v>
      </c>
      <c r="F3" s="146" t="s">
        <v>232</v>
      </c>
      <c r="G3" s="147" t="s">
        <v>82</v>
      </c>
      <c r="H3" s="148">
        <v>45901</v>
      </c>
      <c r="I3" s="145" t="s">
        <v>4</v>
      </c>
      <c r="J3" s="149">
        <v>8400</v>
      </c>
      <c r="K3" s="149">
        <v>9660</v>
      </c>
      <c r="L3" s="145" t="s">
        <v>305</v>
      </c>
    </row>
    <row r="4" spans="1:13" s="2" customFormat="1" ht="55" customHeight="1" x14ac:dyDescent="0.5">
      <c r="C4" s="145">
        <v>2</v>
      </c>
      <c r="D4" s="146">
        <v>45960</v>
      </c>
      <c r="E4" s="146" t="s">
        <v>267</v>
      </c>
      <c r="F4" s="146" t="s">
        <v>268</v>
      </c>
      <c r="G4" s="150" t="s">
        <v>82</v>
      </c>
      <c r="H4" s="148">
        <v>45901</v>
      </c>
      <c r="I4" s="145" t="s">
        <v>4</v>
      </c>
      <c r="J4" s="149">
        <v>9780</v>
      </c>
      <c r="K4" s="149">
        <v>11247</v>
      </c>
      <c r="L4" s="145" t="s">
        <v>305</v>
      </c>
    </row>
    <row r="5" spans="1:13" s="2" customFormat="1" ht="55" customHeight="1" x14ac:dyDescent="0.5">
      <c r="C5" s="145">
        <v>3</v>
      </c>
      <c r="D5" s="146">
        <v>46022</v>
      </c>
      <c r="E5" s="146" t="s">
        <v>269</v>
      </c>
      <c r="F5" s="146" t="s">
        <v>270</v>
      </c>
      <c r="G5" s="150" t="s">
        <v>27</v>
      </c>
      <c r="H5" s="148">
        <v>45962</v>
      </c>
      <c r="I5" s="145" t="s">
        <v>54</v>
      </c>
      <c r="J5" s="149">
        <v>14940.22</v>
      </c>
      <c r="K5" s="149">
        <f>J5*1.15</f>
        <v>17181.252999999997</v>
      </c>
      <c r="L5" s="145" t="s">
        <v>305</v>
      </c>
    </row>
    <row r="6" spans="1:13" s="2" customFormat="1" ht="55" customHeight="1" x14ac:dyDescent="0.5">
      <c r="C6" s="145">
        <v>4</v>
      </c>
      <c r="D6" s="146">
        <v>45971</v>
      </c>
      <c r="E6" s="146" t="s">
        <v>271</v>
      </c>
      <c r="F6" s="146" t="s">
        <v>272</v>
      </c>
      <c r="G6" s="150" t="s">
        <v>77</v>
      </c>
      <c r="H6" s="148">
        <v>45901</v>
      </c>
      <c r="I6" s="145" t="s">
        <v>54</v>
      </c>
      <c r="J6" s="149">
        <v>9100</v>
      </c>
      <c r="K6" s="149">
        <f>J6*1.15</f>
        <v>10465</v>
      </c>
      <c r="L6" s="145" t="s">
        <v>305</v>
      </c>
    </row>
    <row r="7" spans="1:13" s="2" customFormat="1" ht="55" customHeight="1" x14ac:dyDescent="0.5">
      <c r="C7" s="145">
        <v>5</v>
      </c>
      <c r="D7" s="146">
        <v>46022</v>
      </c>
      <c r="E7" s="146" t="s">
        <v>273</v>
      </c>
      <c r="F7" s="146" t="s">
        <v>274</v>
      </c>
      <c r="G7" s="151" t="s">
        <v>31</v>
      </c>
      <c r="H7" s="151" t="s">
        <v>275</v>
      </c>
      <c r="I7" s="145" t="s">
        <v>4</v>
      </c>
      <c r="J7" s="149">
        <v>19065.732400000004</v>
      </c>
      <c r="K7" s="149">
        <v>21925.592260000005</v>
      </c>
      <c r="L7" s="145" t="s">
        <v>306</v>
      </c>
    </row>
    <row r="8" spans="1:13" s="2" customFormat="1" ht="55" customHeight="1" x14ac:dyDescent="0.5">
      <c r="C8" s="152">
        <v>6</v>
      </c>
      <c r="D8" s="153">
        <v>45973</v>
      </c>
      <c r="E8" s="153" t="s">
        <v>276</v>
      </c>
      <c r="F8" s="153" t="s">
        <v>277</v>
      </c>
      <c r="G8" s="154" t="s">
        <v>31</v>
      </c>
      <c r="H8" s="155">
        <v>45931</v>
      </c>
      <c r="I8" s="152" t="s">
        <v>4</v>
      </c>
      <c r="J8" s="156">
        <v>4000.5586799999992</v>
      </c>
      <c r="K8" s="156">
        <v>4600.6424819999993</v>
      </c>
      <c r="L8" s="152" t="s">
        <v>305</v>
      </c>
    </row>
    <row r="9" spans="1:13" s="2" customFormat="1" ht="55" customHeight="1" x14ac:dyDescent="0.5">
      <c r="C9" s="152">
        <v>7</v>
      </c>
      <c r="D9" s="153">
        <v>45973</v>
      </c>
      <c r="E9" s="153" t="s">
        <v>278</v>
      </c>
      <c r="F9" s="153" t="s">
        <v>279</v>
      </c>
      <c r="G9" s="154" t="s">
        <v>31</v>
      </c>
      <c r="H9" s="155">
        <v>45931</v>
      </c>
      <c r="I9" s="152" t="s">
        <v>4</v>
      </c>
      <c r="J9" s="156">
        <v>3085.13184</v>
      </c>
      <c r="K9" s="156">
        <v>3547.9016160000001</v>
      </c>
      <c r="L9" s="152" t="s">
        <v>305</v>
      </c>
    </row>
    <row r="10" spans="1:13" s="6" customFormat="1" ht="55" customHeight="1" x14ac:dyDescent="0.35">
      <c r="C10" s="152">
        <v>8</v>
      </c>
      <c r="D10" s="153">
        <v>45973</v>
      </c>
      <c r="E10" s="153" t="s">
        <v>280</v>
      </c>
      <c r="F10" s="153" t="s">
        <v>281</v>
      </c>
      <c r="G10" s="154" t="s">
        <v>31</v>
      </c>
      <c r="H10" s="155">
        <v>45931</v>
      </c>
      <c r="I10" s="152" t="s">
        <v>4</v>
      </c>
      <c r="J10" s="156">
        <v>2338.5017600000001</v>
      </c>
      <c r="K10" s="156">
        <v>2689.277024</v>
      </c>
      <c r="L10" s="152" t="s">
        <v>305</v>
      </c>
    </row>
    <row r="11" spans="1:13" s="6" customFormat="1" ht="55" customHeight="1" x14ac:dyDescent="0.35">
      <c r="C11" s="152">
        <v>9</v>
      </c>
      <c r="D11" s="153">
        <v>45973</v>
      </c>
      <c r="E11" s="153" t="s">
        <v>282</v>
      </c>
      <c r="F11" s="153" t="s">
        <v>232</v>
      </c>
      <c r="G11" s="154" t="s">
        <v>82</v>
      </c>
      <c r="H11" s="155">
        <v>45931</v>
      </c>
      <c r="I11" s="152" t="s">
        <v>4</v>
      </c>
      <c r="J11" s="156">
        <v>8952</v>
      </c>
      <c r="K11" s="156">
        <v>10294.799999999999</v>
      </c>
      <c r="L11" s="152" t="s">
        <v>305</v>
      </c>
    </row>
    <row r="12" spans="1:13" s="6" customFormat="1" ht="55" customHeight="1" x14ac:dyDescent="0.35">
      <c r="C12" s="152">
        <v>10</v>
      </c>
      <c r="D12" s="153">
        <v>46013</v>
      </c>
      <c r="E12" s="153" t="s">
        <v>283</v>
      </c>
      <c r="F12" s="153" t="s">
        <v>268</v>
      </c>
      <c r="G12" s="154" t="s">
        <v>284</v>
      </c>
      <c r="H12" s="154"/>
      <c r="I12" s="152" t="s">
        <v>4</v>
      </c>
      <c r="J12" s="156">
        <v>52598.2</v>
      </c>
      <c r="K12" s="156">
        <f>J12*1.15</f>
        <v>60487.929999999993</v>
      </c>
      <c r="L12" s="152" t="s">
        <v>305</v>
      </c>
    </row>
    <row r="13" spans="1:13" s="6" customFormat="1" ht="55" customHeight="1" x14ac:dyDescent="0.35">
      <c r="C13" s="152">
        <v>11</v>
      </c>
      <c r="D13" s="153">
        <v>45979</v>
      </c>
      <c r="E13" s="153" t="s">
        <v>285</v>
      </c>
      <c r="F13" s="153" t="s">
        <v>232</v>
      </c>
      <c r="G13" s="154" t="s">
        <v>27</v>
      </c>
      <c r="H13" s="154" t="s">
        <v>275</v>
      </c>
      <c r="I13" s="152" t="s">
        <v>4</v>
      </c>
      <c r="J13" s="156">
        <f>1382.62*0.23*79.2</f>
        <v>25185.805919999999</v>
      </c>
      <c r="K13" s="156">
        <f>J13*1.15</f>
        <v>28963.676807999997</v>
      </c>
      <c r="L13" s="152" t="s">
        <v>305</v>
      </c>
    </row>
    <row r="14" spans="1:13" s="6" customFormat="1" ht="55" customHeight="1" x14ac:dyDescent="0.35">
      <c r="C14" s="157">
        <v>12</v>
      </c>
      <c r="D14" s="158">
        <v>45983</v>
      </c>
      <c r="E14" s="158" t="s">
        <v>286</v>
      </c>
      <c r="F14" s="158" t="s">
        <v>272</v>
      </c>
      <c r="G14" s="159" t="s">
        <v>27</v>
      </c>
      <c r="H14" s="160">
        <v>45931</v>
      </c>
      <c r="I14" s="157" t="s">
        <v>4</v>
      </c>
      <c r="J14" s="161">
        <f>46.085*0.16*160</f>
        <v>1179.7760000000001</v>
      </c>
      <c r="K14" s="161">
        <f>J14*1.15</f>
        <v>1356.7423999999999</v>
      </c>
      <c r="L14" s="157" t="s">
        <v>306</v>
      </c>
      <c r="M14" s="6" t="s">
        <v>344</v>
      </c>
    </row>
    <row r="15" spans="1:13" s="6" customFormat="1" ht="55" customHeight="1" x14ac:dyDescent="0.35">
      <c r="C15" s="145">
        <v>13</v>
      </c>
      <c r="D15" s="146">
        <v>45980</v>
      </c>
      <c r="E15" s="146" t="s">
        <v>287</v>
      </c>
      <c r="F15" s="146" t="s">
        <v>268</v>
      </c>
      <c r="G15" s="151" t="s">
        <v>288</v>
      </c>
      <c r="H15" s="162">
        <v>45931</v>
      </c>
      <c r="I15" s="145" t="s">
        <v>4</v>
      </c>
      <c r="J15" s="149">
        <v>10642</v>
      </c>
      <c r="K15" s="149">
        <f>J15*1.15</f>
        <v>12238.3</v>
      </c>
      <c r="L15" s="145" t="s">
        <v>305</v>
      </c>
    </row>
    <row r="16" spans="1:13" s="6" customFormat="1" ht="55" customHeight="1" x14ac:dyDescent="0.35">
      <c r="C16" s="145">
        <v>14</v>
      </c>
      <c r="D16" s="146">
        <v>45999</v>
      </c>
      <c r="E16" s="146" t="s">
        <v>289</v>
      </c>
      <c r="F16" s="146" t="s">
        <v>270</v>
      </c>
      <c r="G16" s="151" t="s">
        <v>288</v>
      </c>
      <c r="H16" s="162">
        <v>45962</v>
      </c>
      <c r="I16" s="145" t="s">
        <v>54</v>
      </c>
      <c r="J16" s="149">
        <v>7780</v>
      </c>
      <c r="K16" s="149">
        <f t="shared" ref="K16:K27" si="0">J16*1.15</f>
        <v>8947</v>
      </c>
      <c r="L16" s="145" t="s">
        <v>305</v>
      </c>
    </row>
    <row r="17" spans="1:12" s="6" customFormat="1" ht="55" customHeight="1" x14ac:dyDescent="0.35">
      <c r="A17" s="6" t="s">
        <v>290</v>
      </c>
      <c r="C17" s="145">
        <v>15</v>
      </c>
      <c r="D17" s="146">
        <v>46007</v>
      </c>
      <c r="E17" s="146" t="s">
        <v>291</v>
      </c>
      <c r="F17" s="146" t="s">
        <v>281</v>
      </c>
      <c r="G17" s="151" t="s">
        <v>31</v>
      </c>
      <c r="H17" s="162">
        <v>45962</v>
      </c>
      <c r="I17" s="145" t="s">
        <v>54</v>
      </c>
      <c r="J17" s="149">
        <v>1972.23</v>
      </c>
      <c r="K17" s="149">
        <f t="shared" si="0"/>
        <v>2268.0645</v>
      </c>
      <c r="L17" s="145" t="s">
        <v>305</v>
      </c>
    </row>
    <row r="18" spans="1:12" s="6" customFormat="1" ht="55" customHeight="1" x14ac:dyDescent="0.35">
      <c r="C18" s="145">
        <v>16</v>
      </c>
      <c r="D18" s="146">
        <v>46007</v>
      </c>
      <c r="E18" s="146" t="s">
        <v>292</v>
      </c>
      <c r="F18" s="146" t="s">
        <v>293</v>
      </c>
      <c r="G18" s="151" t="s">
        <v>31</v>
      </c>
      <c r="H18" s="151" t="s">
        <v>294</v>
      </c>
      <c r="I18" s="145" t="s">
        <v>54</v>
      </c>
      <c r="J18" s="149">
        <v>13669.14</v>
      </c>
      <c r="K18" s="149">
        <f t="shared" si="0"/>
        <v>15719.510999999999</v>
      </c>
      <c r="L18" s="145" t="s">
        <v>305</v>
      </c>
    </row>
    <row r="19" spans="1:12" s="6" customFormat="1" ht="55" customHeight="1" x14ac:dyDescent="0.35">
      <c r="C19" s="145">
        <v>17</v>
      </c>
      <c r="D19" s="146">
        <v>46007</v>
      </c>
      <c r="E19" s="146" t="s">
        <v>295</v>
      </c>
      <c r="F19" s="146" t="s">
        <v>296</v>
      </c>
      <c r="G19" s="163" t="s">
        <v>31</v>
      </c>
      <c r="H19" s="162" t="s">
        <v>302</v>
      </c>
      <c r="I19" s="145" t="s">
        <v>4</v>
      </c>
      <c r="J19" s="149">
        <v>22504.560000000001</v>
      </c>
      <c r="K19" s="149">
        <f t="shared" si="0"/>
        <v>25880.243999999999</v>
      </c>
      <c r="L19" s="145" t="s">
        <v>305</v>
      </c>
    </row>
    <row r="20" spans="1:12" s="6" customFormat="1" ht="55" customHeight="1" x14ac:dyDescent="0.35">
      <c r="C20" s="145">
        <v>18</v>
      </c>
      <c r="D20" s="146">
        <v>46009</v>
      </c>
      <c r="E20" s="146" t="s">
        <v>297</v>
      </c>
      <c r="F20" s="146" t="s">
        <v>268</v>
      </c>
      <c r="G20" s="151" t="s">
        <v>288</v>
      </c>
      <c r="H20" s="162">
        <v>45962</v>
      </c>
      <c r="I20" s="145" t="s">
        <v>54</v>
      </c>
      <c r="J20" s="149">
        <v>8748</v>
      </c>
      <c r="K20" s="149">
        <f t="shared" si="0"/>
        <v>10060.199999999999</v>
      </c>
      <c r="L20" s="145" t="s">
        <v>305</v>
      </c>
    </row>
    <row r="21" spans="1:12" s="6" customFormat="1" ht="55" customHeight="1" x14ac:dyDescent="0.35">
      <c r="C21" s="145">
        <v>19</v>
      </c>
      <c r="D21" s="146">
        <v>46036</v>
      </c>
      <c r="E21" s="146" t="s">
        <v>298</v>
      </c>
      <c r="F21" s="146" t="s">
        <v>270</v>
      </c>
      <c r="G21" s="151" t="s">
        <v>288</v>
      </c>
      <c r="H21" s="162">
        <v>45992</v>
      </c>
      <c r="I21" s="145" t="s">
        <v>4</v>
      </c>
      <c r="J21" s="149">
        <v>11630</v>
      </c>
      <c r="K21" s="149">
        <f t="shared" si="0"/>
        <v>13374.499999999998</v>
      </c>
      <c r="L21" s="145" t="s">
        <v>306</v>
      </c>
    </row>
    <row r="22" spans="1:12" s="6" customFormat="1" ht="55" customHeight="1" x14ac:dyDescent="0.35">
      <c r="C22" s="145">
        <v>20</v>
      </c>
      <c r="D22" s="146">
        <v>46036</v>
      </c>
      <c r="E22" s="146" t="s">
        <v>299</v>
      </c>
      <c r="F22" s="146" t="s">
        <v>268</v>
      </c>
      <c r="G22" s="151" t="s">
        <v>77</v>
      </c>
      <c r="H22" s="162">
        <v>45992</v>
      </c>
      <c r="I22" s="145" t="s">
        <v>54</v>
      </c>
      <c r="J22" s="149">
        <v>980</v>
      </c>
      <c r="K22" s="149">
        <f t="shared" si="0"/>
        <v>1127</v>
      </c>
      <c r="L22" s="145" t="s">
        <v>306</v>
      </c>
    </row>
    <row r="23" spans="1:12" s="6" customFormat="1" ht="55" customHeight="1" x14ac:dyDescent="0.35">
      <c r="C23" s="145">
        <v>21</v>
      </c>
      <c r="D23" s="146">
        <v>46036</v>
      </c>
      <c r="E23" s="146" t="s">
        <v>300</v>
      </c>
      <c r="F23" s="146" t="s">
        <v>279</v>
      </c>
      <c r="G23" s="151" t="s">
        <v>31</v>
      </c>
      <c r="H23" s="162">
        <v>45992</v>
      </c>
      <c r="I23" s="145" t="s">
        <v>54</v>
      </c>
      <c r="J23" s="149">
        <v>1408.74</v>
      </c>
      <c r="K23" s="149">
        <f t="shared" si="0"/>
        <v>1620.0509999999999</v>
      </c>
      <c r="L23" s="145" t="s">
        <v>306</v>
      </c>
    </row>
    <row r="24" spans="1:12" s="6" customFormat="1" ht="55" customHeight="1" x14ac:dyDescent="0.35">
      <c r="C24" s="145">
        <v>22</v>
      </c>
      <c r="D24" s="146">
        <v>46024</v>
      </c>
      <c r="E24" s="146" t="s">
        <v>301</v>
      </c>
      <c r="F24" s="146" t="s">
        <v>268</v>
      </c>
      <c r="G24" s="151" t="s">
        <v>27</v>
      </c>
      <c r="H24" s="162" t="s">
        <v>275</v>
      </c>
      <c r="I24" s="145" t="s">
        <v>4</v>
      </c>
      <c r="J24" s="149">
        <v>5265.15</v>
      </c>
      <c r="K24" s="149">
        <f t="shared" si="0"/>
        <v>6054.9224999999988</v>
      </c>
      <c r="L24" s="145" t="s">
        <v>306</v>
      </c>
    </row>
    <row r="25" spans="1:12" s="6" customFormat="1" ht="55" customHeight="1" x14ac:dyDescent="0.35">
      <c r="C25" s="145">
        <v>23</v>
      </c>
      <c r="D25" s="146">
        <v>46024</v>
      </c>
      <c r="E25" s="146" t="s">
        <v>303</v>
      </c>
      <c r="F25" s="146" t="s">
        <v>268</v>
      </c>
      <c r="G25" s="151" t="s">
        <v>27</v>
      </c>
      <c r="H25" s="162" t="s">
        <v>302</v>
      </c>
      <c r="I25" s="145" t="s">
        <v>54</v>
      </c>
      <c r="J25" s="149">
        <v>8234.2000000000007</v>
      </c>
      <c r="K25" s="149">
        <f t="shared" si="0"/>
        <v>9469.33</v>
      </c>
      <c r="L25" s="145" t="s">
        <v>306</v>
      </c>
    </row>
    <row r="26" spans="1:12" s="6" customFormat="1" ht="55" customHeight="1" x14ac:dyDescent="0.35">
      <c r="C26" s="145">
        <v>24</v>
      </c>
      <c r="D26" s="146">
        <v>46050</v>
      </c>
      <c r="E26" s="146" t="s">
        <v>304</v>
      </c>
      <c r="F26" s="146" t="s">
        <v>232</v>
      </c>
      <c r="G26" s="151" t="s">
        <v>27</v>
      </c>
      <c r="H26" s="162">
        <v>45992</v>
      </c>
      <c r="I26" s="145" t="s">
        <v>54</v>
      </c>
      <c r="J26" s="149">
        <v>16279.64</v>
      </c>
      <c r="K26" s="149">
        <f t="shared" si="0"/>
        <v>18721.585999999999</v>
      </c>
      <c r="L26" s="145" t="s">
        <v>306</v>
      </c>
    </row>
    <row r="27" spans="1:12" s="6" customFormat="1" ht="55" customHeight="1" x14ac:dyDescent="0.35">
      <c r="C27" s="157">
        <v>25</v>
      </c>
      <c r="D27" s="158">
        <v>46113</v>
      </c>
      <c r="E27" s="158" t="s">
        <v>309</v>
      </c>
      <c r="F27" s="158" t="s">
        <v>49</v>
      </c>
      <c r="G27" s="159" t="s">
        <v>310</v>
      </c>
      <c r="H27" s="160" t="s">
        <v>311</v>
      </c>
      <c r="I27" s="157" t="s">
        <v>4</v>
      </c>
      <c r="J27" s="161">
        <v>320000</v>
      </c>
      <c r="K27" s="161">
        <f t="shared" si="0"/>
        <v>368000</v>
      </c>
      <c r="L27" s="157" t="s">
        <v>306</v>
      </c>
    </row>
    <row r="28" spans="1:12" s="6" customFormat="1" ht="55" customHeight="1" x14ac:dyDescent="0.35">
      <c r="C28" s="145">
        <v>26</v>
      </c>
      <c r="D28" s="146">
        <v>46078</v>
      </c>
      <c r="E28" s="146" t="s">
        <v>313</v>
      </c>
      <c r="F28" s="146" t="s">
        <v>270</v>
      </c>
      <c r="G28" s="151" t="s">
        <v>288</v>
      </c>
      <c r="H28" s="162">
        <v>46023</v>
      </c>
      <c r="I28" s="145" t="s">
        <v>54</v>
      </c>
      <c r="J28" s="149">
        <v>12452</v>
      </c>
      <c r="K28" s="149">
        <f t="shared" ref="K28:K39" si="1">J28*1.15</f>
        <v>14319.8</v>
      </c>
      <c r="L28" s="145" t="s">
        <v>306</v>
      </c>
    </row>
    <row r="29" spans="1:12" s="6" customFormat="1" ht="55" customHeight="1" x14ac:dyDescent="0.35">
      <c r="C29" s="145">
        <v>27</v>
      </c>
      <c r="D29" s="146">
        <v>46078</v>
      </c>
      <c r="E29" s="146" t="s">
        <v>312</v>
      </c>
      <c r="F29" s="146" t="s">
        <v>279</v>
      </c>
      <c r="G29" s="151" t="s">
        <v>31</v>
      </c>
      <c r="H29" s="162">
        <v>46023</v>
      </c>
      <c r="I29" s="145" t="s">
        <v>54</v>
      </c>
      <c r="J29" s="164">
        <v>2676.6</v>
      </c>
      <c r="K29" s="149">
        <f t="shared" si="1"/>
        <v>3078.0899999999997</v>
      </c>
      <c r="L29" s="145" t="s">
        <v>306</v>
      </c>
    </row>
    <row r="30" spans="1:12" s="6" customFormat="1" ht="55" customHeight="1" x14ac:dyDescent="0.35">
      <c r="C30" s="145">
        <v>28</v>
      </c>
      <c r="D30" s="146">
        <v>46078</v>
      </c>
      <c r="E30" s="146" t="s">
        <v>314</v>
      </c>
      <c r="F30" s="146" t="s">
        <v>281</v>
      </c>
      <c r="G30" s="151" t="s">
        <v>31</v>
      </c>
      <c r="H30" s="162">
        <v>45992</v>
      </c>
      <c r="I30" s="145" t="s">
        <v>4</v>
      </c>
      <c r="J30" s="149">
        <v>1972.23</v>
      </c>
      <c r="K30" s="149">
        <f t="shared" si="1"/>
        <v>2268.0645</v>
      </c>
      <c r="L30" s="145" t="s">
        <v>306</v>
      </c>
    </row>
    <row r="31" spans="1:12" s="6" customFormat="1" ht="55" customHeight="1" x14ac:dyDescent="0.35">
      <c r="C31" s="145">
        <v>29</v>
      </c>
      <c r="D31" s="146">
        <v>46078</v>
      </c>
      <c r="E31" s="146" t="s">
        <v>315</v>
      </c>
      <c r="F31" s="146" t="s">
        <v>270</v>
      </c>
      <c r="G31" s="151" t="s">
        <v>27</v>
      </c>
      <c r="H31" s="162">
        <v>46023</v>
      </c>
      <c r="I31" s="145" t="s">
        <v>4</v>
      </c>
      <c r="J31" s="132">
        <v>6611.59</v>
      </c>
      <c r="K31" s="149">
        <f t="shared" si="1"/>
        <v>7603.3284999999996</v>
      </c>
      <c r="L31" s="145" t="s">
        <v>306</v>
      </c>
    </row>
    <row r="32" spans="1:12" s="6" customFormat="1" ht="55" customHeight="1" x14ac:dyDescent="0.35">
      <c r="C32" s="157">
        <v>30</v>
      </c>
      <c r="D32" s="158">
        <v>46106</v>
      </c>
      <c r="E32" s="158" t="s">
        <v>316</v>
      </c>
      <c r="F32" s="158" t="s">
        <v>270</v>
      </c>
      <c r="G32" s="159" t="s">
        <v>288</v>
      </c>
      <c r="H32" s="160">
        <v>46054</v>
      </c>
      <c r="I32" s="157" t="s">
        <v>54</v>
      </c>
      <c r="J32" s="133">
        <v>11456</v>
      </c>
      <c r="K32" s="161">
        <f t="shared" si="1"/>
        <v>13174.4</v>
      </c>
      <c r="L32" s="157" t="s">
        <v>306</v>
      </c>
    </row>
    <row r="33" spans="3:12" s="6" customFormat="1" ht="55" customHeight="1" x14ac:dyDescent="0.35">
      <c r="C33" s="157">
        <v>31</v>
      </c>
      <c r="D33" s="158">
        <v>46119</v>
      </c>
      <c r="E33" s="158" t="s">
        <v>317</v>
      </c>
      <c r="F33" s="158" t="s">
        <v>268</v>
      </c>
      <c r="G33" s="159" t="s">
        <v>27</v>
      </c>
      <c r="H33" s="160">
        <v>46082</v>
      </c>
      <c r="I33" s="157" t="s">
        <v>54</v>
      </c>
      <c r="J33" s="133">
        <v>683.05</v>
      </c>
      <c r="K33" s="161">
        <f t="shared" si="1"/>
        <v>785.50749999999994</v>
      </c>
      <c r="L33" s="157" t="s">
        <v>306</v>
      </c>
    </row>
    <row r="34" spans="3:12" s="6" customFormat="1" ht="55" customHeight="1" x14ac:dyDescent="0.35">
      <c r="C34" s="157">
        <v>32</v>
      </c>
      <c r="D34" s="158">
        <v>46113</v>
      </c>
      <c r="E34" s="158" t="s">
        <v>318</v>
      </c>
      <c r="F34" s="158" t="s">
        <v>270</v>
      </c>
      <c r="G34" s="159" t="s">
        <v>27</v>
      </c>
      <c r="H34" s="160" t="s">
        <v>319</v>
      </c>
      <c r="I34" s="157" t="s">
        <v>4</v>
      </c>
      <c r="J34" s="133">
        <v>15911.35</v>
      </c>
      <c r="K34" s="161">
        <f t="shared" si="1"/>
        <v>18298.052499999998</v>
      </c>
      <c r="L34" s="157" t="s">
        <v>306</v>
      </c>
    </row>
    <row r="35" spans="3:12" s="6" customFormat="1" ht="55" customHeight="1" x14ac:dyDescent="0.35">
      <c r="C35" s="157">
        <v>33</v>
      </c>
      <c r="D35" s="158">
        <v>46127</v>
      </c>
      <c r="E35" s="158" t="s">
        <v>323</v>
      </c>
      <c r="F35" s="158" t="s">
        <v>232</v>
      </c>
      <c r="G35" s="159" t="s">
        <v>288</v>
      </c>
      <c r="H35" s="160">
        <v>46082</v>
      </c>
      <c r="I35" s="157" t="s">
        <v>4</v>
      </c>
      <c r="J35" s="165">
        <v>11510</v>
      </c>
      <c r="K35" s="161">
        <f t="shared" ref="K35" si="2">J35*1.15</f>
        <v>13236.499999999998</v>
      </c>
      <c r="L35" s="157" t="s">
        <v>306</v>
      </c>
    </row>
    <row r="36" spans="3:12" s="6" customFormat="1" ht="55" customHeight="1" x14ac:dyDescent="0.35">
      <c r="C36" s="157">
        <v>34</v>
      </c>
      <c r="D36" s="158">
        <v>46161</v>
      </c>
      <c r="E36" s="158" t="s">
        <v>329</v>
      </c>
      <c r="F36" s="158" t="s">
        <v>324</v>
      </c>
      <c r="G36" s="159" t="s">
        <v>320</v>
      </c>
      <c r="H36" s="160" t="s">
        <v>321</v>
      </c>
      <c r="I36" s="157" t="s">
        <v>4</v>
      </c>
      <c r="J36" s="165">
        <f>92.025*50</f>
        <v>4601.25</v>
      </c>
      <c r="K36" s="161">
        <f>J36*1.15</f>
        <v>5291.4375</v>
      </c>
      <c r="L36" s="157" t="s">
        <v>306</v>
      </c>
    </row>
    <row r="37" spans="3:12" s="6" customFormat="1" ht="55" customHeight="1" x14ac:dyDescent="0.35">
      <c r="C37" s="157">
        <v>35</v>
      </c>
      <c r="D37" s="158">
        <v>46161</v>
      </c>
      <c r="E37" s="158" t="s">
        <v>330</v>
      </c>
      <c r="F37" s="158" t="s">
        <v>270</v>
      </c>
      <c r="G37" s="159" t="s">
        <v>320</v>
      </c>
      <c r="H37" s="160" t="s">
        <v>321</v>
      </c>
      <c r="I37" s="157" t="s">
        <v>4</v>
      </c>
      <c r="J37" s="133">
        <f>3079.255*50</f>
        <v>153962.75</v>
      </c>
      <c r="K37" s="161">
        <f>J37*1.15</f>
        <v>177057.16249999998</v>
      </c>
      <c r="L37" s="157" t="s">
        <v>306</v>
      </c>
    </row>
    <row r="38" spans="3:12" s="6" customFormat="1" ht="55" customHeight="1" x14ac:dyDescent="0.35">
      <c r="C38" s="157">
        <v>36</v>
      </c>
      <c r="D38" s="158">
        <v>46161</v>
      </c>
      <c r="E38" s="158" t="s">
        <v>331</v>
      </c>
      <c r="F38" s="158" t="s">
        <v>322</v>
      </c>
      <c r="G38" s="159" t="s">
        <v>320</v>
      </c>
      <c r="H38" s="160" t="s">
        <v>321</v>
      </c>
      <c r="I38" s="157" t="s">
        <v>4</v>
      </c>
      <c r="J38" s="165">
        <f>1868.245*50</f>
        <v>93412.25</v>
      </c>
      <c r="K38" s="161">
        <f t="shared" si="1"/>
        <v>107424.08749999999</v>
      </c>
      <c r="L38" s="157" t="s">
        <v>306</v>
      </c>
    </row>
    <row r="39" spans="3:12" s="6" customFormat="1" ht="55" customHeight="1" x14ac:dyDescent="0.35">
      <c r="C39" s="157">
        <v>37</v>
      </c>
      <c r="D39" s="158">
        <v>46156</v>
      </c>
      <c r="E39" s="158" t="s">
        <v>332</v>
      </c>
      <c r="F39" s="158" t="s">
        <v>232</v>
      </c>
      <c r="G39" s="159" t="s">
        <v>288</v>
      </c>
      <c r="H39" s="160">
        <v>46113</v>
      </c>
      <c r="I39" s="157" t="s">
        <v>4</v>
      </c>
      <c r="J39" s="165">
        <v>11280</v>
      </c>
      <c r="K39" s="161">
        <f t="shared" si="1"/>
        <v>12971.999999999998</v>
      </c>
      <c r="L39" s="157" t="s">
        <v>306</v>
      </c>
    </row>
    <row r="40" spans="3:12" s="6" customFormat="1" ht="55" customHeight="1" x14ac:dyDescent="0.35">
      <c r="C40" s="157">
        <v>38</v>
      </c>
      <c r="D40" s="158">
        <v>46151</v>
      </c>
      <c r="E40" s="158" t="s">
        <v>333</v>
      </c>
      <c r="F40" s="158" t="s">
        <v>268</v>
      </c>
      <c r="G40" s="159" t="s">
        <v>27</v>
      </c>
      <c r="H40" s="160">
        <v>46113</v>
      </c>
      <c r="I40" s="157" t="s">
        <v>54</v>
      </c>
      <c r="J40" s="133">
        <v>637.79999999999995</v>
      </c>
      <c r="K40" s="161">
        <f t="shared" ref="K40:K45" si="3">J40*1.15</f>
        <v>733.46999999999991</v>
      </c>
      <c r="L40" s="157" t="s">
        <v>306</v>
      </c>
    </row>
    <row r="41" spans="3:12" s="6" customFormat="1" ht="55" customHeight="1" x14ac:dyDescent="0.35">
      <c r="C41" s="157">
        <v>39</v>
      </c>
      <c r="D41" s="158">
        <v>46183</v>
      </c>
      <c r="E41" s="158" t="s">
        <v>334</v>
      </c>
      <c r="F41" s="158" t="s">
        <v>232</v>
      </c>
      <c r="G41" s="159" t="s">
        <v>288</v>
      </c>
      <c r="H41" s="160">
        <v>46143</v>
      </c>
      <c r="I41" s="157" t="s">
        <v>4</v>
      </c>
      <c r="J41" s="165">
        <v>12332</v>
      </c>
      <c r="K41" s="161">
        <f t="shared" si="3"/>
        <v>14181.8</v>
      </c>
      <c r="L41" s="157" t="s">
        <v>306</v>
      </c>
    </row>
    <row r="42" spans="3:12" s="6" customFormat="1" ht="55" customHeight="1" x14ac:dyDescent="0.35">
      <c r="C42" s="157">
        <v>40</v>
      </c>
      <c r="D42" s="158">
        <v>46184</v>
      </c>
      <c r="E42" s="158" t="s">
        <v>335</v>
      </c>
      <c r="F42" s="158" t="s">
        <v>281</v>
      </c>
      <c r="G42" s="159" t="s">
        <v>31</v>
      </c>
      <c r="H42" s="160">
        <v>46143</v>
      </c>
      <c r="I42" s="157" t="s">
        <v>4</v>
      </c>
      <c r="J42" s="161">
        <v>1690.48</v>
      </c>
      <c r="K42" s="161">
        <f t="shared" si="3"/>
        <v>1944.0519999999999</v>
      </c>
      <c r="L42" s="157" t="s">
        <v>306</v>
      </c>
    </row>
    <row r="43" spans="3:12" s="6" customFormat="1" ht="55" customHeight="1" x14ac:dyDescent="0.35">
      <c r="C43" s="157">
        <v>41</v>
      </c>
      <c r="D43" s="158">
        <v>46184</v>
      </c>
      <c r="E43" s="158" t="s">
        <v>336</v>
      </c>
      <c r="F43" s="158" t="s">
        <v>270</v>
      </c>
      <c r="G43" s="159" t="s">
        <v>27</v>
      </c>
      <c r="H43" s="160" t="s">
        <v>337</v>
      </c>
      <c r="I43" s="157" t="s">
        <v>4</v>
      </c>
      <c r="J43" s="165">
        <v>4879.5600000000004</v>
      </c>
      <c r="K43" s="161">
        <f t="shared" si="3"/>
        <v>5611.4939999999997</v>
      </c>
      <c r="L43" s="157" t="s">
        <v>306</v>
      </c>
    </row>
    <row r="44" spans="3:12" s="6" customFormat="1" ht="55" customHeight="1" x14ac:dyDescent="0.35">
      <c r="C44" s="145">
        <v>42</v>
      </c>
      <c r="D44" s="146"/>
      <c r="E44" s="146" t="s">
        <v>339</v>
      </c>
      <c r="F44" s="146" t="s">
        <v>270</v>
      </c>
      <c r="G44" s="151" t="s">
        <v>27</v>
      </c>
      <c r="H44" s="162">
        <v>46174</v>
      </c>
      <c r="I44" s="145" t="s">
        <v>4</v>
      </c>
      <c r="J44" s="166">
        <v>1948.0190400000001</v>
      </c>
      <c r="K44" s="149">
        <f t="shared" si="3"/>
        <v>2240.221896</v>
      </c>
      <c r="L44" s="145" t="s">
        <v>340</v>
      </c>
    </row>
    <row r="45" spans="3:12" s="6" customFormat="1" ht="55" customHeight="1" x14ac:dyDescent="0.35">
      <c r="C45" s="145">
        <v>43</v>
      </c>
      <c r="D45" s="146"/>
      <c r="E45" s="146" t="s">
        <v>342</v>
      </c>
      <c r="F45" s="146" t="s">
        <v>341</v>
      </c>
      <c r="G45" s="151" t="s">
        <v>31</v>
      </c>
      <c r="H45" s="162">
        <v>46174</v>
      </c>
      <c r="I45" s="145" t="s">
        <v>4</v>
      </c>
      <c r="J45" s="166">
        <v>13382.992000000002</v>
      </c>
      <c r="K45" s="149">
        <f t="shared" si="3"/>
        <v>15390.4408</v>
      </c>
      <c r="L45" s="145" t="s">
        <v>340</v>
      </c>
    </row>
    <row r="46" spans="3:12" s="6" customFormat="1" ht="55" customHeight="1" x14ac:dyDescent="0.35">
      <c r="C46" s="145">
        <v>44</v>
      </c>
      <c r="D46" s="146"/>
      <c r="E46" s="146" t="s">
        <v>343</v>
      </c>
      <c r="F46" s="146" t="s">
        <v>232</v>
      </c>
      <c r="G46" s="151" t="s">
        <v>288</v>
      </c>
      <c r="H46" s="162">
        <v>46174</v>
      </c>
      <c r="I46" s="145" t="s">
        <v>4</v>
      </c>
      <c r="J46" s="166">
        <v>11760</v>
      </c>
      <c r="K46" s="149">
        <f t="shared" ref="K46" si="4">J46*1.15</f>
        <v>13523.999999999998</v>
      </c>
      <c r="L46" s="145" t="s">
        <v>340</v>
      </c>
    </row>
    <row r="47" spans="3:12" ht="71.5" customHeight="1" x14ac:dyDescent="0.5">
      <c r="C47" s="167"/>
      <c r="D47" s="167"/>
      <c r="E47" s="167"/>
      <c r="F47" s="167"/>
      <c r="G47" s="168"/>
      <c r="H47" s="168"/>
      <c r="I47" s="169" t="s">
        <v>5</v>
      </c>
      <c r="J47" s="170">
        <f>SUM(J3:J46)</f>
        <v>960899.50764000008</v>
      </c>
      <c r="K47" s="170">
        <f>SUM(K1:K46)</f>
        <v>1105034.4337859997</v>
      </c>
      <c r="L47" s="169"/>
    </row>
    <row r="48" spans="3:12" ht="71.5" customHeight="1" x14ac:dyDescent="0.5">
      <c r="C48" s="171"/>
      <c r="D48" s="171"/>
      <c r="E48" s="171"/>
      <c r="F48" s="171"/>
      <c r="G48" s="134"/>
      <c r="H48" s="134"/>
      <c r="I48" s="135"/>
      <c r="J48" s="136"/>
      <c r="K48" s="136"/>
      <c r="L48" s="135"/>
    </row>
    <row r="49" spans="1:12" ht="3.5" customHeight="1" x14ac:dyDescent="0.5">
      <c r="C49" s="171"/>
      <c r="D49" s="171"/>
      <c r="E49" s="171"/>
      <c r="F49" s="171"/>
      <c r="G49" s="134"/>
      <c r="H49" s="134"/>
      <c r="I49" s="135"/>
      <c r="J49" s="136"/>
      <c r="K49" s="136"/>
      <c r="L49" s="135"/>
    </row>
    <row r="50" spans="1:12" ht="71.5" hidden="1" customHeight="1" x14ac:dyDescent="0.5">
      <c r="C50" s="171"/>
      <c r="D50" s="171"/>
      <c r="E50" s="171"/>
      <c r="F50" s="171"/>
      <c r="G50" s="134"/>
      <c r="H50" s="134"/>
      <c r="I50" s="135"/>
      <c r="J50" s="136"/>
      <c r="K50" s="136"/>
      <c r="L50" s="135"/>
    </row>
    <row r="51" spans="1:12" ht="71.5" hidden="1" customHeight="1" x14ac:dyDescent="0.5">
      <c r="C51" s="171"/>
      <c r="D51" s="171"/>
      <c r="E51" s="171"/>
      <c r="F51" s="171"/>
      <c r="G51" s="134"/>
      <c r="H51" s="134"/>
      <c r="I51" s="135"/>
      <c r="J51" s="136"/>
      <c r="K51" s="136"/>
      <c r="L51" s="135"/>
    </row>
    <row r="52" spans="1:12" ht="56" customHeight="1" x14ac:dyDescent="0.5">
      <c r="C52" s="171"/>
      <c r="D52" s="171"/>
      <c r="E52" s="134" t="s">
        <v>56</v>
      </c>
      <c r="F52" s="134"/>
      <c r="G52" s="135"/>
      <c r="H52" s="136"/>
      <c r="I52" s="136"/>
      <c r="J52" s="135"/>
      <c r="K52" s="171"/>
      <c r="L52" s="135"/>
    </row>
    <row r="53" spans="1:12" s="16" customFormat="1" ht="81" customHeight="1" x14ac:dyDescent="0.6">
      <c r="A53" s="15"/>
      <c r="B53" s="15"/>
      <c r="C53" s="171"/>
      <c r="D53" s="171"/>
      <c r="E53" s="137" t="s">
        <v>12</v>
      </c>
      <c r="F53" s="138"/>
      <c r="G53" s="139" t="s">
        <v>345</v>
      </c>
      <c r="H53" s="139" t="s">
        <v>328</v>
      </c>
      <c r="I53" s="139" t="s">
        <v>327</v>
      </c>
      <c r="J53" s="139" t="s">
        <v>326</v>
      </c>
      <c r="K53" s="139" t="s">
        <v>325</v>
      </c>
      <c r="L53" s="171"/>
    </row>
    <row r="54" spans="1:12" s="16" customFormat="1" ht="81" customHeight="1" x14ac:dyDescent="0.6">
      <c r="A54" s="15"/>
      <c r="B54" s="15"/>
      <c r="C54" s="171"/>
      <c r="D54" s="171"/>
      <c r="E54" s="137" t="s">
        <v>308</v>
      </c>
      <c r="F54" s="138"/>
      <c r="G54" s="140">
        <f>J47</f>
        <v>960899.50764000008</v>
      </c>
      <c r="H54" s="141">
        <v>933808.5</v>
      </c>
      <c r="I54" s="140">
        <f>H54-K54</f>
        <v>290272.23</v>
      </c>
      <c r="J54" s="140">
        <v>27091.01</v>
      </c>
      <c r="K54" s="172">
        <v>643536.27</v>
      </c>
      <c r="L54" s="171"/>
    </row>
    <row r="55" spans="1:12" ht="56" customHeight="1" x14ac:dyDescent="0.5">
      <c r="C55" s="171"/>
      <c r="D55" s="171"/>
      <c r="E55" s="137" t="s">
        <v>307</v>
      </c>
      <c r="F55" s="138"/>
      <c r="G55" s="142">
        <f>K47</f>
        <v>1105034.4337859997</v>
      </c>
      <c r="H55" s="143">
        <f>H54*1.15</f>
        <v>1073879.7749999999</v>
      </c>
      <c r="I55" s="142">
        <f>I54*1.15</f>
        <v>333813.06449999998</v>
      </c>
      <c r="J55" s="144">
        <f>J54*1.15</f>
        <v>31154.661499999995</v>
      </c>
      <c r="K55" s="173">
        <f>K54*1.15</f>
        <v>740066.71049999993</v>
      </c>
      <c r="L55" s="135"/>
    </row>
    <row r="56" spans="1:12" ht="23" x14ac:dyDescent="0.5">
      <c r="C56" s="171"/>
      <c r="D56" s="171"/>
      <c r="E56" s="171"/>
      <c r="F56" s="171"/>
      <c r="G56" s="171"/>
      <c r="H56" s="171"/>
      <c r="I56" s="171"/>
      <c r="J56" s="174"/>
      <c r="K56" s="174"/>
      <c r="L56" s="135"/>
    </row>
  </sheetData>
  <mergeCells count="1">
    <mergeCell ref="C1:L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9F58-1D8D-498F-9C70-9962F7C11E14}">
  <dimension ref="B2:H29"/>
  <sheetViews>
    <sheetView topLeftCell="A15" workbookViewId="0">
      <selection activeCell="F27" sqref="F27"/>
    </sheetView>
  </sheetViews>
  <sheetFormatPr defaultRowHeight="14.5" x14ac:dyDescent="0.35"/>
  <cols>
    <col min="2" max="2" width="8.81640625" style="23"/>
    <col min="3" max="3" width="35.1796875" style="23" customWidth="1"/>
    <col min="4" max="4" width="29.36328125" customWidth="1"/>
    <col min="5" max="5" width="25.1796875" customWidth="1"/>
    <col min="6" max="6" width="14.6328125" customWidth="1"/>
    <col min="7" max="7" width="19" customWidth="1"/>
    <col min="8" max="8" width="15.81640625" customWidth="1"/>
  </cols>
  <sheetData>
    <row r="2" spans="2:8" ht="9.5" customHeight="1" x14ac:dyDescent="0.35"/>
    <row r="3" spans="2:8" hidden="1" x14ac:dyDescent="0.35"/>
    <row r="4" spans="2:8" ht="29" x14ac:dyDescent="0.35">
      <c r="B4" s="24"/>
      <c r="C4" s="24" t="s">
        <v>19</v>
      </c>
      <c r="D4" s="24" t="s">
        <v>20</v>
      </c>
      <c r="E4" s="24" t="s">
        <v>21</v>
      </c>
      <c r="F4" s="25" t="s">
        <v>22</v>
      </c>
      <c r="G4" s="25" t="s">
        <v>23</v>
      </c>
      <c r="H4" s="26"/>
    </row>
    <row r="5" spans="2:8" x14ac:dyDescent="0.35">
      <c r="B5" s="122">
        <v>1</v>
      </c>
      <c r="C5" s="124" t="s">
        <v>24</v>
      </c>
      <c r="D5" s="27" t="s">
        <v>40</v>
      </c>
      <c r="E5" s="27" t="s">
        <v>51</v>
      </c>
      <c r="F5" s="28">
        <f>4700</f>
        <v>4700</v>
      </c>
      <c r="G5" s="28">
        <f>F5*1.16</f>
        <v>5452</v>
      </c>
      <c r="H5" s="27"/>
    </row>
    <row r="6" spans="2:8" ht="29" x14ac:dyDescent="0.35">
      <c r="B6" s="123"/>
      <c r="C6" s="125"/>
      <c r="D6" s="27" t="s">
        <v>25</v>
      </c>
      <c r="E6" s="29" t="s">
        <v>41</v>
      </c>
      <c r="F6" s="30">
        <f>4500*3</f>
        <v>13500</v>
      </c>
      <c r="G6" s="30">
        <f>F6*1.15</f>
        <v>15524.999999999998</v>
      </c>
      <c r="H6" s="27"/>
    </row>
    <row r="7" spans="2:8" x14ac:dyDescent="0.35">
      <c r="B7" s="31" t="s">
        <v>26</v>
      </c>
      <c r="C7" s="32" t="s">
        <v>5</v>
      </c>
      <c r="D7" s="27"/>
      <c r="E7" s="29"/>
      <c r="F7" s="33">
        <f>F5+F6</f>
        <v>18200</v>
      </c>
      <c r="G7" s="33">
        <f>G5+G6</f>
        <v>20977</v>
      </c>
      <c r="H7" s="27"/>
    </row>
    <row r="8" spans="2:8" s="39" customFormat="1" x14ac:dyDescent="0.35">
      <c r="B8" s="34"/>
      <c r="C8" s="35"/>
      <c r="D8" s="36"/>
      <c r="E8" s="37"/>
      <c r="F8" s="38"/>
      <c r="G8" s="38"/>
      <c r="H8" s="36"/>
    </row>
    <row r="9" spans="2:8" x14ac:dyDescent="0.35">
      <c r="B9" s="40">
        <v>2</v>
      </c>
      <c r="C9" s="41" t="s">
        <v>27</v>
      </c>
      <c r="D9" s="42"/>
      <c r="E9" s="42"/>
      <c r="F9" s="43"/>
      <c r="G9" s="43"/>
      <c r="H9" s="42"/>
    </row>
    <row r="10" spans="2:8" x14ac:dyDescent="0.35">
      <c r="B10" s="40"/>
      <c r="C10" s="40"/>
      <c r="D10" s="42"/>
      <c r="E10" s="42"/>
      <c r="F10" s="43"/>
      <c r="G10" s="43"/>
      <c r="H10" s="44" t="s">
        <v>28</v>
      </c>
    </row>
    <row r="11" spans="2:8" x14ac:dyDescent="0.35">
      <c r="B11" s="40"/>
      <c r="C11" s="126"/>
      <c r="D11" s="42" t="s">
        <v>29</v>
      </c>
      <c r="E11" s="42" t="s">
        <v>42</v>
      </c>
      <c r="F11" s="43">
        <f>1000*0.19*45</f>
        <v>8550</v>
      </c>
      <c r="G11" s="43">
        <f t="shared" ref="G11:G12" si="0">F11*1.15</f>
        <v>9832.5</v>
      </c>
      <c r="H11" s="42" t="s">
        <v>35</v>
      </c>
    </row>
    <row r="12" spans="2:8" x14ac:dyDescent="0.35">
      <c r="B12" s="40"/>
      <c r="C12" s="127"/>
      <c r="D12" s="42" t="s">
        <v>25</v>
      </c>
      <c r="E12" s="42" t="s">
        <v>42</v>
      </c>
      <c r="F12" s="43">
        <f>3000*0.19*50</f>
        <v>28500</v>
      </c>
      <c r="G12" s="43">
        <f t="shared" si="0"/>
        <v>32775</v>
      </c>
      <c r="H12" s="42" t="s">
        <v>43</v>
      </c>
    </row>
    <row r="13" spans="2:8" s="47" customFormat="1" x14ac:dyDescent="0.35">
      <c r="B13" s="45" t="s">
        <v>30</v>
      </c>
      <c r="C13" s="45" t="s">
        <v>5</v>
      </c>
      <c r="D13" s="44"/>
      <c r="E13" s="44"/>
      <c r="F13" s="46">
        <f>SUM(F11:F12)</f>
        <v>37050</v>
      </c>
      <c r="G13" s="46">
        <f>SUM(G11:G12)</f>
        <v>42607.5</v>
      </c>
      <c r="H13" s="44"/>
    </row>
    <row r="14" spans="2:8" x14ac:dyDescent="0.35">
      <c r="B14" s="48"/>
      <c r="C14" s="48"/>
      <c r="D14" s="22"/>
      <c r="E14" s="22"/>
      <c r="F14" s="22"/>
      <c r="G14" s="22"/>
      <c r="H14" s="22"/>
    </row>
    <row r="15" spans="2:8" x14ac:dyDescent="0.35">
      <c r="B15" s="49">
        <v>3</v>
      </c>
      <c r="C15" s="128" t="s">
        <v>31</v>
      </c>
      <c r="D15" s="50" t="s">
        <v>44</v>
      </c>
      <c r="E15" s="50" t="s">
        <v>42</v>
      </c>
      <c r="F15" s="51">
        <f>400*6.289*0.03*220</f>
        <v>16602.96</v>
      </c>
      <c r="G15" s="52">
        <f>F15*1.15</f>
        <v>19093.403999999999</v>
      </c>
      <c r="H15" s="50" t="s">
        <v>45</v>
      </c>
    </row>
    <row r="16" spans="2:8" x14ac:dyDescent="0.35">
      <c r="B16" s="49"/>
      <c r="C16" s="129"/>
      <c r="D16" s="50" t="s">
        <v>32</v>
      </c>
      <c r="E16" s="50" t="s">
        <v>42</v>
      </c>
      <c r="F16" s="68">
        <f>1000*60*0.05*6.289</f>
        <v>18867</v>
      </c>
      <c r="G16" s="52">
        <f>1.16*F16</f>
        <v>21885.719999999998</v>
      </c>
      <c r="H16" s="50" t="s">
        <v>52</v>
      </c>
    </row>
    <row r="17" spans="2:8" s="47" customFormat="1" x14ac:dyDescent="0.35">
      <c r="B17" s="53" t="s">
        <v>33</v>
      </c>
      <c r="C17" s="53" t="s">
        <v>5</v>
      </c>
      <c r="D17" s="54"/>
      <c r="E17" s="54"/>
      <c r="F17" s="55">
        <f>SUM(F15:F16)</f>
        <v>35469.96</v>
      </c>
      <c r="G17" s="55">
        <f>SUM(G15:G16)</f>
        <v>40979.123999999996</v>
      </c>
      <c r="H17" s="54"/>
    </row>
    <row r="18" spans="2:8" x14ac:dyDescent="0.35">
      <c r="B18" s="48"/>
      <c r="C18" s="48"/>
      <c r="D18" s="22"/>
      <c r="E18" s="22"/>
      <c r="F18" s="22"/>
      <c r="G18" s="22"/>
      <c r="H18" s="22"/>
    </row>
    <row r="19" spans="2:8" x14ac:dyDescent="0.35">
      <c r="B19" s="56">
        <v>4</v>
      </c>
      <c r="C19" s="130" t="s">
        <v>34</v>
      </c>
      <c r="D19" s="57" t="s">
        <v>46</v>
      </c>
      <c r="E19" s="57" t="s">
        <v>48</v>
      </c>
      <c r="F19" s="66">
        <f>4044*50</f>
        <v>202200</v>
      </c>
      <c r="G19" s="66">
        <f>F19*1.15</f>
        <v>232529.99999999997</v>
      </c>
      <c r="H19" s="57" t="s">
        <v>47</v>
      </c>
    </row>
    <row r="20" spans="2:8" x14ac:dyDescent="0.35">
      <c r="B20" s="56"/>
      <c r="C20" s="131"/>
      <c r="D20" s="57" t="s">
        <v>25</v>
      </c>
      <c r="E20" s="57" t="s">
        <v>48</v>
      </c>
      <c r="F20" s="66">
        <f>3000*50</f>
        <v>150000</v>
      </c>
      <c r="G20" s="66">
        <f>F20*1.15</f>
        <v>172500</v>
      </c>
      <c r="H20" s="57" t="s">
        <v>43</v>
      </c>
    </row>
    <row r="21" spans="2:8" x14ac:dyDescent="0.35">
      <c r="B21" s="56"/>
      <c r="C21" s="131"/>
      <c r="D21" s="57" t="s">
        <v>29</v>
      </c>
      <c r="E21" s="57" t="s">
        <v>48</v>
      </c>
      <c r="F21" s="66">
        <f>1000*50</f>
        <v>50000</v>
      </c>
      <c r="G21" s="66">
        <f>F21*1.15</f>
        <v>57499.999999999993</v>
      </c>
      <c r="H21" s="57" t="s">
        <v>35</v>
      </c>
    </row>
    <row r="22" spans="2:8" x14ac:dyDescent="0.35">
      <c r="B22" s="56"/>
      <c r="C22" s="58"/>
      <c r="D22" s="57" t="s">
        <v>49</v>
      </c>
      <c r="E22" s="57" t="s">
        <v>48</v>
      </c>
      <c r="F22" s="66">
        <f>6000*50</f>
        <v>300000</v>
      </c>
      <c r="G22" s="66">
        <f>F22*1.15</f>
        <v>345000</v>
      </c>
      <c r="H22" s="57" t="s">
        <v>50</v>
      </c>
    </row>
    <row r="23" spans="2:8" s="47" customFormat="1" x14ac:dyDescent="0.35">
      <c r="B23" s="59" t="s">
        <v>36</v>
      </c>
      <c r="C23" s="60" t="s">
        <v>5</v>
      </c>
      <c r="D23" s="61"/>
      <c r="E23" s="61"/>
      <c r="F23" s="67">
        <f>SUM(F19:F22)</f>
        <v>702200</v>
      </c>
      <c r="G23" s="67">
        <f>SUM(G19:G22)</f>
        <v>807530</v>
      </c>
      <c r="H23" s="61"/>
    </row>
    <row r="24" spans="2:8" x14ac:dyDescent="0.35">
      <c r="B24" s="48"/>
      <c r="C24" s="48"/>
      <c r="D24" s="22"/>
      <c r="E24" s="22"/>
      <c r="F24" s="22"/>
      <c r="G24" s="22"/>
      <c r="H24" s="22"/>
    </row>
    <row r="26" spans="2:8" ht="25" customHeight="1" x14ac:dyDescent="0.35">
      <c r="C26" s="62" t="s">
        <v>5</v>
      </c>
      <c r="D26" s="63" t="s">
        <v>37</v>
      </c>
      <c r="E26" s="64">
        <f>F7+F13+F17+F23</f>
        <v>792919.96</v>
      </c>
      <c r="F26" s="64">
        <f>G7+G13+G17+G23</f>
        <v>912093.62399999995</v>
      </c>
    </row>
    <row r="27" spans="2:8" x14ac:dyDescent="0.35">
      <c r="E27" t="s">
        <v>38</v>
      </c>
      <c r="F27" t="s">
        <v>39</v>
      </c>
    </row>
    <row r="28" spans="2:8" x14ac:dyDescent="0.35">
      <c r="F28" s="65"/>
    </row>
    <row r="29" spans="2:8" x14ac:dyDescent="0.35">
      <c r="F29" s="65"/>
    </row>
  </sheetData>
  <mergeCells count="5">
    <mergeCell ref="B5:B6"/>
    <mergeCell ref="C5:C6"/>
    <mergeCell ref="C11:C12"/>
    <mergeCell ref="C15:C16"/>
    <mergeCell ref="C19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EXP DETAILS Sep-23 to Aug -25</vt:lpstr>
      <vt:lpstr>Exp Details Sep-25 to June-26</vt:lpstr>
      <vt:lpstr>Additional Bugdet Working </vt:lpstr>
      <vt:lpstr>'EXP DETAILS Sep-23 to Aug 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Sidra Ishaque</cp:lastModifiedBy>
  <cp:lastPrinted>2025-05-26T04:51:42Z</cp:lastPrinted>
  <dcterms:created xsi:type="dcterms:W3CDTF">2022-11-01T07:46:53Z</dcterms:created>
  <dcterms:modified xsi:type="dcterms:W3CDTF">2026-07-06T08:13:53Z</dcterms:modified>
</cp:coreProperties>
</file>