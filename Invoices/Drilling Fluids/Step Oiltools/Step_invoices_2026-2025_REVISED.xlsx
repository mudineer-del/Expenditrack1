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4DDE0D-90E7-4025-8BA5-9F0A305F8629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Contract 2021-2023 (WS-4950)" sheetId="3" r:id="rId1"/>
    <sheet name="Contract 2023-2025 (4600000272)" sheetId="4" r:id="rId2"/>
    <sheet name="Contract 2025-2026 (4600001124)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3" i="5" l="1"/>
  <c r="O43" i="5"/>
  <c r="S42" i="5"/>
  <c r="Q42" i="5"/>
  <c r="P42" i="5"/>
  <c r="S41" i="5"/>
  <c r="Q41" i="5"/>
  <c r="P41" i="5"/>
  <c r="S40" i="5"/>
  <c r="Q40" i="5"/>
  <c r="P40" i="5"/>
  <c r="S39" i="5"/>
  <c r="Q39" i="5"/>
  <c r="P39" i="5" s="1"/>
  <c r="S38" i="5"/>
  <c r="Q38" i="5"/>
  <c r="P38" i="5"/>
  <c r="S37" i="5"/>
  <c r="Q37" i="5"/>
  <c r="P37" i="5"/>
  <c r="S36" i="5"/>
  <c r="Q36" i="5"/>
  <c r="P36" i="5" s="1"/>
  <c r="S35" i="5"/>
  <c r="Q35" i="5"/>
  <c r="P35" i="5"/>
  <c r="S34" i="5"/>
  <c r="Q34" i="5"/>
  <c r="P34" i="5"/>
  <c r="S33" i="5"/>
  <c r="Q33" i="5"/>
  <c r="P33" i="5"/>
  <c r="S32" i="5"/>
  <c r="Q32" i="5"/>
  <c r="P32" i="5" s="1"/>
  <c r="S31" i="5"/>
  <c r="Q31" i="5"/>
  <c r="P31" i="5" s="1"/>
  <c r="S30" i="5"/>
  <c r="Q30" i="5"/>
  <c r="P30" i="5"/>
  <c r="S29" i="5"/>
  <c r="Q29" i="5"/>
  <c r="P29" i="5" s="1"/>
  <c r="S28" i="5"/>
  <c r="Q28" i="5"/>
  <c r="P28" i="5" s="1"/>
  <c r="S27" i="5"/>
  <c r="Q27" i="5"/>
  <c r="P27" i="5"/>
  <c r="S26" i="5"/>
  <c r="Q26" i="5"/>
  <c r="P26" i="5" s="1"/>
  <c r="S25" i="5"/>
  <c r="Q25" i="5"/>
  <c r="P25" i="5" s="1"/>
  <c r="S24" i="5"/>
  <c r="Q24" i="5"/>
  <c r="P24" i="5"/>
  <c r="S23" i="5"/>
  <c r="Q23" i="5"/>
  <c r="P23" i="5" s="1"/>
  <c r="S22" i="5"/>
  <c r="Q22" i="5"/>
  <c r="P22" i="5"/>
  <c r="S21" i="5"/>
  <c r="Q21" i="5"/>
  <c r="P21" i="5"/>
  <c r="S20" i="5"/>
  <c r="Q20" i="5"/>
  <c r="P20" i="5" s="1"/>
  <c r="S19" i="5"/>
  <c r="Q19" i="5"/>
  <c r="P19" i="5"/>
  <c r="S18" i="5"/>
  <c r="Q18" i="5"/>
  <c r="P18" i="5"/>
  <c r="S17" i="5"/>
  <c r="Q17" i="5"/>
  <c r="P17" i="5" s="1"/>
  <c r="S16" i="5"/>
  <c r="Q16" i="5"/>
  <c r="P16" i="5"/>
  <c r="S15" i="5"/>
  <c r="Q15" i="5"/>
  <c r="P15" i="5" s="1"/>
  <c r="S14" i="5"/>
  <c r="Q14" i="5"/>
  <c r="P14" i="5" s="1"/>
  <c r="S13" i="5"/>
  <c r="Q13" i="5"/>
  <c r="P13" i="5"/>
  <c r="S12" i="5"/>
  <c r="Q12" i="5"/>
  <c r="P12" i="5" s="1"/>
  <c r="S11" i="5"/>
  <c r="Q11" i="5"/>
  <c r="P11" i="5" s="1"/>
  <c r="S10" i="5"/>
  <c r="Q10" i="5"/>
  <c r="P10" i="5"/>
  <c r="S9" i="5"/>
  <c r="Q9" i="5"/>
  <c r="P9" i="5" s="1"/>
  <c r="S8" i="5"/>
  <c r="Q8" i="5"/>
  <c r="P8" i="5" s="1"/>
  <c r="S7" i="5"/>
  <c r="Q7" i="5"/>
  <c r="P7" i="5" s="1"/>
  <c r="S6" i="5"/>
  <c r="Q6" i="5"/>
  <c r="P6" i="5"/>
  <c r="S5" i="5"/>
  <c r="Q5" i="5"/>
  <c r="P5" i="5" s="1"/>
  <c r="S4" i="5"/>
  <c r="Q4" i="5"/>
  <c r="P4" i="5" s="1"/>
  <c r="S3" i="5"/>
  <c r="Q3" i="5"/>
  <c r="P3" i="5"/>
  <c r="S2" i="5"/>
  <c r="S43" i="5" s="1"/>
  <c r="Q2" i="5"/>
  <c r="P2" i="5" s="1"/>
  <c r="Q43" i="5" l="1"/>
  <c r="R105" i="4"/>
  <c r="O105" i="4"/>
  <c r="S104" i="4"/>
  <c r="Q104" i="4"/>
  <c r="P104" i="4"/>
  <c r="S103" i="4"/>
  <c r="Q103" i="4"/>
  <c r="P103" i="4"/>
  <c r="S102" i="4"/>
  <c r="Q102" i="4"/>
  <c r="P102" i="4"/>
  <c r="S101" i="4"/>
  <c r="Q101" i="4"/>
  <c r="P101" i="4"/>
  <c r="S100" i="4"/>
  <c r="Q100" i="4"/>
  <c r="P100" i="4" s="1"/>
  <c r="S99" i="4"/>
  <c r="Q99" i="4"/>
  <c r="P99" i="4"/>
  <c r="S98" i="4"/>
  <c r="Q98" i="4"/>
  <c r="P98" i="4" s="1"/>
  <c r="S97" i="4"/>
  <c r="Q97" i="4"/>
  <c r="P97" i="4"/>
  <c r="S96" i="4"/>
  <c r="Q96" i="4"/>
  <c r="P96" i="4"/>
  <c r="S95" i="4"/>
  <c r="Q95" i="4"/>
  <c r="P95" i="4"/>
  <c r="S94" i="4"/>
  <c r="Q94" i="4"/>
  <c r="P94" i="4"/>
  <c r="S93" i="4"/>
  <c r="Q93" i="4"/>
  <c r="P93" i="4"/>
  <c r="S92" i="4"/>
  <c r="Q92" i="4"/>
  <c r="P92" i="4" s="1"/>
  <c r="S91" i="4"/>
  <c r="Q91" i="4"/>
  <c r="P91" i="4"/>
  <c r="S90" i="4"/>
  <c r="Q90" i="4"/>
  <c r="P90" i="4" s="1"/>
  <c r="S89" i="4"/>
  <c r="Q89" i="4"/>
  <c r="P89" i="4"/>
  <c r="S88" i="4"/>
  <c r="Q88" i="4"/>
  <c r="P88" i="4"/>
  <c r="S87" i="4"/>
  <c r="Q87" i="4"/>
  <c r="P87" i="4"/>
  <c r="S86" i="4"/>
  <c r="Q86" i="4"/>
  <c r="P86" i="4"/>
  <c r="S85" i="4"/>
  <c r="Q85" i="4"/>
  <c r="P85" i="4"/>
  <c r="S84" i="4"/>
  <c r="Q84" i="4"/>
  <c r="P84" i="4" s="1"/>
  <c r="S83" i="4"/>
  <c r="Q83" i="4"/>
  <c r="P83" i="4"/>
  <c r="S82" i="4"/>
  <c r="Q82" i="4"/>
  <c r="P82" i="4" s="1"/>
  <c r="S81" i="4"/>
  <c r="Q81" i="4"/>
  <c r="P81" i="4"/>
  <c r="S80" i="4"/>
  <c r="Q80" i="4"/>
  <c r="P80" i="4"/>
  <c r="S79" i="4"/>
  <c r="Q79" i="4"/>
  <c r="P79" i="4" s="1"/>
  <c r="S78" i="4"/>
  <c r="Q78" i="4"/>
  <c r="P78" i="4"/>
  <c r="S77" i="4"/>
  <c r="Q77" i="4"/>
  <c r="P77" i="4"/>
  <c r="S76" i="4"/>
  <c r="Q76" i="4"/>
  <c r="P76" i="4" s="1"/>
  <c r="S75" i="4"/>
  <c r="Q75" i="4"/>
  <c r="P75" i="4"/>
  <c r="S74" i="4"/>
  <c r="Q74" i="4"/>
  <c r="P74" i="4" s="1"/>
  <c r="S73" i="4"/>
  <c r="Q73" i="4"/>
  <c r="P73" i="4"/>
  <c r="S72" i="4"/>
  <c r="Q72" i="4"/>
  <c r="P72" i="4"/>
  <c r="S71" i="4"/>
  <c r="Q71" i="4"/>
  <c r="P71" i="4"/>
  <c r="S70" i="4"/>
  <c r="Q70" i="4"/>
  <c r="P70" i="4"/>
  <c r="S69" i="4"/>
  <c r="Q69" i="4"/>
  <c r="P69" i="4"/>
  <c r="S68" i="4"/>
  <c r="Q68" i="4"/>
  <c r="P68" i="4" s="1"/>
  <c r="S67" i="4"/>
  <c r="Q67" i="4"/>
  <c r="P67" i="4"/>
  <c r="S66" i="4"/>
  <c r="Q66" i="4"/>
  <c r="P66" i="4" s="1"/>
  <c r="S65" i="4"/>
  <c r="Q65" i="4"/>
  <c r="P65" i="4"/>
  <c r="S64" i="4"/>
  <c r="Q64" i="4"/>
  <c r="P64" i="4"/>
  <c r="S63" i="4"/>
  <c r="Q63" i="4"/>
  <c r="P63" i="4"/>
  <c r="S62" i="4"/>
  <c r="Q62" i="4"/>
  <c r="P62" i="4"/>
  <c r="S61" i="4"/>
  <c r="Q61" i="4"/>
  <c r="P61" i="4"/>
  <c r="S60" i="4"/>
  <c r="Q60" i="4"/>
  <c r="P60" i="4" s="1"/>
  <c r="S59" i="4"/>
  <c r="Q59" i="4"/>
  <c r="P59" i="4"/>
  <c r="S58" i="4"/>
  <c r="Q58" i="4"/>
  <c r="P58" i="4" s="1"/>
  <c r="S57" i="4"/>
  <c r="Q57" i="4"/>
  <c r="P57" i="4"/>
  <c r="S56" i="4"/>
  <c r="Q56" i="4"/>
  <c r="P56" i="4"/>
  <c r="S55" i="4"/>
  <c r="Q55" i="4"/>
  <c r="P55" i="4"/>
  <c r="S54" i="4"/>
  <c r="Q54" i="4"/>
  <c r="P54" i="4"/>
  <c r="S53" i="4"/>
  <c r="Q53" i="4"/>
  <c r="P53" i="4"/>
  <c r="S52" i="4"/>
  <c r="Q52" i="4"/>
  <c r="P52" i="4" s="1"/>
  <c r="S51" i="4"/>
  <c r="Q51" i="4"/>
  <c r="P51" i="4"/>
  <c r="S50" i="4"/>
  <c r="Q50" i="4"/>
  <c r="P50" i="4" s="1"/>
  <c r="S49" i="4"/>
  <c r="Q49" i="4"/>
  <c r="P49" i="4"/>
  <c r="S48" i="4"/>
  <c r="Q48" i="4"/>
  <c r="P48" i="4"/>
  <c r="S47" i="4"/>
  <c r="Q47" i="4"/>
  <c r="P47" i="4" s="1"/>
  <c r="S46" i="4"/>
  <c r="Q46" i="4"/>
  <c r="P46" i="4"/>
  <c r="S45" i="4"/>
  <c r="Q45" i="4"/>
  <c r="P45" i="4"/>
  <c r="S44" i="4"/>
  <c r="Q44" i="4"/>
  <c r="P44" i="4" s="1"/>
  <c r="S43" i="4"/>
  <c r="Q43" i="4"/>
  <c r="P43" i="4"/>
  <c r="S42" i="4"/>
  <c r="Q42" i="4"/>
  <c r="P42" i="4" s="1"/>
  <c r="S41" i="4"/>
  <c r="Q41" i="4"/>
  <c r="P41" i="4"/>
  <c r="S40" i="4"/>
  <c r="Q40" i="4"/>
  <c r="P40" i="4"/>
  <c r="S39" i="4"/>
  <c r="Q39" i="4"/>
  <c r="P39" i="4" s="1"/>
  <c r="S38" i="4"/>
  <c r="Q38" i="4"/>
  <c r="P38" i="4"/>
  <c r="S37" i="4"/>
  <c r="Q37" i="4"/>
  <c r="P37" i="4"/>
  <c r="S36" i="4"/>
  <c r="Q36" i="4"/>
  <c r="P36" i="4" s="1"/>
  <c r="S35" i="4"/>
  <c r="Q35" i="4"/>
  <c r="P35" i="4"/>
  <c r="S34" i="4"/>
  <c r="Q34" i="4"/>
  <c r="P34" i="4" s="1"/>
  <c r="S33" i="4"/>
  <c r="Q33" i="4"/>
  <c r="P33" i="4"/>
  <c r="S32" i="4"/>
  <c r="Q32" i="4"/>
  <c r="P32" i="4"/>
  <c r="S31" i="4"/>
  <c r="Q31" i="4"/>
  <c r="P31" i="4" s="1"/>
  <c r="S30" i="4"/>
  <c r="Q30" i="4"/>
  <c r="P30" i="4"/>
  <c r="S29" i="4"/>
  <c r="Q29" i="4"/>
  <c r="P29" i="4"/>
  <c r="S28" i="4"/>
  <c r="Q28" i="4"/>
  <c r="P28" i="4"/>
  <c r="S27" i="4"/>
  <c r="Q27" i="4"/>
  <c r="P27" i="4"/>
  <c r="S26" i="4"/>
  <c r="Q26" i="4"/>
  <c r="P26" i="4" s="1"/>
  <c r="S25" i="4"/>
  <c r="Q25" i="4"/>
  <c r="P25" i="4"/>
  <c r="S24" i="4"/>
  <c r="Q24" i="4"/>
  <c r="P24" i="4"/>
  <c r="S23" i="4"/>
  <c r="Q23" i="4"/>
  <c r="P23" i="4" s="1"/>
  <c r="S22" i="4"/>
  <c r="Q22" i="4"/>
  <c r="P22" i="4"/>
  <c r="S21" i="4"/>
  <c r="Q21" i="4"/>
  <c r="P21" i="4"/>
  <c r="S20" i="4"/>
  <c r="Q20" i="4"/>
  <c r="P20" i="4"/>
  <c r="S19" i="4"/>
  <c r="Q19" i="4"/>
  <c r="P19" i="4"/>
  <c r="S18" i="4"/>
  <c r="Q18" i="4"/>
  <c r="P18" i="4" s="1"/>
  <c r="S17" i="4"/>
  <c r="Q17" i="4"/>
  <c r="P17" i="4"/>
  <c r="S16" i="4"/>
  <c r="Q16" i="4"/>
  <c r="P16" i="4"/>
  <c r="S15" i="4"/>
  <c r="Q15" i="4"/>
  <c r="P15" i="4" s="1"/>
  <c r="S14" i="4"/>
  <c r="Q14" i="4"/>
  <c r="P14" i="4"/>
  <c r="S13" i="4"/>
  <c r="Q13" i="4"/>
  <c r="P13" i="4"/>
  <c r="S12" i="4"/>
  <c r="Q12" i="4"/>
  <c r="P12" i="4"/>
  <c r="S11" i="4"/>
  <c r="Q11" i="4"/>
  <c r="P11" i="4"/>
  <c r="S10" i="4"/>
  <c r="Q10" i="4"/>
  <c r="P10" i="4" s="1"/>
  <c r="S9" i="4"/>
  <c r="Q9" i="4"/>
  <c r="P9" i="4"/>
  <c r="S8" i="4"/>
  <c r="Q8" i="4"/>
  <c r="P8" i="4"/>
  <c r="S7" i="4"/>
  <c r="Q7" i="4"/>
  <c r="P7" i="4" s="1"/>
  <c r="S6" i="4"/>
  <c r="Q6" i="4"/>
  <c r="P6" i="4"/>
  <c r="S5" i="4"/>
  <c r="Q5" i="4"/>
  <c r="P5" i="4"/>
  <c r="S4" i="4"/>
  <c r="Q4" i="4"/>
  <c r="P4" i="4"/>
  <c r="S3" i="4"/>
  <c r="Q3" i="4"/>
  <c r="P3" i="4"/>
  <c r="S2" i="4"/>
  <c r="S105" i="4" s="1"/>
  <c r="Q2" i="4"/>
  <c r="P2" i="4" s="1"/>
  <c r="Q105" i="4" l="1"/>
  <c r="O98" i="3" l="1"/>
  <c r="M97" i="3"/>
  <c r="M96" i="3"/>
  <c r="E96" i="3"/>
  <c r="S87" i="3"/>
  <c r="S88" i="3"/>
  <c r="S89" i="3"/>
  <c r="S90" i="3"/>
  <c r="S91" i="3"/>
  <c r="S92" i="3"/>
  <c r="S93" i="3"/>
  <c r="S94" i="3"/>
  <c r="S95" i="3"/>
  <c r="S96" i="3"/>
  <c r="S97" i="3"/>
  <c r="S86" i="3"/>
  <c r="S84" i="3"/>
  <c r="S85" i="3"/>
  <c r="S83" i="3"/>
  <c r="S98" i="3" s="1"/>
  <c r="Q98" i="3"/>
  <c r="R98" i="3"/>
</calcChain>
</file>

<file path=xl/sharedStrings.xml><?xml version="1.0" encoding="utf-8"?>
<sst xmlns="http://schemas.openxmlformats.org/spreadsheetml/2006/main" count="2730" uniqueCount="582">
  <si>
    <t>Invoice No</t>
  </si>
  <si>
    <t>034-2024</t>
  </si>
  <si>
    <t>066-2024</t>
  </si>
  <si>
    <t>073-2025</t>
  </si>
  <si>
    <t>074-2025</t>
  </si>
  <si>
    <t>077-2025</t>
  </si>
  <si>
    <t>078-2025</t>
  </si>
  <si>
    <t>079-2025</t>
  </si>
  <si>
    <t>103-2025</t>
  </si>
  <si>
    <t>Sr No</t>
  </si>
  <si>
    <t>Vendor</t>
  </si>
  <si>
    <t>Contract No</t>
  </si>
  <si>
    <t>Well Name</t>
  </si>
  <si>
    <t>Invoice Date</t>
  </si>
  <si>
    <t>Receiving Date</t>
  </si>
  <si>
    <t>Clearance Date</t>
  </si>
  <si>
    <t>Service</t>
  </si>
  <si>
    <t>Type</t>
  </si>
  <si>
    <t>Region</t>
  </si>
  <si>
    <t>Rig</t>
  </si>
  <si>
    <t>Location</t>
  </si>
  <si>
    <t>Description</t>
  </si>
  <si>
    <t>Amount Excl Tax</t>
  </si>
  <si>
    <t>GST/PST</t>
  </si>
  <si>
    <t>Tax</t>
  </si>
  <si>
    <t>Amount Incl Tax</t>
  </si>
  <si>
    <t>Amount Paid</t>
  </si>
  <si>
    <t>Status</t>
  </si>
  <si>
    <t>Quarter</t>
  </si>
  <si>
    <t>Year</t>
  </si>
  <si>
    <t>Step Oiltools</t>
  </si>
  <si>
    <t>034/2021/OGDCL</t>
  </si>
  <si>
    <t>PROC-Services/CB/WS-4950/770103/2021</t>
  </si>
  <si>
    <t>Mela-8</t>
  </si>
  <si>
    <t>DWM</t>
  </si>
  <si>
    <t>CDFR</t>
  </si>
  <si>
    <t>Cleared</t>
  </si>
  <si>
    <t>Q2</t>
  </si>
  <si>
    <t>036/2021/OGDCL</t>
  </si>
  <si>
    <t>Mela-8 to Nashpa-4</t>
  </si>
  <si>
    <t>Transportation</t>
  </si>
  <si>
    <t>OBM Transportation</t>
  </si>
  <si>
    <t>037/2021/OGDCL</t>
  </si>
  <si>
    <t>Togh plant to Mela-8</t>
  </si>
  <si>
    <t>037-OGDCL-2021-  INVOICE FOR OBM TRANS - TOGH PLANT TO MELA-8  (SEPTEMBER 2021)  [src: StepOilExp:Sheet1]</t>
  </si>
  <si>
    <t>038/2021/OGDCL</t>
  </si>
  <si>
    <t>Togh plant</t>
  </si>
  <si>
    <t>OBM Cuttings</t>
  </si>
  <si>
    <t>036-OGDCL-2021-  INVOICE FOR OBM CUTTINGS TRANS ( MELA-8 to Nashpa-4 (SEPTEMBER 2021  [src: StepOilExp:Sheet1]</t>
  </si>
  <si>
    <t>035/2021/OGDCL</t>
  </si>
  <si>
    <t>045/2021/OGDCL</t>
  </si>
  <si>
    <t>045-OGDCL-2021-  INVOICE FOR OBM TRANS - FROM SENI GUMBAT TO TOGH PLANT ( OCT 2021)  [src: StepOilExp:Sheet1]</t>
  </si>
  <si>
    <t>046/2021/OGDCL</t>
  </si>
  <si>
    <t>Mela-8 to Togh plant</t>
  </si>
  <si>
    <t>046-OGDCL-2021-  INVOICE FOR OBM TRANS - FROM MELA-8 TO TOGH PLANT   (OCTOBER 2021)  [src: StepOilExp:Sheet1]</t>
  </si>
  <si>
    <t>047/2021/OGDCL</t>
  </si>
  <si>
    <t>047-OGDCL-2021-  INVOICE FOR DWM SERVICES- SENI GUMBAT-1 (OCTOBER  2021)  [src: StepOilExp:Sheet1]</t>
  </si>
  <si>
    <t>048/2021/OGDCL</t>
  </si>
  <si>
    <t>048-OGDCL-2021-  INVOICE FOR DWM SERVICES- MELA-8 ( OCTOBER 2021)  [src: StepOilExp:Sheet1]</t>
  </si>
  <si>
    <t>049/2021/OGDCL</t>
  </si>
  <si>
    <t>049-2021-OGDCL 2021 OBM  Cuttings Trans -MELA-8  to nashpa-4 (Oct 2021)  [src: StepOilExp:Sheet1]</t>
  </si>
  <si>
    <t>050/2021/OGDCL</t>
  </si>
  <si>
    <t>Nashpa-4</t>
  </si>
  <si>
    <t>050-OGDCL-2021- INVOICE FOR OBM CUTTINGS TRANS ( Seni Gumbat  to Nashpa-4 (October 2021)  [src: StepOilExp:Sheet1]</t>
  </si>
  <si>
    <t>061/2021/OGDCL</t>
  </si>
  <si>
    <t>Nashpa-10</t>
  </si>
  <si>
    <t>Bioremediation</t>
  </si>
  <si>
    <t>Batch-01</t>
  </si>
  <si>
    <t>061-OGDCL-2021-  INVOICE FOR BIOREMEDIATION-BATCH-1 - NASHPA-10  [src: StepOilExp:Sheet1]</t>
  </si>
  <si>
    <t>062/2021/OGDCL</t>
  </si>
  <si>
    <t>Togh Bala-1</t>
  </si>
  <si>
    <t>062-OGDCL-2021-  INVOICE FOR BIOREMEDIATION-BATCH-1 - TOGH BALA-1  [src: StepOilExp:Sheet1]</t>
  </si>
  <si>
    <t>063/2021/OGDCL</t>
  </si>
  <si>
    <t>Sheen Dund</t>
  </si>
  <si>
    <t>063-OGDCL-2021-  INVOICE FOR BIOREMEDIATION-BATCH-1 -  Sheen Dund  [src: StepOilExp:Sheet1]</t>
  </si>
  <si>
    <t>064/2021/OGDCL</t>
  </si>
  <si>
    <t>064-OGDCL-2021-  INVOICE FOR BIOREMEDIATION-BATCH-1 -  SENI GUMBAT-1  [src: StepOilExp:Sheet1]</t>
  </si>
  <si>
    <t>074/2021/OGDCL</t>
  </si>
  <si>
    <t>074-OGDCL-2021-  INVOICE FOR DWM SERVICES- MELA-8 ( NOVEMBER  2021  [src: StepOilExp:Sheet1]</t>
  </si>
  <si>
    <t>075/2021/OGDCL</t>
  </si>
  <si>
    <t>2021-12-29</t>
  </si>
  <si>
    <t>075-OGDCL-2021-  INVOICE FOR DWM SERVICES- SENI GUMBAT-1 (NOVEMBER 2021)  [src: StepOilExp:Sheet1]</t>
  </si>
  <si>
    <t>076/2021/OGDCL</t>
  </si>
  <si>
    <t>076-OGDCL-2021-  INVOICE FOR OBM TRANS - FROM MELA-8 TO TOGH PLANT   (NOVEMBER 2021)  [src: StepOilExp:Sheet1]</t>
  </si>
  <si>
    <t>077/2021/OGDCL</t>
  </si>
  <si>
    <t>Wali X-1</t>
  </si>
  <si>
    <t>Batch-02</t>
  </si>
  <si>
    <t>077-OGDCL-2021-  INVOICE FOR BIOREMEDIATION-BATCH-2 - WALI X-1  [src: StepOilExp:Sheet1]</t>
  </si>
  <si>
    <t>078/2021/OGDCL</t>
  </si>
  <si>
    <t>078-OGDCL-2021-  INVOICE FOR BIOREMEDIATION-BATCH-2 -  TOGH PLANT  [src: StepOilExp:Sheet1]</t>
  </si>
  <si>
    <t>079/2021/OGDCL</t>
  </si>
  <si>
    <t>079-OGDCL-2021- INVOICE FOR OBM CUTTINGS TRANS ( MELA-8 to Nashpa-4 (Nov 2021)  [src: StepOilExp:Sheet1]</t>
  </si>
  <si>
    <t>080/2021/OGDCL</t>
  </si>
  <si>
    <t>Seni Gumbat-1</t>
  </si>
  <si>
    <t>080-2021-OGDCL OBM Cuttings Trans Seni Gumabat-N4 ( Nov 2021)  [src: StepOilExp:Sheet1]</t>
  </si>
  <si>
    <t>081/2021/OGDCL</t>
  </si>
  <si>
    <t>Wali X-1 to Nashpa-4</t>
  </si>
  <si>
    <t>081-OGDCL-2021- INVOICE FOR OBM CUTTINGS TRANS ( Wali X-1 to Nashpa-4 (  November 2021)  [src: StepOilExp:Sheet1]</t>
  </si>
  <si>
    <t>001/2022/OGDCL</t>
  </si>
  <si>
    <t>Toot Deep X-1</t>
  </si>
  <si>
    <t>2022-01-28</t>
  </si>
  <si>
    <t>001-2022-OGDCL 2ND BATCH BIOREM -TOOT DEEP -X-1  [src: StepOilExp:Sheet1]</t>
  </si>
  <si>
    <t>Q3</t>
  </si>
  <si>
    <t>006/2022/OGDCL</t>
  </si>
  <si>
    <t>2022-02-04</t>
  </si>
  <si>
    <t>006-OGDCL-2022- INVOICE FOR OBM CUTTINGS TRANS ( MELA-8 to Nashpa-4 (Dec 2021)  [src: StepOilExp:Sheet1]</t>
  </si>
  <si>
    <t>012/2022/OGDCL</t>
  </si>
  <si>
    <t>012-OGDCL-2022-  INVOICE FOR OBM TRANS - FROM  MELA-8  TO TOGH PLANT ( JAN 2021)  [src: StepOilExp:Sheet1]</t>
  </si>
  <si>
    <t>013/2022/OGDCL</t>
  </si>
  <si>
    <t>013-2022-OGDCL  OBM Trans   Seni Gumbat-1  to Mela-8  (Nov  2021)  [src: StepOilExp:Sheet1]</t>
  </si>
  <si>
    <t>016/2022/OGDCL</t>
  </si>
  <si>
    <t>Storage</t>
  </si>
  <si>
    <t>Mud Tanks</t>
  </si>
  <si>
    <t>016 OGDCL-2022-  INVOICE FOR MUD STORAGE SERVICES- MELA-8 ( NOVEMBER  2021)  [src: StepOilExp:Sheet1]</t>
  </si>
  <si>
    <t>020/2022/OGDCL</t>
  </si>
  <si>
    <t>2022-02-11</t>
  </si>
  <si>
    <t>020-2022-OGDCL  OBM  Cuttings Trans from Mela-8    to nashpa-4 (Jan 2021)  [src: StepOilExp:Sheet1]</t>
  </si>
  <si>
    <t>021/2022/OGDCL</t>
  </si>
  <si>
    <t>021 OGDCL-2022-  INVOICE FOR DWM SERVICES- MELA-8 ( JANUARY 2021)  [src: StepOilExp:Sheet1]</t>
  </si>
  <si>
    <t>004/2022/OGDCL</t>
  </si>
  <si>
    <t>2022-02-19</t>
  </si>
  <si>
    <t>004-OGDCL-2022-  INVOICE FOR OBM TRANS - FROM TOGH PLANT TO SENI GUMBAT-1 ( DEC 2021)  [src: StepOilExp:Sheet1]</t>
  </si>
  <si>
    <t>005/2022/OGDCL</t>
  </si>
  <si>
    <t>2022-02-21</t>
  </si>
  <si>
    <t>005-OGDCL-2022-  INVOICE FOR OBM TRANS - FROM  SENI GUMBAT-1 TO TOGH PLANT ( DEC 2021)  [src: StepOilExp:Sheet1]</t>
  </si>
  <si>
    <t>007/2022/OGDCL</t>
  </si>
  <si>
    <t>007 OGDCL-2022-  INVOICE FOR DWM SERVICES- MELA-8 ( DECEMBER 2021)  [src: StepOilExp:Sheet1]</t>
  </si>
  <si>
    <t>036/2022/OGDCL</t>
  </si>
  <si>
    <t>2022-04-26</t>
  </si>
  <si>
    <t>036 OGDCL-2022-  INVOICE FOR DWM SERVICES- MELA-8 ( FEBRUARY 2022)  [src: StepOilExp:Sheet1]</t>
  </si>
  <si>
    <t>Q4</t>
  </si>
  <si>
    <t>037/2022/OGDCL</t>
  </si>
  <si>
    <t>037 OGDCL-2022-  INVOICE FOR DWM SERVICES- MELA-8 ( MARCH 2022)  [src: StepOilExp:Sheet1]</t>
  </si>
  <si>
    <t>038/2022/OGDCL</t>
  </si>
  <si>
    <t>038-OGDCL-2022- INVOICE FOR OBM CUTTINGS TRANS ( MELA-8 to Nashpa-4 (feb 2022)  [src: StepOilExp:Sheet1]</t>
  </si>
  <si>
    <t>039/2022/OGDCL</t>
  </si>
  <si>
    <t>039-2022-OGDCL 2021 OBM  Cuttings Trans from Mela-8    to nashpa-4 (March 2022).asd  [src: StepOilExp:Sheet1]</t>
  </si>
  <si>
    <t>042/2022/OGDCL</t>
  </si>
  <si>
    <t>042-OGDCL-2022-  INVOICE FOR OBM TRANS - FROM TOGH PLANT TO MELA-8 ( MAR 2022)  [src: StepOilExp:Sheet1]</t>
  </si>
  <si>
    <t>040/2022/OGDCL</t>
  </si>
  <si>
    <t>2022-05-21</t>
  </si>
  <si>
    <t>040-2022-OGDCL  OBM Trans fromMela-8 to  Togh plant  (Feb 2022)  [src: StepOilExp:Sheet1]</t>
  </si>
  <si>
    <t>041/2022/OGDCL</t>
  </si>
  <si>
    <t>041-2022-OGDCL  OBM Trans fromMela-8 to  Togh plant  (Mar 2022)  [src: StepOilExp:Sheet1]</t>
  </si>
  <si>
    <t>064/2022/OGDCL</t>
  </si>
  <si>
    <t>2022-06-21</t>
  </si>
  <si>
    <t>064-OGDCL-2022- INVOICE FOR OBM CUTTINGS TRANS ( MELA-8 to Nashpa-4 (April  2022)  [src: StepOilExp:Sheet1]</t>
  </si>
  <si>
    <t>065/2022/OGDCL</t>
  </si>
  <si>
    <t>065-OGDCL-2022-  INVOICE FOR DWM SERVICES- MELA-8 ( APRIL  2022)  [src: StepOilExp:Sheet1]</t>
  </si>
  <si>
    <t>066/2022/OGDCL</t>
  </si>
  <si>
    <t>2022-07-26</t>
  </si>
  <si>
    <t>066-OGDCL-2022-  INVOICE FOR DWM SERVICES- MELA-8 ( MAY ,JUNE &amp; JULY  2022)  [src: StepOilExp:Sheet1]</t>
  </si>
  <si>
    <t>Q1</t>
  </si>
  <si>
    <t>077/2022/OGDCL</t>
  </si>
  <si>
    <t>077-OGDCL-2022- INVOICE FOR OBM CUTTINGS TRANS ( MELA-8 to Nashpa-4 (MAY, JUNE &amp; JUL  2022)  [src: StepOilExp:Sheet1]</t>
  </si>
  <si>
    <t>084/2022/OGDCL</t>
  </si>
  <si>
    <t>Nashpa-11 to Nashpa-4</t>
  </si>
  <si>
    <t>084-OGDCL-2022- INVOICE FOR OBM CUTTINGS TRANS ( Nashpa-11  to Nashpa-4 (JULY  2022)  [src: StepOilExp:Sheet1]</t>
  </si>
  <si>
    <t>087/2022/OGDCL</t>
  </si>
  <si>
    <t>Nashpa-11</t>
  </si>
  <si>
    <t>087-OGDCL-2022-  INVOICE FOR DWM SERVICES- nashpa-11 (  JULY   2022)  [src: StepOilExp:Sheet1]</t>
  </si>
  <si>
    <t>088/2022/OGDCL</t>
  </si>
  <si>
    <t>088-OGDCL-2022-  INVOICE FOR OBM TRANS - FROM SENI GUMBAT-1 TO  TOGH PLANT (  JAN  2022)  [src: StepOilExp:Sheet1]</t>
  </si>
  <si>
    <t>090/2022/OGDCL</t>
  </si>
  <si>
    <t>Togh plant to Nashpa-11</t>
  </si>
  <si>
    <t>090-2022-OGDCL  OBM Trans. from  Togh plant to NASHPA-11   (July 2022)  [src: StepOilExp:Sheet1]</t>
  </si>
  <si>
    <t>091/2022/OGDCL</t>
  </si>
  <si>
    <t>Mela-8 to Nashpa-11</t>
  </si>
  <si>
    <t>091-OGDCL-2022-  INVOICE FOR OBM TRANS - FROM  MELA-8  TO NASHPA-11 (  JULY 2022)  [src: StepOilExp:Sheet1]</t>
  </si>
  <si>
    <t>089/2022/OGDCL</t>
  </si>
  <si>
    <t>089-OGDCL-2022-  INVOICE FOR OBM TRANS - BETWEEN MELA-8   &amp; TOGH PLANT (  MAY-JULY 2022)  [src: StepOilExp:Sheet1]</t>
  </si>
  <si>
    <t>093/2022/OGDCL</t>
  </si>
  <si>
    <t>093-OGDCL-2022-  INVOICE FOR Cutting TRANS - FROM  NASHPA-11 to Nashpa-04  [src: StepOilExp:Sheet1]</t>
  </si>
  <si>
    <t>099/2022/OGDCL</t>
  </si>
  <si>
    <t>099-OGDCL-2022-  INVOICE FOR DWM SERVICES- nashpa-11 (  AUG-SEP    2022)  [src: StepOilExp:Sheet1]</t>
  </si>
  <si>
    <t>103/2022/OGDCL</t>
  </si>
  <si>
    <t>Dhok Hussain-1</t>
  </si>
  <si>
    <t>Batch-03</t>
  </si>
  <si>
    <t>102-OGDCL-2022-  INVOICE FOR BIOREMEDIATION-BATCH-3 - DHOK HUSSAIN-1</t>
  </si>
  <si>
    <t>104/2022/OGDCL</t>
  </si>
  <si>
    <t>104-2022-OGDCL  INVOICE FOR BIOREMEDIATION-BATCH-3 Togh bala</t>
  </si>
  <si>
    <t>105/2022/OGDCL</t>
  </si>
  <si>
    <t>105-OGDCL-2022-  INVOICE FOR BIOREMEDIATION-BATCH-3 - MELA-8</t>
  </si>
  <si>
    <t>106/2022/OGDCL</t>
  </si>
  <si>
    <t>106-OGDCL-2022-  INVOICE FOR BIOREMEDIATION-BATCH-3 - SENI GUMBAT-1</t>
  </si>
  <si>
    <t>111/2022/OGDCL</t>
  </si>
  <si>
    <t>111-OGDCL-2022-  INVOICE FOR DWM SERVICES- nashpa-11 (  Oct   2022)</t>
  </si>
  <si>
    <t>112/2022/OGDCL</t>
  </si>
  <si>
    <t>112-OGDCL-2022-  INVOICE FOR MUD STORAGE SERVICES- Togh plant  ( Feb-Oct 2022)</t>
  </si>
  <si>
    <t>113/2022/OGDCL</t>
  </si>
  <si>
    <t>113-OGDCL-2022-  INVOICE FOR DWM SERVICES- nashpa-11 (  Nov   2022)</t>
  </si>
  <si>
    <t>114/2022/OGDCL</t>
  </si>
  <si>
    <t>Chanda-7</t>
  </si>
  <si>
    <t>114-OGDCL-2022-  INVOICE FOR DWM SERVICES- Chanda-7 (  Nov   2022)</t>
  </si>
  <si>
    <t>115/2022/OGDCL</t>
  </si>
  <si>
    <t>Chanda-7 to Nashpa-4</t>
  </si>
  <si>
    <t>115-OGDCL-2022-  INVOICE FOR Cutting TRANS - FROM  Chanda-7  to Nashpa-04(Nov  22)</t>
  </si>
  <si>
    <t>116/2022/OGDCL</t>
  </si>
  <si>
    <t>116-2022 OGDCL Invoice for OBM CUTTINGS TRANS  Nashpa-11  to Nashpa-4 (Sep-Nov  2022)</t>
  </si>
  <si>
    <t>118/2022/OGDCL</t>
  </si>
  <si>
    <t>Togh plant to Chanda-7</t>
  </si>
  <si>
    <t>OBM</t>
  </si>
  <si>
    <t>118-2022-OGDCL  OBM Trans. from  Togh plant to Chanda-7 (Oct-Nov 2022)</t>
  </si>
  <si>
    <t>005/2023/OGDCL</t>
  </si>
  <si>
    <t>006/2023/OGDCL</t>
  </si>
  <si>
    <t>Batch-04</t>
  </si>
  <si>
    <t>006-OGDCL-2023-  INVOICE FOR BIOREMEDIATION-BATCH-4 - MELA-8</t>
  </si>
  <si>
    <t>007/2023/OGDCL</t>
  </si>
  <si>
    <t>007-OGDCL-2023-  INVOICE FOR BIOREMEDIATION-BATCH-4 - NASHPA-11</t>
  </si>
  <si>
    <t>008/2023/OGDCL</t>
  </si>
  <si>
    <t>008-OGDCL-2023-  INVOICE FOR DWM SERVICES- nashpa-11 ( Dec 2022 &amp; Jan 2023)</t>
  </si>
  <si>
    <t>009/2023/OGDCL</t>
  </si>
  <si>
    <t>009-2023 OGDCL Invoice for OBM CUTTINGS TRANS  Nashpa-11  to Nashpa-4 (Dec 2022 to Feb 2023)</t>
  </si>
  <si>
    <t>010/2023/OGDCL</t>
  </si>
  <si>
    <t>010-OGDCL-2023-  INVOICE FOR DWM SERVICES- CHANDA-7  (DEC 2022) &amp; JAN 2023</t>
  </si>
  <si>
    <t>011/2023/OGDCL</t>
  </si>
  <si>
    <t>011-2023 OGDCL Invoice for OBM CUTTINGS TRANS  Chanda-7 to Nashpa-4 DEC  2022 TO Feb 2023)</t>
  </si>
  <si>
    <t>012/2023/OGDCL</t>
  </si>
  <si>
    <t>Nashpa-11 to Chanda-7</t>
  </si>
  <si>
    <t>012-2023-OGDCL  OBM Trans. from  Nashpa-11 to Chanda-7 (Dec 2022 to Jan 2023)</t>
  </si>
  <si>
    <t>013/2023/OGDCL</t>
  </si>
  <si>
    <t>Chanda-7 to Nashpa-11</t>
  </si>
  <si>
    <t>013-OGDCL-2023-  INVOICE FOR OBM TRANS - FROM Chanda-7  to NAshpa-11 ( Jan 2023)</t>
  </si>
  <si>
    <t>014/2023/OGDCL</t>
  </si>
  <si>
    <t>Nashpa-11 to Togh plant</t>
  </si>
  <si>
    <t>014-OGDCL-2023-  INVOICE FOR OBM TRANS - FROM  Nashpa-11  to Togh PLant  (  Feb 2023)</t>
  </si>
  <si>
    <t>018/2023/OGDCL</t>
  </si>
  <si>
    <t>018-OGDCL-2023-  INVOICE FOR DWM SERVICES- CHANDA-7  FEB  2023</t>
  </si>
  <si>
    <t>019/2023/OGDCL</t>
  </si>
  <si>
    <t>019-OGDCL-2023-  INVOICE FOR DWM SERVICES- NASHPA-11  FEB  2023</t>
  </si>
  <si>
    <t>020/2023/OGDCL</t>
  </si>
  <si>
    <t>020 OGDCL-2023-  INVOICE FOR MUD STORAGE SERVICES- TOGH PLANT  ( NOVEMBER 22- FEBUARY 2023)</t>
  </si>
  <si>
    <t>026/2023/OGDCL</t>
  </si>
  <si>
    <t>Batch-05</t>
  </si>
  <si>
    <t>026-OGDCL-2023-  INVOICE FOR BIOREMEDIATION-BATCH-5 - NASHPA-11</t>
  </si>
  <si>
    <t>027/2023/OGDCL</t>
  </si>
  <si>
    <t>027-OGDCL-2023-  INVOICE FOR BIOREMEDIATION-BATCH-5 - Chanda-7</t>
  </si>
  <si>
    <t>030/2023/OGDCL</t>
  </si>
  <si>
    <t>030-2023 OGDCL Invoice for OBM CUTTINGS TRANS  Chanda-7 to Nashpa-4 (April 2023)</t>
  </si>
  <si>
    <t>031/2023/OGDCL</t>
  </si>
  <si>
    <t>031-OGDCL-2023-  INVOICE FOR DWM(CDFR) SERVICES- CHANDA-7  April 2023</t>
  </si>
  <si>
    <t>032/2023/OGDCL</t>
  </si>
  <si>
    <t>032 OGDCL-2023-  INVOICE FOR MUD STORAGE SERVICES( 5 x 500 bbl) AT CHANDA-7  (  FEBUARY to APRIL  2023)</t>
  </si>
  <si>
    <t>036/2023/OGDCL</t>
  </si>
  <si>
    <t>036-2023 OGDDCL INVOICE FOR DWM SERVICES- CHANDA-7  MAY 2023</t>
  </si>
  <si>
    <t>037/2023/OGDCL</t>
  </si>
  <si>
    <t>037-2023 OGDCL Invoice for OBM CUTTINGS TRANS  Chanda-7 to Nashpa-4 (May 2023)</t>
  </si>
  <si>
    <t>038/2023/OGDCL</t>
  </si>
  <si>
    <t>038-2023- OGDCL  Invoice fro OBM TRANS - FROM  TOGH PLANT TO Chanda-7 ( May  2023)</t>
  </si>
  <si>
    <t>042/2023/OGDCL</t>
  </si>
  <si>
    <t>042-2023- OGDCL  Invoice fro OBM TRANS - FROM  TOGH PLANT TO Chanda-7 ( June  2023)</t>
  </si>
  <si>
    <t>043/2023/OGDCL</t>
  </si>
  <si>
    <t>043-2023 OGDCL Invoice for OBM CUTTINGS TRANS  Chanda-7 to Nashpa-4 (June- 2023)</t>
  </si>
  <si>
    <t>044/2023/OGDCL</t>
  </si>
  <si>
    <t>044-2023 OGDDCL INVOICE FOR DWM SERVICES- CHANDA-7  JUNE 2023</t>
  </si>
  <si>
    <t>045/2023/OGDCL</t>
  </si>
  <si>
    <t>045-OGDCL-2023-  INVOICE FOR MUD STORAGE SERVICES- TOGH PLANT  ( March 23 to June 23)</t>
  </si>
  <si>
    <t>051/2023/OGDCL</t>
  </si>
  <si>
    <t>051-2023 OGDDCL INVOICE FOR DWM SERVICES- CHANDA-7  JULY 2023</t>
  </si>
  <si>
    <t>052/2023/OGDCL</t>
  </si>
  <si>
    <t>052-2023 OGDCL Invoice for OBM CUTTINGS TRANS  Chanda-7 to Nashpa-4 (July- 2023)</t>
  </si>
  <si>
    <t>056/2023/OGDCL</t>
  </si>
  <si>
    <t>056-2023 OGDDCL INVOICE FOR DWM SERVICES- CHANDA-7  August 2023</t>
  </si>
  <si>
    <t>057/2023/OGDCL</t>
  </si>
  <si>
    <t>057-2023 OGDCL Invoice for OBM CUTTINGS TRANS  Chanda-7 to Nashpa-4 (Aug- 2023)</t>
  </si>
  <si>
    <t>058/2023/OGDCL</t>
  </si>
  <si>
    <t>058-OGDCL-2023-  INVOICE FOR MUD STORAGE SERVICES- TOGH PLANT  ( july-Aug 23)</t>
  </si>
  <si>
    <t>059/2023/OGDCL</t>
  </si>
  <si>
    <t>059-2023- OGDCL  Invoice fro OBM TRANS - FROM Chanda-7 ( Aug 2023)</t>
  </si>
  <si>
    <t>075/2023/OGDCL</t>
  </si>
  <si>
    <t>Batch-06</t>
  </si>
  <si>
    <t>075-OGDCL-2023-  INVOICE FOR BIOREMEDIATION-BATCH-6</t>
  </si>
  <si>
    <t>OGDCL-SCM-SERVICES-CB-DF-4600000272-23</t>
  </si>
  <si>
    <t>Togh-2</t>
  </si>
  <si>
    <t>Chanda-7 to Togh-2</t>
  </si>
  <si>
    <t>076/2023/OGDCL</t>
  </si>
  <si>
    <t>Batch-07</t>
  </si>
  <si>
    <t>076-OGDCL-2023-  INVOICE FOR BIOREMEDIATION-BATCH-7</t>
  </si>
  <si>
    <t>Togh-2 to Togh plant</t>
  </si>
  <si>
    <t>Chanda-7 (Waste pit)</t>
  </si>
  <si>
    <t>Batch-08</t>
  </si>
  <si>
    <t>Nashpa-11(Waste Pit)</t>
  </si>
  <si>
    <t>Chanda-7 to Togh Plant</t>
  </si>
  <si>
    <t>North</t>
  </si>
  <si>
    <t>Togh Plant to Bettani-2</t>
  </si>
  <si>
    <t>Bettani-2</t>
  </si>
  <si>
    <t>Bettani Deep-1</t>
  </si>
  <si>
    <t>Bettani-2 to Bettani Deep-1</t>
  </si>
  <si>
    <t>bettani Deep-1(Wali-1)</t>
  </si>
  <si>
    <t>Togh Plant</t>
  </si>
  <si>
    <t>Sughri North-1</t>
  </si>
  <si>
    <t>Batch-09</t>
  </si>
  <si>
    <t>Bioremediation of OBM Cuttings- Batch-9</t>
  </si>
  <si>
    <t>Bettani Deep-1 to Bettani-2</t>
  </si>
  <si>
    <t>Chanda-7(WBM Pit)</t>
  </si>
  <si>
    <t>Bettani-2 to Sughri North-1</t>
  </si>
  <si>
    <t>Togh plant to Bettani Deep-1</t>
  </si>
  <si>
    <t>Bettani Deep-1 to Sughri North-1</t>
  </si>
  <si>
    <t>Sughri North-1 to Togh plant</t>
  </si>
  <si>
    <t>Bitani Deep-1 to Sughri North-1</t>
  </si>
  <si>
    <t>WALI-1</t>
  </si>
  <si>
    <t>Baragzai-1</t>
  </si>
  <si>
    <t>Batch-10</t>
  </si>
  <si>
    <t>Betani Deep-1</t>
  </si>
  <si>
    <t>Batch-12</t>
  </si>
  <si>
    <t>Gurgalot-1</t>
  </si>
  <si>
    <t>bettani Deep-1</t>
  </si>
  <si>
    <t>Batch-11</t>
  </si>
  <si>
    <t>OGDCL-SCM/SERVICES/CB/DF/4600001124/25</t>
  </si>
  <si>
    <t>Bettani Deep-1 to Gurgalot-1</t>
  </si>
  <si>
    <t>Togh Plant to Gurgalot-1</t>
  </si>
  <si>
    <t>Gurgalot-1 to Togh Plant</t>
  </si>
  <si>
    <t>Bargzai-1</t>
  </si>
  <si>
    <t>Baragzai-1 to Gurgalot-1</t>
  </si>
  <si>
    <t>Bioremediation of OBM Cuttings- Batch-12</t>
  </si>
  <si>
    <t>Tank Cleaning</t>
  </si>
  <si>
    <t>Wali-1</t>
  </si>
  <si>
    <t>Batch-13</t>
  </si>
  <si>
    <t>TOTAL</t>
  </si>
  <si>
    <t>Contract No.</t>
  </si>
  <si>
    <t>Batch-4</t>
  </si>
  <si>
    <t xml:space="preserve"> INVOICE FOR DWM SERVICES- MELA-8 ( SEPTEMBER 2021)  </t>
  </si>
  <si>
    <t xml:space="preserve">Mela-8 </t>
  </si>
  <si>
    <t xml:space="preserve">001-2022-OGDCL 2ND BATCH BIOREM -TOOT DEEP -X-1  </t>
  </si>
  <si>
    <t xml:space="preserve">035-OGDCL-2021-  INVOICE FOR DWM SERVICES- SENI GUMBAT-1 ( SEPTEMBER 2021)  </t>
  </si>
  <si>
    <t xml:space="preserve">005-2023-OGDCL 4th Batch,  Bioremedaition of OBM Treated Cutting  from Wali X-1  </t>
  </si>
  <si>
    <t xml:space="preserve">Nashpa-4 Outside waste pit </t>
  </si>
  <si>
    <t>068-2023</t>
  </si>
  <si>
    <t>OBM Cuttings Transportation | Period: Sep-2023</t>
  </si>
  <si>
    <t>069-2023</t>
  </si>
  <si>
    <t>OBM Transportation | Period: Sep-2023</t>
  </si>
  <si>
    <t>073-2023</t>
  </si>
  <si>
    <t>OBM Cuttings Transportation | Period: Oct-2023</t>
  </si>
  <si>
    <t>078-2023</t>
  </si>
  <si>
    <t>OBM Cuttings Transportation | Period: Nov-2023</t>
  </si>
  <si>
    <t>079-2023</t>
  </si>
  <si>
    <t>080-2023</t>
  </si>
  <si>
    <t>Mud Storage Tanks | Period: Sep-Nov 2023</t>
  </si>
  <si>
    <t>081-2023</t>
  </si>
  <si>
    <t>OBM Transportation | Period: Nov-2023</t>
  </si>
  <si>
    <t>082-2023</t>
  </si>
  <si>
    <t>Cuttings Dryer Fluid Recovery (CDFR) System | Period: Sep-Nov 2023</t>
  </si>
  <si>
    <t>017-2024</t>
  </si>
  <si>
    <t>Bioremediation of OBM Cuttings- Batch-7</t>
  </si>
  <si>
    <t>022-2024</t>
  </si>
  <si>
    <t>Bioremediation of OBM Cuttings- Batch-8</t>
  </si>
  <si>
    <t>023-2024</t>
  </si>
  <si>
    <t>024-2024</t>
  </si>
  <si>
    <t>025-2024</t>
  </si>
  <si>
    <t>Mud Storage Tanks | Period: Dec 2023 &amp; Jan 2024</t>
  </si>
  <si>
    <t>026-2024</t>
  </si>
  <si>
    <t>OBM Transportation | Period: Nov-Dec 2023</t>
  </si>
  <si>
    <t>027-2024</t>
  </si>
  <si>
    <t>OBM Transportation | Period: Jan-2024</t>
  </si>
  <si>
    <t>028-2024</t>
  </si>
  <si>
    <t>OBM Transportation | Period: Feb &amp; March 2024</t>
  </si>
  <si>
    <t>OBM Transportation | Period: Feb-Apr 2024</t>
  </si>
  <si>
    <t>051-2024</t>
  </si>
  <si>
    <t>Cuttings Dryer Fluid Recovery (CDFR) System | Period: March-April 2024</t>
  </si>
  <si>
    <t>052-2024</t>
  </si>
  <si>
    <t>Cuttings Dryer Fluid Recovery (CDFR) System | Period: April-May 2024</t>
  </si>
  <si>
    <t>053-2024</t>
  </si>
  <si>
    <t>Cuttings Dryer Fluid Recovery (CDFR) System | Period: May-2024</t>
  </si>
  <si>
    <t>054-2024</t>
  </si>
  <si>
    <t>OBM Transportation | Period: May-2024</t>
  </si>
  <si>
    <t>055-2024</t>
  </si>
  <si>
    <t>OBM Cuttings Transportation | Period: Mar-2024</t>
  </si>
  <si>
    <t>058-2024</t>
  </si>
  <si>
    <t>OBM Cuttings Transportation | Period: March-May 2024</t>
  </si>
  <si>
    <t>059-2024</t>
  </si>
  <si>
    <t>OBM Cuttings Transportation | Period: Apr-May 2024</t>
  </si>
  <si>
    <t>060-2024</t>
  </si>
  <si>
    <t>061-2024</t>
  </si>
  <si>
    <t>Mud Storage Tanks | Period: Sep 2023-Apr 2024</t>
  </si>
  <si>
    <t>062-2024</t>
  </si>
  <si>
    <t>Cuttings Dryer Fluid Recovery (CDFR) System | Period: Jun-2024</t>
  </si>
  <si>
    <t>063-2024</t>
  </si>
  <si>
    <t>CDFR &amp; Mud Tanks</t>
  </si>
  <si>
    <t>Cuttings Dryer Fluid Recovery (CDFR) System &amp; OBM Storage Tanks | Period: Jun-2024</t>
  </si>
  <si>
    <t>Cuttings Dryer Fluid Recovery (CDFR) System | Period: JUL &amp; AUG 2024</t>
  </si>
  <si>
    <t>075-2024</t>
  </si>
  <si>
    <t>077-2024</t>
  </si>
  <si>
    <t>Cuttings Dryer Fluid Recovery (CDFR) System | Period: Sep-2024</t>
  </si>
  <si>
    <t>078-2024</t>
  </si>
  <si>
    <t>Cuttings Dryer Fluid Recovery (CDFR) System &amp; OBM Storage Tanks | Period: Jul-Sept 2024</t>
  </si>
  <si>
    <t>079-2024</t>
  </si>
  <si>
    <t>Bioremediation of OBM Cuttings- Batch-1</t>
  </si>
  <si>
    <t>106-2024</t>
  </si>
  <si>
    <t>107-2024</t>
  </si>
  <si>
    <t>108-2024</t>
  </si>
  <si>
    <t>109-2024</t>
  </si>
  <si>
    <t>110-2024</t>
  </si>
  <si>
    <t>117-2024</t>
  </si>
  <si>
    <t>Cuttings Dryer Fluid Recovery (CDFR) System | Period: oct-Nov 2024</t>
  </si>
  <si>
    <t>118-2024</t>
  </si>
  <si>
    <t>Cuttings Dryer Fluid Recovery (CDFR) System | Period: Sep-Nov 2024</t>
  </si>
  <si>
    <t>119-2024</t>
  </si>
  <si>
    <t>OBM Cuttings Transportation | Period: Nov-2024</t>
  </si>
  <si>
    <t>120-2024</t>
  </si>
  <si>
    <t>OBM Transportation | Period: Aug-Oct 2024</t>
  </si>
  <si>
    <t>121-2024</t>
  </si>
  <si>
    <t>OBM Transportation | Period: May-Jun 2024</t>
  </si>
  <si>
    <t>122-2024</t>
  </si>
  <si>
    <t>OBM Transportation | Period: Sept- Oct 2024</t>
  </si>
  <si>
    <t>123-2024</t>
  </si>
  <si>
    <t>124-2024</t>
  </si>
  <si>
    <t>OBM Transportation | Period: Aug-2024</t>
  </si>
  <si>
    <t>125-2024</t>
  </si>
  <si>
    <t>OBM Transportation | Period: Nov-2024</t>
  </si>
  <si>
    <t>126-2024</t>
  </si>
  <si>
    <t>OBM Transportation | Period: Jul-2024</t>
  </si>
  <si>
    <t>127-2024</t>
  </si>
  <si>
    <t>128-2024</t>
  </si>
  <si>
    <t>OBM Cuttings Transportation | Period: Jun-Jul 2024</t>
  </si>
  <si>
    <t>129-2024</t>
  </si>
  <si>
    <t>OBM Cuttings Transportation | Period: Jun-Nov 2024</t>
  </si>
  <si>
    <t>132-2024</t>
  </si>
  <si>
    <t>OBM Transportation | Period: Jun-2024</t>
  </si>
  <si>
    <t>133-2024</t>
  </si>
  <si>
    <t>005-2026</t>
  </si>
  <si>
    <t>OBM Cuttings Transportation | Period: Jul-Aug 2025</t>
  </si>
  <si>
    <t>Pending Payment</t>
  </si>
  <si>
    <t>015-2025</t>
  </si>
  <si>
    <t>Cuttings Dryer Fluid Recovery (CDFR) System &amp; OBM Storage Tanks | Period: Dec 2024 &amp; Jan 2025</t>
  </si>
  <si>
    <t>016-2025</t>
  </si>
  <si>
    <t>Cuttings Dryer Fluid Recovery (CDFR) System | Period: Dec 2024 &amp; Jan 2025</t>
  </si>
  <si>
    <t>017-2025</t>
  </si>
  <si>
    <t>Bioremediation of OBM Cuttings- Batch-10</t>
  </si>
  <si>
    <t>018-2025</t>
  </si>
  <si>
    <t>019-2025</t>
  </si>
  <si>
    <t>020-2025</t>
  </si>
  <si>
    <t>Bioremediation of OBM Cuttings- Batch-2</t>
  </si>
  <si>
    <t>021-2025</t>
  </si>
  <si>
    <t>OBM Cuttings Transportation | Period: Dec-2024</t>
  </si>
  <si>
    <t>022-2025</t>
  </si>
  <si>
    <t>023-2025</t>
  </si>
  <si>
    <t>OBM Cuttings Transportation | Period: Nov 2024 to Jan 2025</t>
  </si>
  <si>
    <t>025-2025</t>
  </si>
  <si>
    <t>OBM Cuttings Transportation | Period: Apr-2025</t>
  </si>
  <si>
    <t>052-2025</t>
  </si>
  <si>
    <t>Cuttings Dryer Fluid Recovery (CDFR) System | Period: Jan-Mar 2025</t>
  </si>
  <si>
    <t>053-2025</t>
  </si>
  <si>
    <t>Cuttings Dryer Fluid Recovery (CDFR) System &amp; OBM Storage Tanks | Period: Feb-Apr 2025</t>
  </si>
  <si>
    <t>054-2025</t>
  </si>
  <si>
    <t>OBM Transportation | Period: FEB-MAR 2025</t>
  </si>
  <si>
    <t>055-2025</t>
  </si>
  <si>
    <t>OBM Transportation | Period: Jan- Mar 2025</t>
  </si>
  <si>
    <t>056-2025</t>
  </si>
  <si>
    <t>Cuttings Dryer Fluid Recovery (CDFR) System | Period: April-May 2025</t>
  </si>
  <si>
    <t>057-2025</t>
  </si>
  <si>
    <t>Mud Storage Tanks | Period: Feb-May 2025</t>
  </si>
  <si>
    <t>058-2025</t>
  </si>
  <si>
    <t>Mud Storage Tanks | Period: Jan-Feb 2025</t>
  </si>
  <si>
    <t>067-2025</t>
  </si>
  <si>
    <t>Bioremediation of OBM Cuttings -Batch-3</t>
  </si>
  <si>
    <t>070-2025</t>
  </si>
  <si>
    <t>Bioremediation of OBM Cuttings- Batch-11</t>
  </si>
  <si>
    <t>072-2025</t>
  </si>
  <si>
    <t>OBM Cuttings Transportation | Period: May-2025</t>
  </si>
  <si>
    <t>OBM Transportation | Period: Jan-Mar 2025</t>
  </si>
  <si>
    <t>075-2025</t>
  </si>
  <si>
    <t>Cuttings Dryer Fluid Recovery (CDFR) System | Period: Jun-2025</t>
  </si>
  <si>
    <t>OBM Transportation | Period: April-May 2025</t>
  </si>
  <si>
    <t>080-2025</t>
  </si>
  <si>
    <t>087-2025</t>
  </si>
  <si>
    <t>Mud Storage Tanks | Period: May &amp; June 2025</t>
  </si>
  <si>
    <t>091-2025</t>
  </si>
  <si>
    <t>Cuttings Dryer Fluid Recovery (CDFR) System | Period: Jul-2025</t>
  </si>
  <si>
    <t>092-2025</t>
  </si>
  <si>
    <t>093-2025</t>
  </si>
  <si>
    <t>OBM Transportation | Period: Jul-2025</t>
  </si>
  <si>
    <t>094-2025</t>
  </si>
  <si>
    <t>096-2025</t>
  </si>
  <si>
    <t>Mud Storage Tanks | Period: Jul-2025</t>
  </si>
  <si>
    <t>102-2025</t>
  </si>
  <si>
    <t>Mud Storage Tanks | Period: Aug-2025</t>
  </si>
  <si>
    <t>104-2025</t>
  </si>
  <si>
    <t>Cuttings Dryer Fluid Recovery (CDFR) System | Period: Aug-2025</t>
  </si>
  <si>
    <t>Cuttings Dryer Fluid Recovery (CDFR) System | Period: July &amp; Aug 2025</t>
  </si>
  <si>
    <t>076-2025</t>
  </si>
  <si>
    <t>OBM Cuttings Transportation | Period: Dec-2024- July 2025</t>
  </si>
  <si>
    <t>121-2025</t>
  </si>
  <si>
    <t>OBM Cuttings Transportation | Period: Jan-Feb 2025</t>
  </si>
  <si>
    <t>071-2025</t>
  </si>
  <si>
    <t>024-2025</t>
  </si>
  <si>
    <t>OBM Cuttings Transportation | Period: (Aug-Sept 2024</t>
  </si>
  <si>
    <t>081-2025</t>
  </si>
  <si>
    <t>124-2025</t>
  </si>
  <si>
    <t>OBM Transportation | Period: Aug-2025</t>
  </si>
  <si>
    <t>125-2025</t>
  </si>
  <si>
    <t>006-2026</t>
  </si>
  <si>
    <t>Cleaning &amp; Washing of Tanks | Period: May-2025</t>
  </si>
  <si>
    <t>122-2025</t>
  </si>
  <si>
    <t>Bioremediation of OBM Cuttings -Batch-12</t>
  </si>
  <si>
    <t>123-2025</t>
  </si>
  <si>
    <t>127-2025</t>
  </si>
  <si>
    <t>128-2025</t>
  </si>
  <si>
    <t>129-2025</t>
  </si>
  <si>
    <t>OBM Cuttings Transportation | Period: Mar-May 2025</t>
  </si>
  <si>
    <t>Tolgh-2</t>
  </si>
  <si>
    <t>Nashpa X-5</t>
  </si>
  <si>
    <t>Nashpa X-5(Waste Pit)</t>
  </si>
  <si>
    <t>Bettani Deep-1 to Togh plant</t>
  </si>
  <si>
    <t>Sughri North-1 to Baragzai-1</t>
  </si>
  <si>
    <t>Bettani Deep-1 to Bragzai-1</t>
  </si>
  <si>
    <t>Togh Plant to Baragzai-1</t>
  </si>
  <si>
    <t>Baragzai-1 to Gurgaot-1</t>
  </si>
  <si>
    <t>117-2025</t>
  </si>
  <si>
    <t>Cuttings Dryer Fluid Recovery (CDFR) System | Period: Sep-2025</t>
  </si>
  <si>
    <t>120-2025</t>
  </si>
  <si>
    <t>134-2025</t>
  </si>
  <si>
    <t>Mud Storage Tanks | Period: Sep-2025</t>
  </si>
  <si>
    <t>136-2025</t>
  </si>
  <si>
    <t>OBM Transportation | Period: Oct-2025</t>
  </si>
  <si>
    <t>137-2025</t>
  </si>
  <si>
    <t>138-2025</t>
  </si>
  <si>
    <t>139-2025</t>
  </si>
  <si>
    <t>Cuttings Dryer Fluid Recovery (CDFR) System | Period: Oct-2025</t>
  </si>
  <si>
    <t>141-2025</t>
  </si>
  <si>
    <t>OBM Cuttings Transportation | Period: Sep-Oct 2025</t>
  </si>
  <si>
    <t>143-2025</t>
  </si>
  <si>
    <t>Cuttings Dryer Fluid Recovery (CDFR) System &amp; Tanks | Period: Oct-2025</t>
  </si>
  <si>
    <t>142-2025</t>
  </si>
  <si>
    <t>OBM Cuttings Transportation | Period: Oct-2025</t>
  </si>
  <si>
    <t>150-2025</t>
  </si>
  <si>
    <t>Cuttings Dryer Fluid Recovery (CDFR) System &amp; Tanks | Period: Nov-2025</t>
  </si>
  <si>
    <t>152-2025</t>
  </si>
  <si>
    <t>OBM Transportation | Period: Oct-Nov 2025</t>
  </si>
  <si>
    <t>153-2025</t>
  </si>
  <si>
    <t>Baragzai-1 to Togh Plant</t>
  </si>
  <si>
    <t>OBM Transportation | Period: Nov-Dec 2025</t>
  </si>
  <si>
    <t>151-2205</t>
  </si>
  <si>
    <t>OBM Transportation | Period: Nov-2025</t>
  </si>
  <si>
    <t>155-2025</t>
  </si>
  <si>
    <t>140-2025</t>
  </si>
  <si>
    <t>133-2025</t>
  </si>
  <si>
    <t>OBM Cuttings Transportation | Period: Nov-2025</t>
  </si>
  <si>
    <t>135-2025</t>
  </si>
  <si>
    <t>OBM Transportation | Period: Sep-Oct 2025</t>
  </si>
  <si>
    <t>007-2026</t>
  </si>
  <si>
    <t>008-2026</t>
  </si>
  <si>
    <t>OBM Cuttings Transportation | Period: Nov-Dec 2025</t>
  </si>
  <si>
    <t>002-2026</t>
  </si>
  <si>
    <t>Cuttings Dryer Fluid Recovery (CDFR) System &amp; Tanks | Period: Dec-2025</t>
  </si>
  <si>
    <t>003-2026</t>
  </si>
  <si>
    <t>Mud Storage Tanks | Period: Dec-2025</t>
  </si>
  <si>
    <t>004-2026</t>
  </si>
  <si>
    <t>OBM Transportation | Period: Dec-2025</t>
  </si>
  <si>
    <t>009-2026</t>
  </si>
  <si>
    <t>OBM Cuttings Transportation | Period: Dec-2025</t>
  </si>
  <si>
    <t>O18-2026</t>
  </si>
  <si>
    <t>OBM Transportation | Period: Jan-2026</t>
  </si>
  <si>
    <t>019-2026</t>
  </si>
  <si>
    <t>Cuttings Dryer Fluid Recovery (CDFR) System &amp; Tanks | Period: Jan-2026</t>
  </si>
  <si>
    <t>020-2026</t>
  </si>
  <si>
    <t>O21-2026</t>
  </si>
  <si>
    <t>OBM Cuttings Transportation | Period: Jan-2026</t>
  </si>
  <si>
    <t>024-2026</t>
  </si>
  <si>
    <t>Cuttings Dryer Fluid Recovery (CDFR) System &amp; Tanks | Period: Feb-2026</t>
  </si>
  <si>
    <t>010-2026</t>
  </si>
  <si>
    <t>OnSite Bioremediation of OBM Cuttings(Batch-1) | Period: Sep-Dec 2025</t>
  </si>
  <si>
    <t>O25-2026</t>
  </si>
  <si>
    <t>OBM Cuttings Transportation | Period: Feb &amp; Mar 2026</t>
  </si>
  <si>
    <t>031-2026</t>
  </si>
  <si>
    <t>OBM Cuttings Transportation | Period: Mar-2026</t>
  </si>
  <si>
    <t>035-2026</t>
  </si>
  <si>
    <t>Cuttings Dryer Fluid Recovery (CDFR) System &amp; Tanks | Period: Mar-2026</t>
  </si>
  <si>
    <t>044-2026</t>
  </si>
  <si>
    <t>OBM Cuttings Transportation | Period: Apr-2026</t>
  </si>
  <si>
    <t>043-2026</t>
  </si>
  <si>
    <t>Cuttings Dryer Fluid Recovery (CDFR) System &amp; Tanks | Period: Apr-2026</t>
  </si>
  <si>
    <t>039-2026</t>
  </si>
  <si>
    <t>Bioremediation of OBM Cuttings- Batch-13 | Period: Dec- 25 to Feb -2026</t>
  </si>
  <si>
    <t>040-2026</t>
  </si>
  <si>
    <t>041-2026</t>
  </si>
  <si>
    <t>Bragzai-1</t>
  </si>
  <si>
    <t>045-2026</t>
  </si>
  <si>
    <t>Cuttings Dryer Fluid Recovery (CDFR) System &amp; Tanks | Period: May-2026</t>
  </si>
  <si>
    <t>046-2026</t>
  </si>
  <si>
    <t>OBM Transportation | Period: May-2026</t>
  </si>
  <si>
    <t>O47-2026</t>
  </si>
  <si>
    <t>OBM Cuttings Transportation | Period: Apr-May 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</si>
</sst>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9" x14ac:knownFonts="1">
    <font>
      <sz val="10"/>
      <name val="Arial"/>
      <family val="2"/>
      <charset val="1"/>
    </font>
    <font>
      <sz val="10"/>
      <name val="Arial"/>
    </font>
    <font>
      <b/>
      <sz val="11"/>
      <color rgb="FF215C98"/>
      <name val="Aptos Narrow"/>
      <charset val="1"/>
    </font>
    <font>
      <b/>
      <sz val="10"/>
      <color rgb="FFFFFFFF"/>
      <name val="Arial"/>
      <charset val="1"/>
    </font>
    <font>
      <b/>
      <sz val="11"/>
      <color theme="0"/>
      <name val="Arial"/>
      <family val="2"/>
    </font>
    <font>
      <sz val="8"/>
      <name val="Arial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DFEDE8"/>
        <bgColor rgb="FFDDEBF7"/>
      </patternFill>
    </fill>
    <fill>
      <patternFill patternType="solid">
        <fgColor rgb="FFDFEDE8"/>
        <bgColor indexed="64"/>
      </patternFill>
    </fill>
    <fill>
      <patternFill patternType="solid">
        <fgColor rgb="FFDFEDE8"/>
        <bgColor rgb="FFFFF2C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auto="1"/>
      </top>
      <bottom style="double">
        <color auto="1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37">
    <xf numFmtId="0" fontId="0" fillId="0" borderId="0" xfId="0"/>
    <xf numFmtId="0" fontId="3" fillId="2" borderId="0" xfId="0" applyFont="1" applyFill="1"/>
    <xf numFmtId="4" fontId="3" fillId="2" borderId="0" xfId="0" applyNumberFormat="1" applyFont="1" applyFill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4" fillId="2" borderId="0" xfId="0" applyFont="1" applyFill="1"/>
    <xf numFmtId="14" fontId="0" fillId="0" borderId="0" xfId="0" applyNumberFormat="1" applyAlignment="1">
      <alignment horizontal="center" vertical="center"/>
    </xf>
    <xf numFmtId="14" fontId="3" fillId="2" borderId="0" xfId="0" applyNumberFormat="1" applyFont="1" applyFill="1"/>
    <xf numFmtId="1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2" fillId="4" borderId="0" xfId="0" applyFont="1" applyFill="1"/>
    <xf numFmtId="0" fontId="0" fillId="5" borderId="0" xfId="0" applyFill="1"/>
    <xf numFmtId="14" fontId="0" fillId="4" borderId="0" xfId="0" applyNumberFormat="1" applyFill="1"/>
    <xf numFmtId="14" fontId="0" fillId="4" borderId="0" xfId="0" applyNumberFormat="1" applyFill="1" applyAlignment="1">
      <alignment horizontal="center" vertical="center"/>
    </xf>
    <xf numFmtId="164" fontId="0" fillId="4" borderId="0" xfId="0" applyNumberFormat="1" applyFill="1"/>
    <xf numFmtId="0" fontId="2" fillId="5" borderId="0" xfId="0" applyFont="1" applyFill="1"/>
    <xf numFmtId="0" fontId="2" fillId="3" borderId="0" xfId="0" applyFont="1" applyFill="1"/>
    <xf numFmtId="14" fontId="0" fillId="3" borderId="0" xfId="0" applyNumberFormat="1" applyFill="1"/>
    <xf numFmtId="14" fontId="0" fillId="3" borderId="0" xfId="0" applyNumberFormat="1" applyFill="1" applyAlignment="1">
      <alignment horizontal="center" vertical="center"/>
    </xf>
    <xf numFmtId="164" fontId="0" fillId="3" borderId="0" xfId="0" applyNumberFormat="1" applyFill="1"/>
    <xf numFmtId="43" fontId="1" fillId="4" borderId="0" xfId="1" applyFill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/>
    <xf numFmtId="4" fontId="7" fillId="0" borderId="1" xfId="0" applyNumberFormat="1" applyFont="1" applyBorder="1"/>
    <xf numFmtId="10" fontId="7" fillId="0" borderId="1" xfId="0" applyNumberFormat="1" applyFont="1" applyBorder="1"/>
    <xf numFmtId="1" fontId="7" fillId="0" borderId="1" xfId="0" applyNumberFormat="1" applyFont="1" applyBorder="1"/>
    <xf numFmtId="0" fontId="0" fillId="0" borderId="2" xfId="0" applyBorder="1"/>
    <xf numFmtId="0" fontId="8" fillId="0" borderId="2" xfId="0" applyFont="1" applyBorder="1"/>
    <xf numFmtId="4" fontId="8" fillId="0" borderId="2" xfId="0" applyNumberFormat="1" applyFont="1" applyBorder="1"/>
    <xf numFmtId="14" fontId="6" fillId="2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/>
    <xf numFmtId="14" fontId="0" fillId="0" borderId="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215C9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EDE8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8"/>
  <sheetViews>
    <sheetView zoomScaleNormal="100" workbookViewId="0">
      <selection activeCell="M11" sqref="M11"/>
    </sheetView>
  </sheetViews>
  <sheetFormatPr defaultColWidth="8.6328125" defaultRowHeight="12.5" x14ac:dyDescent="0.25"/>
  <cols>
    <col min="1" max="1" width="15.36328125" style="4" customWidth="1"/>
    <col min="2" max="2" width="16.26953125" customWidth="1"/>
    <col min="3" max="3" width="17.08984375" customWidth="1"/>
    <col min="4" max="4" width="37" customWidth="1"/>
    <col min="5" max="5" width="23.1796875" customWidth="1"/>
    <col min="6" max="6" width="15.08984375" style="5" customWidth="1"/>
    <col min="7" max="7" width="14.453125" style="7" customWidth="1"/>
    <col min="8" max="8" width="7.1796875" customWidth="1"/>
    <col min="9" max="9" width="20.90625" customWidth="1"/>
    <col min="10" max="10" width="21" customWidth="1"/>
    <col min="12" max="12" width="3.6328125" customWidth="1"/>
    <col min="13" max="13" width="22.54296875" customWidth="1"/>
    <col min="14" max="14" width="66" customWidth="1"/>
    <col min="15" max="15" width="16.81640625" customWidth="1"/>
    <col min="17" max="17" width="12.08984375" customWidth="1"/>
    <col min="18" max="18" width="17.1796875" customWidth="1"/>
    <col min="19" max="19" width="12.7265625" customWidth="1"/>
  </cols>
  <sheetData>
    <row r="1" spans="1:22" ht="12.75" customHeight="1" x14ac:dyDescent="0.3">
      <c r="A1" s="3" t="s">
        <v>9</v>
      </c>
      <c r="B1" s="1" t="s">
        <v>10</v>
      </c>
      <c r="C1" s="6" t="s">
        <v>0</v>
      </c>
      <c r="D1" s="1" t="s">
        <v>319</v>
      </c>
      <c r="E1" s="1" t="s">
        <v>12</v>
      </c>
      <c r="F1" s="8" t="s">
        <v>13</v>
      </c>
      <c r="G1" s="9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ht="15" customHeight="1" x14ac:dyDescent="0.35">
      <c r="A2" s="11">
        <v>1</v>
      </c>
      <c r="B2" s="12" t="s">
        <v>30</v>
      </c>
      <c r="C2" s="13" t="s">
        <v>31</v>
      </c>
      <c r="D2" s="14" t="s">
        <v>32</v>
      </c>
      <c r="E2" s="14" t="s">
        <v>33</v>
      </c>
      <c r="F2" s="15">
        <v>44490</v>
      </c>
      <c r="G2" s="16">
        <v>44491</v>
      </c>
      <c r="H2" s="17"/>
      <c r="I2" s="12" t="s">
        <v>34</v>
      </c>
      <c r="J2" s="14" t="s">
        <v>35</v>
      </c>
      <c r="K2" s="17" t="s">
        <v>283</v>
      </c>
      <c r="L2" s="12"/>
      <c r="M2" s="14" t="s">
        <v>33</v>
      </c>
      <c r="N2" s="12" t="s">
        <v>321</v>
      </c>
      <c r="O2" s="12">
        <v>6343.8</v>
      </c>
      <c r="P2" s="12">
        <v>0.15</v>
      </c>
      <c r="Q2" s="12">
        <v>951.57</v>
      </c>
      <c r="R2" s="12">
        <v>7295.37</v>
      </c>
      <c r="S2" s="12">
        <v>6343.8</v>
      </c>
      <c r="T2" s="12" t="s">
        <v>36</v>
      </c>
      <c r="U2" s="12" t="s">
        <v>37</v>
      </c>
      <c r="V2" s="12">
        <v>2021</v>
      </c>
    </row>
    <row r="3" spans="1:22" ht="15" customHeight="1" x14ac:dyDescent="0.35">
      <c r="A3" s="11">
        <v>2</v>
      </c>
      <c r="B3" s="12" t="s">
        <v>30</v>
      </c>
      <c r="C3" s="13" t="s">
        <v>38</v>
      </c>
      <c r="D3" s="14" t="s">
        <v>32</v>
      </c>
      <c r="E3" s="14" t="s">
        <v>322</v>
      </c>
      <c r="F3" s="15">
        <v>44490</v>
      </c>
      <c r="G3" s="16">
        <v>44491</v>
      </c>
      <c r="H3" s="17"/>
      <c r="I3" s="12" t="s">
        <v>40</v>
      </c>
      <c r="J3" s="12" t="s">
        <v>41</v>
      </c>
      <c r="K3" s="17" t="s">
        <v>283</v>
      </c>
      <c r="L3" s="12"/>
      <c r="M3" s="14" t="s">
        <v>39</v>
      </c>
      <c r="N3" s="12" t="s">
        <v>323</v>
      </c>
      <c r="O3" s="12">
        <v>4879.33</v>
      </c>
      <c r="P3" s="12">
        <v>0.15</v>
      </c>
      <c r="Q3" s="12">
        <v>731.89949999999999</v>
      </c>
      <c r="R3" s="12">
        <v>5611.2295000000004</v>
      </c>
      <c r="S3" s="12">
        <v>4879.33</v>
      </c>
      <c r="T3" s="12" t="s">
        <v>36</v>
      </c>
      <c r="U3" s="12" t="s">
        <v>37</v>
      </c>
      <c r="V3" s="12">
        <v>2021</v>
      </c>
    </row>
    <row r="4" spans="1:22" ht="15" customHeight="1" x14ac:dyDescent="0.35">
      <c r="A4" s="11">
        <v>3</v>
      </c>
      <c r="B4" s="12" t="s">
        <v>30</v>
      </c>
      <c r="C4" s="13" t="s">
        <v>42</v>
      </c>
      <c r="D4" s="14" t="s">
        <v>32</v>
      </c>
      <c r="E4" s="14" t="s">
        <v>43</v>
      </c>
      <c r="F4" s="15">
        <v>44490</v>
      </c>
      <c r="G4" s="16">
        <v>44491</v>
      </c>
      <c r="H4" s="17"/>
      <c r="I4" s="12" t="s">
        <v>40</v>
      </c>
      <c r="J4" s="12" t="s">
        <v>41</v>
      </c>
      <c r="K4" s="17" t="s">
        <v>283</v>
      </c>
      <c r="L4" s="12"/>
      <c r="M4" s="14" t="s">
        <v>43</v>
      </c>
      <c r="N4" s="12" t="s">
        <v>44</v>
      </c>
      <c r="O4" s="12">
        <v>1524.24</v>
      </c>
      <c r="P4" s="12">
        <v>0.15</v>
      </c>
      <c r="Q4" s="12">
        <v>228.636</v>
      </c>
      <c r="R4" s="12">
        <v>1752.876</v>
      </c>
      <c r="S4" s="12">
        <v>1524.24</v>
      </c>
      <c r="T4" s="12" t="s">
        <v>36</v>
      </c>
      <c r="U4" s="12" t="s">
        <v>37</v>
      </c>
      <c r="V4" s="12">
        <v>2021</v>
      </c>
    </row>
    <row r="5" spans="1:22" ht="15" customHeight="1" x14ac:dyDescent="0.35">
      <c r="A5" s="11">
        <v>4</v>
      </c>
      <c r="B5" s="12" t="s">
        <v>30</v>
      </c>
      <c r="C5" s="13" t="s">
        <v>45</v>
      </c>
      <c r="D5" s="14" t="s">
        <v>32</v>
      </c>
      <c r="E5" s="14" t="s">
        <v>46</v>
      </c>
      <c r="F5" s="15">
        <v>44490</v>
      </c>
      <c r="G5" s="16">
        <v>44491</v>
      </c>
      <c r="H5" s="17"/>
      <c r="I5" s="12" t="s">
        <v>40</v>
      </c>
      <c r="J5" s="12" t="s">
        <v>47</v>
      </c>
      <c r="K5" s="17" t="s">
        <v>283</v>
      </c>
      <c r="L5" s="12"/>
      <c r="M5" s="14" t="s">
        <v>46</v>
      </c>
      <c r="N5" s="12" t="s">
        <v>48</v>
      </c>
      <c r="O5" s="12">
        <v>645.78</v>
      </c>
      <c r="P5" s="12">
        <v>0.15</v>
      </c>
      <c r="Q5" s="12">
        <v>96.867000000000004</v>
      </c>
      <c r="R5" s="12">
        <v>742.64700000000005</v>
      </c>
      <c r="S5" s="12">
        <v>645.78</v>
      </c>
      <c r="T5" s="12" t="s">
        <v>36</v>
      </c>
      <c r="U5" s="12" t="s">
        <v>37</v>
      </c>
      <c r="V5" s="12">
        <v>2021</v>
      </c>
    </row>
    <row r="6" spans="1:22" ht="15" customHeight="1" x14ac:dyDescent="0.35">
      <c r="A6" s="11">
        <v>5</v>
      </c>
      <c r="B6" s="12" t="s">
        <v>30</v>
      </c>
      <c r="C6" s="13" t="s">
        <v>49</v>
      </c>
      <c r="D6" s="14" t="s">
        <v>32</v>
      </c>
      <c r="E6" s="14" t="s">
        <v>93</v>
      </c>
      <c r="F6" s="15">
        <v>44519</v>
      </c>
      <c r="G6" s="16">
        <v>44520</v>
      </c>
      <c r="H6" s="17"/>
      <c r="I6" s="12" t="s">
        <v>34</v>
      </c>
      <c r="J6" s="14" t="s">
        <v>35</v>
      </c>
      <c r="K6" s="17" t="s">
        <v>283</v>
      </c>
      <c r="L6" s="12"/>
      <c r="M6" s="14" t="s">
        <v>93</v>
      </c>
      <c r="N6" s="12" t="s">
        <v>324</v>
      </c>
      <c r="O6" s="12">
        <v>2333.34</v>
      </c>
      <c r="P6" s="12">
        <v>0.15</v>
      </c>
      <c r="Q6" s="12">
        <v>350.00099999999998</v>
      </c>
      <c r="R6" s="12">
        <v>2683.3409999999999</v>
      </c>
      <c r="S6" s="12">
        <v>2333.34</v>
      </c>
      <c r="T6" s="12" t="s">
        <v>36</v>
      </c>
      <c r="U6" s="12" t="s">
        <v>37</v>
      </c>
      <c r="V6" s="12">
        <v>2021</v>
      </c>
    </row>
    <row r="7" spans="1:22" ht="15" customHeight="1" x14ac:dyDescent="0.35">
      <c r="A7" s="11">
        <v>6</v>
      </c>
      <c r="B7" s="12" t="s">
        <v>30</v>
      </c>
      <c r="C7" s="13" t="s">
        <v>50</v>
      </c>
      <c r="D7" s="14" t="s">
        <v>32</v>
      </c>
      <c r="E7" s="14" t="s">
        <v>46</v>
      </c>
      <c r="F7" s="15">
        <v>44519</v>
      </c>
      <c r="G7" s="16">
        <v>44520</v>
      </c>
      <c r="H7" s="17"/>
      <c r="I7" s="12" t="s">
        <v>40</v>
      </c>
      <c r="J7" s="12" t="s">
        <v>41</v>
      </c>
      <c r="K7" s="17" t="s">
        <v>283</v>
      </c>
      <c r="L7" s="12"/>
      <c r="M7" s="14" t="s">
        <v>46</v>
      </c>
      <c r="N7" s="12" t="s">
        <v>51</v>
      </c>
      <c r="O7" s="12">
        <v>512.73</v>
      </c>
      <c r="P7" s="12">
        <v>0.15</v>
      </c>
      <c r="Q7" s="12">
        <v>76.909499999999994</v>
      </c>
      <c r="R7" s="12">
        <v>589.6395</v>
      </c>
      <c r="S7" s="12">
        <v>512.73</v>
      </c>
      <c r="T7" s="12" t="s">
        <v>36</v>
      </c>
      <c r="U7" s="12" t="s">
        <v>37</v>
      </c>
      <c r="V7" s="12">
        <v>2021</v>
      </c>
    </row>
    <row r="8" spans="1:22" ht="15" customHeight="1" x14ac:dyDescent="0.35">
      <c r="A8" s="11">
        <v>7</v>
      </c>
      <c r="B8" s="12" t="s">
        <v>30</v>
      </c>
      <c r="C8" s="13" t="s">
        <v>52</v>
      </c>
      <c r="D8" s="14" t="s">
        <v>32</v>
      </c>
      <c r="E8" s="14" t="s">
        <v>53</v>
      </c>
      <c r="F8" s="15">
        <v>44519</v>
      </c>
      <c r="G8" s="16">
        <v>44520</v>
      </c>
      <c r="H8" s="17"/>
      <c r="I8" s="12" t="s">
        <v>40</v>
      </c>
      <c r="J8" s="12" t="s">
        <v>41</v>
      </c>
      <c r="K8" s="17" t="s">
        <v>283</v>
      </c>
      <c r="L8" s="12"/>
      <c r="M8" s="14" t="s">
        <v>53</v>
      </c>
      <c r="N8" s="12" t="s">
        <v>54</v>
      </c>
      <c r="O8" s="12">
        <v>551.66999999999996</v>
      </c>
      <c r="P8" s="12">
        <v>0.15</v>
      </c>
      <c r="Q8" s="12">
        <v>82.750500000000002</v>
      </c>
      <c r="R8" s="12">
        <v>634.42049999999995</v>
      </c>
      <c r="S8" s="12">
        <v>551.66999999999996</v>
      </c>
      <c r="T8" s="12" t="s">
        <v>36</v>
      </c>
      <c r="U8" s="12" t="s">
        <v>37</v>
      </c>
      <c r="V8" s="12">
        <v>2021</v>
      </c>
    </row>
    <row r="9" spans="1:22" ht="15" customHeight="1" x14ac:dyDescent="0.35">
      <c r="A9" s="11">
        <v>8</v>
      </c>
      <c r="B9" s="12" t="s">
        <v>30</v>
      </c>
      <c r="C9" s="13" t="s">
        <v>55</v>
      </c>
      <c r="D9" s="14" t="s">
        <v>32</v>
      </c>
      <c r="E9" s="14" t="s">
        <v>93</v>
      </c>
      <c r="F9" s="15">
        <v>44519</v>
      </c>
      <c r="G9" s="16">
        <v>44520</v>
      </c>
      <c r="H9" s="17"/>
      <c r="I9" s="12" t="s">
        <v>34</v>
      </c>
      <c r="J9" s="14" t="s">
        <v>35</v>
      </c>
      <c r="K9" s="17" t="s">
        <v>283</v>
      </c>
      <c r="L9" s="12"/>
      <c r="M9" s="14" t="s">
        <v>93</v>
      </c>
      <c r="N9" s="12" t="s">
        <v>56</v>
      </c>
      <c r="O9" s="12">
        <v>5181.34</v>
      </c>
      <c r="P9" s="12">
        <v>0.15</v>
      </c>
      <c r="Q9" s="12">
        <v>777.20100000000002</v>
      </c>
      <c r="R9" s="12">
        <v>5958.5410000000002</v>
      </c>
      <c r="S9" s="12">
        <v>5181.34</v>
      </c>
      <c r="T9" s="12" t="s">
        <v>36</v>
      </c>
      <c r="U9" s="12" t="s">
        <v>37</v>
      </c>
      <c r="V9" s="12">
        <v>2021</v>
      </c>
    </row>
    <row r="10" spans="1:22" ht="15" customHeight="1" x14ac:dyDescent="0.35">
      <c r="A10" s="11">
        <v>9</v>
      </c>
      <c r="B10" s="12" t="s">
        <v>30</v>
      </c>
      <c r="C10" s="13" t="s">
        <v>57</v>
      </c>
      <c r="D10" s="14" t="s">
        <v>32</v>
      </c>
      <c r="E10" s="14" t="s">
        <v>33</v>
      </c>
      <c r="F10" s="15">
        <v>44519</v>
      </c>
      <c r="G10" s="16">
        <v>44520</v>
      </c>
      <c r="H10" s="17"/>
      <c r="I10" s="12" t="s">
        <v>34</v>
      </c>
      <c r="J10" s="14" t="s">
        <v>35</v>
      </c>
      <c r="K10" s="17" t="s">
        <v>283</v>
      </c>
      <c r="L10" s="12"/>
      <c r="M10" s="14" t="s">
        <v>33</v>
      </c>
      <c r="N10" s="12" t="s">
        <v>58</v>
      </c>
      <c r="O10" s="12">
        <v>5445.67</v>
      </c>
      <c r="P10" s="12">
        <v>0.15</v>
      </c>
      <c r="Q10" s="12">
        <v>816.85050000000001</v>
      </c>
      <c r="R10" s="12">
        <v>6262.5204999999996</v>
      </c>
      <c r="S10" s="12">
        <v>5445.67</v>
      </c>
      <c r="T10" s="12" t="s">
        <v>36</v>
      </c>
      <c r="U10" s="12" t="s">
        <v>37</v>
      </c>
      <c r="V10" s="12">
        <v>2021</v>
      </c>
    </row>
    <row r="11" spans="1:22" ht="15" customHeight="1" x14ac:dyDescent="0.35">
      <c r="A11" s="11">
        <v>10</v>
      </c>
      <c r="B11" s="12" t="s">
        <v>30</v>
      </c>
      <c r="C11" s="13" t="s">
        <v>59</v>
      </c>
      <c r="D11" s="14" t="s">
        <v>32</v>
      </c>
      <c r="E11" s="14" t="s">
        <v>39</v>
      </c>
      <c r="F11" s="15">
        <v>44519</v>
      </c>
      <c r="G11" s="16">
        <v>44520</v>
      </c>
      <c r="H11" s="17"/>
      <c r="I11" s="12" t="s">
        <v>40</v>
      </c>
      <c r="J11" s="12" t="s">
        <v>47</v>
      </c>
      <c r="K11" s="17" t="s">
        <v>283</v>
      </c>
      <c r="L11" s="12"/>
      <c r="M11" s="14" t="s">
        <v>39</v>
      </c>
      <c r="N11" s="12" t="s">
        <v>60</v>
      </c>
      <c r="O11" s="12">
        <v>11099</v>
      </c>
      <c r="P11" s="12">
        <v>0.15</v>
      </c>
      <c r="Q11" s="12">
        <v>1664.85</v>
      </c>
      <c r="R11" s="12">
        <v>12763.85</v>
      </c>
      <c r="S11" s="12">
        <v>11099</v>
      </c>
      <c r="T11" s="12" t="s">
        <v>36</v>
      </c>
      <c r="U11" s="12" t="s">
        <v>37</v>
      </c>
      <c r="V11" s="12">
        <v>2021</v>
      </c>
    </row>
    <row r="12" spans="1:22" ht="15" customHeight="1" x14ac:dyDescent="0.35">
      <c r="A12" s="11">
        <v>11</v>
      </c>
      <c r="B12" s="12" t="s">
        <v>30</v>
      </c>
      <c r="C12" s="13" t="s">
        <v>61</v>
      </c>
      <c r="D12" s="14" t="s">
        <v>32</v>
      </c>
      <c r="E12" s="14" t="s">
        <v>62</v>
      </c>
      <c r="F12" s="15">
        <v>44519</v>
      </c>
      <c r="G12" s="16">
        <v>44520</v>
      </c>
      <c r="H12" s="17"/>
      <c r="I12" s="12" t="s">
        <v>40</v>
      </c>
      <c r="J12" s="12" t="s">
        <v>47</v>
      </c>
      <c r="K12" s="17" t="s">
        <v>283</v>
      </c>
      <c r="L12" s="12"/>
      <c r="M12" s="14" t="s">
        <v>62</v>
      </c>
      <c r="N12" s="12" t="s">
        <v>63</v>
      </c>
      <c r="O12" s="12">
        <v>811.81</v>
      </c>
      <c r="P12" s="12">
        <v>0.15</v>
      </c>
      <c r="Q12" s="12">
        <v>121.7715</v>
      </c>
      <c r="R12" s="12">
        <v>933.58150000000001</v>
      </c>
      <c r="S12" s="12">
        <v>811.81</v>
      </c>
      <c r="T12" s="12" t="s">
        <v>36</v>
      </c>
      <c r="U12" s="12" t="s">
        <v>37</v>
      </c>
      <c r="V12" s="12">
        <v>2021</v>
      </c>
    </row>
    <row r="13" spans="1:22" ht="15" customHeight="1" x14ac:dyDescent="0.35">
      <c r="A13" s="11">
        <v>12</v>
      </c>
      <c r="B13" s="12" t="s">
        <v>30</v>
      </c>
      <c r="C13" s="13" t="s">
        <v>64</v>
      </c>
      <c r="D13" s="14" t="s">
        <v>32</v>
      </c>
      <c r="E13" s="14" t="s">
        <v>65</v>
      </c>
      <c r="F13" s="15">
        <v>44529</v>
      </c>
      <c r="G13" s="16">
        <v>44530</v>
      </c>
      <c r="H13" s="17"/>
      <c r="I13" s="14" t="s">
        <v>66</v>
      </c>
      <c r="J13" s="14" t="s">
        <v>67</v>
      </c>
      <c r="K13" s="17" t="s">
        <v>283</v>
      </c>
      <c r="L13" s="12"/>
      <c r="M13" s="14" t="s">
        <v>65</v>
      </c>
      <c r="N13" s="12" t="s">
        <v>68</v>
      </c>
      <c r="O13" s="12">
        <v>64338.75</v>
      </c>
      <c r="P13" s="12">
        <v>0.15</v>
      </c>
      <c r="Q13" s="12">
        <v>9650.8125</v>
      </c>
      <c r="R13" s="12">
        <v>73989.5625</v>
      </c>
      <c r="S13" s="12">
        <v>64338.75</v>
      </c>
      <c r="T13" s="12" t="s">
        <v>36</v>
      </c>
      <c r="U13" s="12" t="s">
        <v>37</v>
      </c>
      <c r="V13" s="12">
        <v>2021</v>
      </c>
    </row>
    <row r="14" spans="1:22" ht="15" customHeight="1" x14ac:dyDescent="0.35">
      <c r="A14" s="11">
        <v>13</v>
      </c>
      <c r="B14" s="12" t="s">
        <v>30</v>
      </c>
      <c r="C14" s="13" t="s">
        <v>69</v>
      </c>
      <c r="D14" s="14" t="s">
        <v>32</v>
      </c>
      <c r="E14" s="14" t="s">
        <v>70</v>
      </c>
      <c r="F14" s="15">
        <v>44529</v>
      </c>
      <c r="G14" s="16">
        <v>44530</v>
      </c>
      <c r="H14" s="17"/>
      <c r="I14" s="14" t="s">
        <v>66</v>
      </c>
      <c r="J14" s="14" t="s">
        <v>67</v>
      </c>
      <c r="K14" s="17" t="s">
        <v>283</v>
      </c>
      <c r="L14" s="12"/>
      <c r="M14" s="14" t="s">
        <v>70</v>
      </c>
      <c r="N14" s="12" t="s">
        <v>71</v>
      </c>
      <c r="O14" s="12">
        <v>27490.639999999999</v>
      </c>
      <c r="P14" s="12">
        <v>0.15</v>
      </c>
      <c r="Q14" s="12">
        <v>4123.5959999999995</v>
      </c>
      <c r="R14" s="12">
        <v>31614.236000000001</v>
      </c>
      <c r="S14" s="12">
        <v>27490.639999999999</v>
      </c>
      <c r="T14" s="12" t="s">
        <v>36</v>
      </c>
      <c r="U14" s="12" t="s">
        <v>37</v>
      </c>
      <c r="V14" s="12">
        <v>2021</v>
      </c>
    </row>
    <row r="15" spans="1:22" ht="15" customHeight="1" x14ac:dyDescent="0.35">
      <c r="A15" s="11">
        <v>14</v>
      </c>
      <c r="B15" s="12" t="s">
        <v>30</v>
      </c>
      <c r="C15" s="13" t="s">
        <v>72</v>
      </c>
      <c r="D15" s="14" t="s">
        <v>32</v>
      </c>
      <c r="E15" s="14" t="s">
        <v>73</v>
      </c>
      <c r="F15" s="15">
        <v>44529</v>
      </c>
      <c r="G15" s="16">
        <v>44530</v>
      </c>
      <c r="H15" s="17"/>
      <c r="I15" s="14" t="s">
        <v>66</v>
      </c>
      <c r="J15" s="14" t="s">
        <v>67</v>
      </c>
      <c r="K15" s="17" t="s">
        <v>283</v>
      </c>
      <c r="L15" s="12"/>
      <c r="M15" s="14" t="s">
        <v>73</v>
      </c>
      <c r="N15" s="12" t="s">
        <v>74</v>
      </c>
      <c r="O15" s="12">
        <v>22477.37</v>
      </c>
      <c r="P15" s="12">
        <v>0.15</v>
      </c>
      <c r="Q15" s="12">
        <v>3371.6055000000001</v>
      </c>
      <c r="R15" s="12">
        <v>25848.9755</v>
      </c>
      <c r="S15" s="12">
        <v>22477.37</v>
      </c>
      <c r="T15" s="12" t="s">
        <v>36</v>
      </c>
      <c r="U15" s="12" t="s">
        <v>37</v>
      </c>
      <c r="V15" s="12">
        <v>2021</v>
      </c>
    </row>
    <row r="16" spans="1:22" ht="15" customHeight="1" x14ac:dyDescent="0.35">
      <c r="A16" s="11">
        <v>15</v>
      </c>
      <c r="B16" s="12" t="s">
        <v>30</v>
      </c>
      <c r="C16" s="13" t="s">
        <v>75</v>
      </c>
      <c r="D16" s="14" t="s">
        <v>32</v>
      </c>
      <c r="E16" s="14" t="s">
        <v>93</v>
      </c>
      <c r="F16" s="15">
        <v>44529</v>
      </c>
      <c r="G16" s="16">
        <v>44530</v>
      </c>
      <c r="H16" s="17"/>
      <c r="I16" s="14" t="s">
        <v>66</v>
      </c>
      <c r="J16" s="14" t="s">
        <v>67</v>
      </c>
      <c r="K16" s="17" t="s">
        <v>283</v>
      </c>
      <c r="L16" s="12"/>
      <c r="M16" s="14" t="s">
        <v>93</v>
      </c>
      <c r="N16" s="12" t="s">
        <v>76</v>
      </c>
      <c r="O16" s="12">
        <v>97294.15</v>
      </c>
      <c r="P16" s="12">
        <v>0.15</v>
      </c>
      <c r="Q16" s="12">
        <v>14594.122499999999</v>
      </c>
      <c r="R16" s="12">
        <v>111888.27250000001</v>
      </c>
      <c r="S16" s="12">
        <v>97294.15</v>
      </c>
      <c r="T16" s="12" t="s">
        <v>36</v>
      </c>
      <c r="U16" s="12" t="s">
        <v>37</v>
      </c>
      <c r="V16" s="12">
        <v>2021</v>
      </c>
    </row>
    <row r="17" spans="1:22" ht="15" customHeight="1" x14ac:dyDescent="0.35">
      <c r="A17" s="11">
        <v>16</v>
      </c>
      <c r="B17" s="12" t="s">
        <v>30</v>
      </c>
      <c r="C17" s="13" t="s">
        <v>77</v>
      </c>
      <c r="D17" s="14" t="s">
        <v>32</v>
      </c>
      <c r="E17" s="14" t="s">
        <v>33</v>
      </c>
      <c r="F17" s="15">
        <v>44554</v>
      </c>
      <c r="G17" s="16">
        <v>44555</v>
      </c>
      <c r="H17" s="17"/>
      <c r="I17" s="12" t="s">
        <v>34</v>
      </c>
      <c r="J17" s="14" t="s">
        <v>35</v>
      </c>
      <c r="K17" s="17" t="s">
        <v>283</v>
      </c>
      <c r="L17" s="12"/>
      <c r="M17" s="14" t="s">
        <v>33</v>
      </c>
      <c r="N17" s="12" t="s">
        <v>78</v>
      </c>
      <c r="O17" s="12">
        <v>5060.6499999999996</v>
      </c>
      <c r="P17" s="12">
        <v>0.15</v>
      </c>
      <c r="Q17" s="12">
        <v>759.09749999999997</v>
      </c>
      <c r="R17" s="12">
        <v>5819.7475000000004</v>
      </c>
      <c r="S17" s="12">
        <v>5060.6499999999996</v>
      </c>
      <c r="T17" s="12" t="s">
        <v>36</v>
      </c>
      <c r="U17" s="12" t="s">
        <v>37</v>
      </c>
      <c r="V17" s="12">
        <v>2021</v>
      </c>
    </row>
    <row r="18" spans="1:22" ht="15" customHeight="1" x14ac:dyDescent="0.35">
      <c r="A18" s="11">
        <v>17</v>
      </c>
      <c r="B18" s="12" t="s">
        <v>30</v>
      </c>
      <c r="C18" s="13" t="s">
        <v>79</v>
      </c>
      <c r="D18" s="14" t="s">
        <v>32</v>
      </c>
      <c r="E18" s="14" t="s">
        <v>93</v>
      </c>
      <c r="F18" s="15">
        <v>44558</v>
      </c>
      <c r="G18" s="16">
        <v>44559</v>
      </c>
      <c r="H18" s="17"/>
      <c r="I18" s="12" t="s">
        <v>34</v>
      </c>
      <c r="J18" s="14" t="s">
        <v>35</v>
      </c>
      <c r="K18" s="17" t="s">
        <v>283</v>
      </c>
      <c r="L18" s="12"/>
      <c r="M18" s="14" t="s">
        <v>93</v>
      </c>
      <c r="N18" s="12" t="s">
        <v>81</v>
      </c>
      <c r="O18" s="12">
        <v>2538.23</v>
      </c>
      <c r="P18" s="12">
        <v>0.15</v>
      </c>
      <c r="Q18" s="12">
        <v>380.73450000000003</v>
      </c>
      <c r="R18" s="12">
        <v>2918.9645</v>
      </c>
      <c r="S18" s="12">
        <v>2538.23</v>
      </c>
      <c r="T18" s="12" t="s">
        <v>36</v>
      </c>
      <c r="U18" s="12" t="s">
        <v>37</v>
      </c>
      <c r="V18" s="12">
        <v>2021</v>
      </c>
    </row>
    <row r="19" spans="1:22" ht="15" customHeight="1" x14ac:dyDescent="0.35">
      <c r="A19" s="11">
        <v>18</v>
      </c>
      <c r="B19" s="12" t="s">
        <v>30</v>
      </c>
      <c r="C19" s="13" t="s">
        <v>82</v>
      </c>
      <c r="D19" s="14" t="s">
        <v>32</v>
      </c>
      <c r="E19" s="14" t="s">
        <v>53</v>
      </c>
      <c r="F19" s="15">
        <v>44558</v>
      </c>
      <c r="G19" s="16" t="s">
        <v>80</v>
      </c>
      <c r="H19" s="17"/>
      <c r="I19" s="12" t="s">
        <v>40</v>
      </c>
      <c r="J19" s="12" t="s">
        <v>41</v>
      </c>
      <c r="K19" s="17" t="s">
        <v>283</v>
      </c>
      <c r="L19" s="12"/>
      <c r="M19" s="14" t="s">
        <v>53</v>
      </c>
      <c r="N19" s="12" t="s">
        <v>83</v>
      </c>
      <c r="O19" s="12">
        <v>3089.36</v>
      </c>
      <c r="P19" s="12">
        <v>0.15</v>
      </c>
      <c r="Q19" s="12">
        <v>463.404</v>
      </c>
      <c r="R19" s="12">
        <v>3552.7640000000001</v>
      </c>
      <c r="S19" s="12">
        <v>3089.36</v>
      </c>
      <c r="T19" s="12" t="s">
        <v>36</v>
      </c>
      <c r="U19" s="12" t="s">
        <v>37</v>
      </c>
      <c r="V19" s="12">
        <v>2021</v>
      </c>
    </row>
    <row r="20" spans="1:22" ht="15" customHeight="1" x14ac:dyDescent="0.35">
      <c r="A20" s="11">
        <v>19</v>
      </c>
      <c r="B20" s="12" t="s">
        <v>30</v>
      </c>
      <c r="C20" s="13" t="s">
        <v>84</v>
      </c>
      <c r="D20" s="14" t="s">
        <v>32</v>
      </c>
      <c r="E20" s="14" t="s">
        <v>85</v>
      </c>
      <c r="F20" s="15">
        <v>44558</v>
      </c>
      <c r="G20" s="16" t="s">
        <v>80</v>
      </c>
      <c r="H20" s="17"/>
      <c r="I20" s="14" t="s">
        <v>66</v>
      </c>
      <c r="J20" s="14" t="s">
        <v>86</v>
      </c>
      <c r="K20" s="17" t="s">
        <v>283</v>
      </c>
      <c r="L20" s="12"/>
      <c r="M20" s="14" t="s">
        <v>85</v>
      </c>
      <c r="N20" s="12" t="s">
        <v>87</v>
      </c>
      <c r="O20" s="12">
        <v>71417.009999999995</v>
      </c>
      <c r="P20" s="12">
        <v>0.15</v>
      </c>
      <c r="Q20" s="12">
        <v>10712.5515</v>
      </c>
      <c r="R20" s="12">
        <v>82129.561499999996</v>
      </c>
      <c r="S20" s="12">
        <v>71417.009999999995</v>
      </c>
      <c r="T20" s="12" t="s">
        <v>36</v>
      </c>
      <c r="U20" s="12" t="s">
        <v>37</v>
      </c>
      <c r="V20" s="12">
        <v>2021</v>
      </c>
    </row>
    <row r="21" spans="1:22" ht="15" customHeight="1" x14ac:dyDescent="0.35">
      <c r="A21" s="11">
        <v>20</v>
      </c>
      <c r="B21" s="12" t="s">
        <v>30</v>
      </c>
      <c r="C21" s="13" t="s">
        <v>88</v>
      </c>
      <c r="D21" s="14" t="s">
        <v>32</v>
      </c>
      <c r="E21" s="14" t="s">
        <v>46</v>
      </c>
      <c r="F21" s="15">
        <v>44558</v>
      </c>
      <c r="G21" s="16" t="s">
        <v>80</v>
      </c>
      <c r="H21" s="17"/>
      <c r="I21" s="14" t="s">
        <v>66</v>
      </c>
      <c r="J21" s="14" t="s">
        <v>86</v>
      </c>
      <c r="K21" s="17" t="s">
        <v>283</v>
      </c>
      <c r="L21" s="12"/>
      <c r="M21" s="14" t="s">
        <v>46</v>
      </c>
      <c r="N21" s="12" t="s">
        <v>89</v>
      </c>
      <c r="O21" s="12">
        <v>42824.68</v>
      </c>
      <c r="P21" s="12">
        <v>0.15</v>
      </c>
      <c r="Q21" s="12">
        <v>6423.7020000000002</v>
      </c>
      <c r="R21" s="12">
        <v>49248.381999999998</v>
      </c>
      <c r="S21" s="12">
        <v>42824.68</v>
      </c>
      <c r="T21" s="12" t="s">
        <v>36</v>
      </c>
      <c r="U21" s="12" t="s">
        <v>37</v>
      </c>
      <c r="V21" s="12">
        <v>2021</v>
      </c>
    </row>
    <row r="22" spans="1:22" ht="15" customHeight="1" x14ac:dyDescent="0.35">
      <c r="A22" s="11">
        <v>21</v>
      </c>
      <c r="B22" s="12" t="s">
        <v>30</v>
      </c>
      <c r="C22" s="13" t="s">
        <v>90</v>
      </c>
      <c r="D22" s="14" t="s">
        <v>32</v>
      </c>
      <c r="E22" s="14" t="s">
        <v>39</v>
      </c>
      <c r="F22" s="15">
        <v>44558</v>
      </c>
      <c r="G22" s="16" t="s">
        <v>80</v>
      </c>
      <c r="H22" s="17"/>
      <c r="I22" s="12" t="s">
        <v>40</v>
      </c>
      <c r="J22" s="12" t="s">
        <v>47</v>
      </c>
      <c r="K22" s="17" t="s">
        <v>283</v>
      </c>
      <c r="L22" s="12"/>
      <c r="M22" s="14" t="s">
        <v>39</v>
      </c>
      <c r="N22" s="12" t="s">
        <v>91</v>
      </c>
      <c r="O22" s="12">
        <v>6268.99</v>
      </c>
      <c r="P22" s="12">
        <v>0.15</v>
      </c>
      <c r="Q22" s="12">
        <v>940.34849999999994</v>
      </c>
      <c r="R22" s="12">
        <v>7209.3384999999998</v>
      </c>
      <c r="S22" s="12">
        <v>6268.99</v>
      </c>
      <c r="T22" s="12" t="s">
        <v>36</v>
      </c>
      <c r="U22" s="12" t="s">
        <v>37</v>
      </c>
      <c r="V22" s="12">
        <v>2021</v>
      </c>
    </row>
    <row r="23" spans="1:22" ht="15" customHeight="1" x14ac:dyDescent="0.35">
      <c r="A23" s="11">
        <v>22</v>
      </c>
      <c r="B23" s="12" t="s">
        <v>30</v>
      </c>
      <c r="C23" s="13" t="s">
        <v>92</v>
      </c>
      <c r="D23" s="14" t="s">
        <v>32</v>
      </c>
      <c r="E23" s="14" t="s">
        <v>93</v>
      </c>
      <c r="F23" s="15">
        <v>44558</v>
      </c>
      <c r="G23" s="16" t="s">
        <v>80</v>
      </c>
      <c r="H23" s="17"/>
      <c r="I23" s="12" t="s">
        <v>40</v>
      </c>
      <c r="J23" s="12" t="s">
        <v>47</v>
      </c>
      <c r="K23" s="17" t="s">
        <v>283</v>
      </c>
      <c r="L23" s="12"/>
      <c r="M23" s="14" t="s">
        <v>93</v>
      </c>
      <c r="N23" s="12" t="s">
        <v>94</v>
      </c>
      <c r="O23" s="12">
        <v>1088.27</v>
      </c>
      <c r="P23" s="12">
        <v>0.15</v>
      </c>
      <c r="Q23" s="12">
        <v>163.2405</v>
      </c>
      <c r="R23" s="12">
        <v>1251.5105000000001</v>
      </c>
      <c r="S23" s="12">
        <v>1088.27</v>
      </c>
      <c r="T23" s="12" t="s">
        <v>36</v>
      </c>
      <c r="U23" s="12" t="s">
        <v>37</v>
      </c>
      <c r="V23" s="12">
        <v>2021</v>
      </c>
    </row>
    <row r="24" spans="1:22" ht="15" customHeight="1" x14ac:dyDescent="0.35">
      <c r="A24" s="11">
        <v>23</v>
      </c>
      <c r="B24" s="12" t="s">
        <v>30</v>
      </c>
      <c r="C24" s="13" t="s">
        <v>95</v>
      </c>
      <c r="D24" s="14" t="s">
        <v>32</v>
      </c>
      <c r="E24" s="14" t="s">
        <v>96</v>
      </c>
      <c r="F24" s="15">
        <v>44558</v>
      </c>
      <c r="G24" s="16" t="s">
        <v>80</v>
      </c>
      <c r="H24" s="17"/>
      <c r="I24" s="12" t="s">
        <v>40</v>
      </c>
      <c r="J24" s="12" t="s">
        <v>47</v>
      </c>
      <c r="K24" s="17" t="s">
        <v>283</v>
      </c>
      <c r="L24" s="12"/>
      <c r="M24" s="14" t="s">
        <v>96</v>
      </c>
      <c r="N24" s="12" t="s">
        <v>97</v>
      </c>
      <c r="O24" s="12">
        <v>1690.97</v>
      </c>
      <c r="P24" s="12">
        <v>0.15</v>
      </c>
      <c r="Q24" s="12">
        <v>253.6455</v>
      </c>
      <c r="R24" s="12">
        <v>1944.6155000000001</v>
      </c>
      <c r="S24" s="12">
        <v>1690.97</v>
      </c>
      <c r="T24" s="12" t="s">
        <v>36</v>
      </c>
      <c r="U24" s="12" t="s">
        <v>37</v>
      </c>
      <c r="V24" s="12">
        <v>2021</v>
      </c>
    </row>
    <row r="25" spans="1:22" ht="15" customHeight="1" x14ac:dyDescent="0.35">
      <c r="A25" s="11">
        <v>24</v>
      </c>
      <c r="B25" s="12" t="s">
        <v>30</v>
      </c>
      <c r="C25" s="13" t="s">
        <v>98</v>
      </c>
      <c r="D25" s="14" t="s">
        <v>32</v>
      </c>
      <c r="E25" s="14" t="s">
        <v>99</v>
      </c>
      <c r="F25" s="15">
        <v>44588</v>
      </c>
      <c r="G25" s="16" t="s">
        <v>100</v>
      </c>
      <c r="H25" s="17"/>
      <c r="I25" s="12"/>
      <c r="J25" s="12"/>
      <c r="K25" s="17" t="s">
        <v>283</v>
      </c>
      <c r="L25" s="12"/>
      <c r="M25" s="14" t="s">
        <v>99</v>
      </c>
      <c r="N25" s="12" t="s">
        <v>101</v>
      </c>
      <c r="O25" s="12">
        <v>50973.09</v>
      </c>
      <c r="P25" s="12">
        <v>0.16</v>
      </c>
      <c r="Q25" s="12">
        <v>8155.6944000000003</v>
      </c>
      <c r="R25" s="12">
        <v>59128.784399999997</v>
      </c>
      <c r="S25" s="12">
        <v>50973.09</v>
      </c>
      <c r="T25" s="12" t="s">
        <v>36</v>
      </c>
      <c r="U25" s="12" t="s">
        <v>102</v>
      </c>
      <c r="V25" s="12">
        <v>2022</v>
      </c>
    </row>
    <row r="26" spans="1:22" ht="15" customHeight="1" x14ac:dyDescent="0.35">
      <c r="A26" s="11">
        <v>25</v>
      </c>
      <c r="B26" s="12" t="s">
        <v>30</v>
      </c>
      <c r="C26" s="13" t="s">
        <v>103</v>
      </c>
      <c r="D26" s="14" t="s">
        <v>32</v>
      </c>
      <c r="E26" s="14" t="s">
        <v>39</v>
      </c>
      <c r="F26" s="15">
        <v>44595</v>
      </c>
      <c r="G26" s="16" t="s">
        <v>104</v>
      </c>
      <c r="H26" s="17"/>
      <c r="I26" s="12" t="s">
        <v>40</v>
      </c>
      <c r="J26" s="12" t="s">
        <v>47</v>
      </c>
      <c r="K26" s="17" t="s">
        <v>283</v>
      </c>
      <c r="L26" s="12"/>
      <c r="M26" s="14" t="s">
        <v>39</v>
      </c>
      <c r="N26" s="12" t="s">
        <v>105</v>
      </c>
      <c r="O26" s="12">
        <v>7180.75</v>
      </c>
      <c r="P26" s="12">
        <v>0.15</v>
      </c>
      <c r="Q26" s="12">
        <v>1077.1125</v>
      </c>
      <c r="R26" s="12">
        <v>8257.8624999999993</v>
      </c>
      <c r="S26" s="12">
        <v>7180.75</v>
      </c>
      <c r="T26" s="12" t="s">
        <v>36</v>
      </c>
      <c r="U26" s="12" t="s">
        <v>102</v>
      </c>
      <c r="V26" s="12">
        <v>2021</v>
      </c>
    </row>
    <row r="27" spans="1:22" ht="15" customHeight="1" x14ac:dyDescent="0.35">
      <c r="A27" s="11">
        <v>26</v>
      </c>
      <c r="B27" s="12" t="s">
        <v>30</v>
      </c>
      <c r="C27" s="13" t="s">
        <v>106</v>
      </c>
      <c r="D27" s="14" t="s">
        <v>32</v>
      </c>
      <c r="E27" s="14" t="s">
        <v>53</v>
      </c>
      <c r="F27" s="15">
        <v>44595</v>
      </c>
      <c r="G27" s="16" t="s">
        <v>104</v>
      </c>
      <c r="H27" s="17"/>
      <c r="I27" s="12" t="s">
        <v>40</v>
      </c>
      <c r="J27" s="12" t="s">
        <v>41</v>
      </c>
      <c r="K27" s="17" t="s">
        <v>283</v>
      </c>
      <c r="L27" s="12"/>
      <c r="M27" s="14" t="s">
        <v>53</v>
      </c>
      <c r="N27" s="12" t="s">
        <v>107</v>
      </c>
      <c r="O27" s="12">
        <v>459.73</v>
      </c>
      <c r="P27" s="12">
        <v>0.15</v>
      </c>
      <c r="Q27" s="12">
        <v>68.959500000000006</v>
      </c>
      <c r="R27" s="12">
        <v>528.68949999999995</v>
      </c>
      <c r="S27" s="12">
        <v>459.73</v>
      </c>
      <c r="T27" s="12" t="s">
        <v>36</v>
      </c>
      <c r="U27" s="12" t="s">
        <v>102</v>
      </c>
      <c r="V27" s="12">
        <v>2021</v>
      </c>
    </row>
    <row r="28" spans="1:22" ht="15" customHeight="1" x14ac:dyDescent="0.35">
      <c r="A28" s="11">
        <v>27</v>
      </c>
      <c r="B28" s="12" t="s">
        <v>30</v>
      </c>
      <c r="C28" s="13" t="s">
        <v>108</v>
      </c>
      <c r="D28" s="14" t="s">
        <v>32</v>
      </c>
      <c r="E28" s="14" t="s">
        <v>33</v>
      </c>
      <c r="F28" s="15">
        <v>44595</v>
      </c>
      <c r="G28" s="16" t="s">
        <v>104</v>
      </c>
      <c r="H28" s="17"/>
      <c r="I28" s="12" t="s">
        <v>40</v>
      </c>
      <c r="J28" s="12" t="s">
        <v>41</v>
      </c>
      <c r="K28" s="17" t="s">
        <v>283</v>
      </c>
      <c r="L28" s="12"/>
      <c r="M28" s="14" t="s">
        <v>33</v>
      </c>
      <c r="N28" s="12" t="s">
        <v>109</v>
      </c>
      <c r="O28" s="12">
        <v>649.02</v>
      </c>
      <c r="P28" s="12">
        <v>0.15</v>
      </c>
      <c r="Q28" s="12">
        <v>97.352999999999994</v>
      </c>
      <c r="R28" s="12">
        <v>746.37300000000005</v>
      </c>
      <c r="S28" s="12">
        <v>649.02</v>
      </c>
      <c r="T28" s="12" t="s">
        <v>36</v>
      </c>
      <c r="U28" s="12" t="s">
        <v>102</v>
      </c>
      <c r="V28" s="12">
        <v>2021</v>
      </c>
    </row>
    <row r="29" spans="1:22" ht="15" customHeight="1" x14ac:dyDescent="0.35">
      <c r="A29" s="11">
        <v>28</v>
      </c>
      <c r="B29" s="12" t="s">
        <v>30</v>
      </c>
      <c r="C29" s="13" t="s">
        <v>110</v>
      </c>
      <c r="D29" s="14" t="s">
        <v>32</v>
      </c>
      <c r="E29" s="14" t="s">
        <v>33</v>
      </c>
      <c r="F29" s="15">
        <v>44595</v>
      </c>
      <c r="G29" s="16" t="s">
        <v>104</v>
      </c>
      <c r="H29" s="17"/>
      <c r="I29" s="14" t="s">
        <v>111</v>
      </c>
      <c r="J29" s="14" t="s">
        <v>112</v>
      </c>
      <c r="K29" s="17" t="s">
        <v>283</v>
      </c>
      <c r="L29" s="12"/>
      <c r="M29" s="14" t="s">
        <v>33</v>
      </c>
      <c r="N29" s="12" t="s">
        <v>113</v>
      </c>
      <c r="O29" s="12">
        <v>192.64</v>
      </c>
      <c r="P29" s="12">
        <v>0.15</v>
      </c>
      <c r="Q29" s="12">
        <v>28.896000000000001</v>
      </c>
      <c r="R29" s="12">
        <v>221.536</v>
      </c>
      <c r="S29" s="12">
        <v>192.64</v>
      </c>
      <c r="T29" s="12" t="s">
        <v>36</v>
      </c>
      <c r="U29" s="12" t="s">
        <v>102</v>
      </c>
      <c r="V29" s="12">
        <v>2021</v>
      </c>
    </row>
    <row r="30" spans="1:22" ht="15" customHeight="1" x14ac:dyDescent="0.35">
      <c r="A30" s="11">
        <v>29</v>
      </c>
      <c r="B30" s="12" t="s">
        <v>30</v>
      </c>
      <c r="C30" s="13" t="s">
        <v>114</v>
      </c>
      <c r="D30" s="14" t="s">
        <v>32</v>
      </c>
      <c r="E30" s="14" t="s">
        <v>39</v>
      </c>
      <c r="F30" s="15">
        <v>44602</v>
      </c>
      <c r="G30" s="16" t="s">
        <v>115</v>
      </c>
      <c r="H30" s="17"/>
      <c r="I30" s="12" t="s">
        <v>40</v>
      </c>
      <c r="J30" s="12" t="s">
        <v>47</v>
      </c>
      <c r="K30" s="17" t="s">
        <v>283</v>
      </c>
      <c r="L30" s="12"/>
      <c r="M30" s="14" t="s">
        <v>39</v>
      </c>
      <c r="N30" s="12" t="s">
        <v>116</v>
      </c>
      <c r="O30" s="12">
        <v>4231.72</v>
      </c>
      <c r="P30" s="12">
        <v>0.15</v>
      </c>
      <c r="Q30" s="12">
        <v>634.75800000000004</v>
      </c>
      <c r="R30" s="12">
        <v>4866.4780000000001</v>
      </c>
      <c r="S30" s="12">
        <v>4231.72</v>
      </c>
      <c r="T30" s="12" t="s">
        <v>36</v>
      </c>
      <c r="U30" s="12" t="s">
        <v>102</v>
      </c>
      <c r="V30" s="12">
        <v>2021</v>
      </c>
    </row>
    <row r="31" spans="1:22" ht="15" customHeight="1" x14ac:dyDescent="0.35">
      <c r="A31" s="11">
        <v>30</v>
      </c>
      <c r="B31" s="12" t="s">
        <v>30</v>
      </c>
      <c r="C31" s="13" t="s">
        <v>117</v>
      </c>
      <c r="D31" s="14" t="s">
        <v>32</v>
      </c>
      <c r="E31" s="14" t="s">
        <v>33</v>
      </c>
      <c r="F31" s="15">
        <v>44602</v>
      </c>
      <c r="G31" s="16" t="s">
        <v>115</v>
      </c>
      <c r="H31" s="17"/>
      <c r="I31" s="12" t="s">
        <v>34</v>
      </c>
      <c r="J31" s="14" t="s">
        <v>35</v>
      </c>
      <c r="K31" s="17" t="s">
        <v>283</v>
      </c>
      <c r="L31" s="12"/>
      <c r="M31" s="14" t="s">
        <v>33</v>
      </c>
      <c r="N31" s="12" t="s">
        <v>118</v>
      </c>
      <c r="O31" s="12">
        <v>6552.22</v>
      </c>
      <c r="P31" s="12">
        <v>0.15</v>
      </c>
      <c r="Q31" s="12">
        <v>982.83299999999997</v>
      </c>
      <c r="R31" s="12">
        <v>7535.0529999999999</v>
      </c>
      <c r="S31" s="12">
        <v>6552.22</v>
      </c>
      <c r="T31" s="12" t="s">
        <v>36</v>
      </c>
      <c r="U31" s="12" t="s">
        <v>102</v>
      </c>
      <c r="V31" s="12">
        <v>2021</v>
      </c>
    </row>
    <row r="32" spans="1:22" ht="15" customHeight="1" x14ac:dyDescent="0.35">
      <c r="A32" s="11">
        <v>31</v>
      </c>
      <c r="B32" s="12" t="s">
        <v>30</v>
      </c>
      <c r="C32" s="13" t="s">
        <v>119</v>
      </c>
      <c r="D32" s="14" t="s">
        <v>32</v>
      </c>
      <c r="E32" s="14" t="s">
        <v>46</v>
      </c>
      <c r="F32" s="15">
        <v>44610</v>
      </c>
      <c r="G32" s="16" t="s">
        <v>120</v>
      </c>
      <c r="H32" s="17"/>
      <c r="I32" s="12" t="s">
        <v>40</v>
      </c>
      <c r="J32" s="12" t="s">
        <v>41</v>
      </c>
      <c r="K32" s="17" t="s">
        <v>283</v>
      </c>
      <c r="L32" s="12"/>
      <c r="M32" s="14" t="s">
        <v>46</v>
      </c>
      <c r="N32" s="12" t="s">
        <v>121</v>
      </c>
      <c r="O32" s="12">
        <v>129.80000000000001</v>
      </c>
      <c r="P32" s="12">
        <v>0.15</v>
      </c>
      <c r="Q32" s="12">
        <v>19.47</v>
      </c>
      <c r="R32" s="12">
        <v>149.27000000000001</v>
      </c>
      <c r="S32" s="12">
        <v>129.80000000000001</v>
      </c>
      <c r="T32" s="12" t="s">
        <v>36</v>
      </c>
      <c r="U32" s="12" t="s">
        <v>102</v>
      </c>
      <c r="V32" s="12">
        <v>2021</v>
      </c>
    </row>
    <row r="33" spans="1:22" ht="15" customHeight="1" x14ac:dyDescent="0.35">
      <c r="A33" s="11">
        <v>32</v>
      </c>
      <c r="B33" s="12" t="s">
        <v>30</v>
      </c>
      <c r="C33" s="13" t="s">
        <v>122</v>
      </c>
      <c r="D33" s="14" t="s">
        <v>32</v>
      </c>
      <c r="E33" s="14" t="s">
        <v>46</v>
      </c>
      <c r="F33" s="15">
        <v>44612</v>
      </c>
      <c r="G33" s="16" t="s">
        <v>123</v>
      </c>
      <c r="H33" s="17"/>
      <c r="I33" s="12" t="s">
        <v>40</v>
      </c>
      <c r="J33" s="12" t="s">
        <v>41</v>
      </c>
      <c r="K33" s="17" t="s">
        <v>283</v>
      </c>
      <c r="L33" s="12"/>
      <c r="M33" s="14" t="s">
        <v>46</v>
      </c>
      <c r="N33" s="12" t="s">
        <v>124</v>
      </c>
      <c r="O33" s="12">
        <v>129.80000000000001</v>
      </c>
      <c r="P33" s="12">
        <v>0.15</v>
      </c>
      <c r="Q33" s="12">
        <v>19.47</v>
      </c>
      <c r="R33" s="12">
        <v>149.27000000000001</v>
      </c>
      <c r="S33" s="12">
        <v>129.80000000000001</v>
      </c>
      <c r="T33" s="12" t="s">
        <v>36</v>
      </c>
      <c r="U33" s="12" t="s">
        <v>102</v>
      </c>
      <c r="V33" s="12">
        <v>2021</v>
      </c>
    </row>
    <row r="34" spans="1:22" ht="15" customHeight="1" x14ac:dyDescent="0.35">
      <c r="A34" s="11">
        <v>33</v>
      </c>
      <c r="B34" s="12" t="s">
        <v>30</v>
      </c>
      <c r="C34" s="13" t="s">
        <v>125</v>
      </c>
      <c r="D34" s="14" t="s">
        <v>32</v>
      </c>
      <c r="E34" s="14" t="s">
        <v>33</v>
      </c>
      <c r="F34" s="15">
        <v>44612</v>
      </c>
      <c r="G34" s="16" t="s">
        <v>123</v>
      </c>
      <c r="H34" s="17"/>
      <c r="I34" s="12" t="s">
        <v>34</v>
      </c>
      <c r="J34" s="14" t="s">
        <v>35</v>
      </c>
      <c r="K34" s="17" t="s">
        <v>283</v>
      </c>
      <c r="L34" s="12"/>
      <c r="M34" s="14" t="s">
        <v>33</v>
      </c>
      <c r="N34" s="12" t="s">
        <v>126</v>
      </c>
      <c r="O34" s="12">
        <v>6565.39</v>
      </c>
      <c r="P34" s="12">
        <v>0.15</v>
      </c>
      <c r="Q34" s="12">
        <v>984.80849999999998</v>
      </c>
      <c r="R34" s="12">
        <v>7550.1985000000004</v>
      </c>
      <c r="S34" s="12">
        <v>6565.39</v>
      </c>
      <c r="T34" s="12" t="s">
        <v>36</v>
      </c>
      <c r="U34" s="12" t="s">
        <v>102</v>
      </c>
      <c r="V34" s="12">
        <v>2021</v>
      </c>
    </row>
    <row r="35" spans="1:22" ht="15" customHeight="1" x14ac:dyDescent="0.35">
      <c r="A35" s="11">
        <v>34</v>
      </c>
      <c r="B35" s="12" t="s">
        <v>30</v>
      </c>
      <c r="C35" s="13" t="s">
        <v>127</v>
      </c>
      <c r="D35" s="14" t="s">
        <v>32</v>
      </c>
      <c r="E35" s="14" t="s">
        <v>33</v>
      </c>
      <c r="F35" s="15">
        <v>44676</v>
      </c>
      <c r="G35" s="16" t="s">
        <v>128</v>
      </c>
      <c r="H35" s="17"/>
      <c r="I35" s="12" t="s">
        <v>34</v>
      </c>
      <c r="J35" s="14" t="s">
        <v>35</v>
      </c>
      <c r="K35" s="17" t="s">
        <v>283</v>
      </c>
      <c r="L35" s="12"/>
      <c r="M35" s="14" t="s">
        <v>33</v>
      </c>
      <c r="N35" s="12" t="s">
        <v>129</v>
      </c>
      <c r="O35" s="12">
        <v>6283.07</v>
      </c>
      <c r="P35" s="12">
        <v>0.15</v>
      </c>
      <c r="Q35" s="12">
        <v>942.46050000000002</v>
      </c>
      <c r="R35" s="12">
        <v>7225.5304999999998</v>
      </c>
      <c r="S35" s="12">
        <v>6283.07</v>
      </c>
      <c r="T35" s="12" t="s">
        <v>36</v>
      </c>
      <c r="U35" s="12" t="s">
        <v>130</v>
      </c>
      <c r="V35" s="12">
        <v>2022</v>
      </c>
    </row>
    <row r="36" spans="1:22" ht="15" customHeight="1" x14ac:dyDescent="0.35">
      <c r="A36" s="11">
        <v>35</v>
      </c>
      <c r="B36" s="12" t="s">
        <v>30</v>
      </c>
      <c r="C36" s="18" t="s">
        <v>131</v>
      </c>
      <c r="D36" s="14" t="s">
        <v>32</v>
      </c>
      <c r="E36" s="14" t="s">
        <v>33</v>
      </c>
      <c r="F36" s="15">
        <v>44676</v>
      </c>
      <c r="G36" s="16" t="s">
        <v>128</v>
      </c>
      <c r="H36" s="17"/>
      <c r="I36" s="14" t="s">
        <v>34</v>
      </c>
      <c r="J36" s="14" t="s">
        <v>35</v>
      </c>
      <c r="K36" s="17" t="s">
        <v>283</v>
      </c>
      <c r="L36" s="12"/>
      <c r="M36" s="14" t="s">
        <v>33</v>
      </c>
      <c r="N36" s="12" t="s">
        <v>132</v>
      </c>
      <c r="O36" s="12">
        <v>5028.83</v>
      </c>
      <c r="P36" s="12">
        <v>0.15</v>
      </c>
      <c r="Q36" s="12">
        <v>754.32449999999994</v>
      </c>
      <c r="R36" s="12">
        <v>5783.1544999999996</v>
      </c>
      <c r="S36" s="12">
        <v>5028.83</v>
      </c>
      <c r="T36" s="12" t="s">
        <v>36</v>
      </c>
      <c r="U36" s="12" t="s">
        <v>130</v>
      </c>
      <c r="V36" s="12">
        <v>2022</v>
      </c>
    </row>
    <row r="37" spans="1:22" ht="15" customHeight="1" x14ac:dyDescent="0.35">
      <c r="A37" s="11">
        <v>36</v>
      </c>
      <c r="B37" s="12" t="s">
        <v>30</v>
      </c>
      <c r="C37" s="13" t="s">
        <v>133</v>
      </c>
      <c r="D37" s="14" t="s">
        <v>32</v>
      </c>
      <c r="E37" s="14" t="s">
        <v>39</v>
      </c>
      <c r="F37" s="15">
        <v>44676</v>
      </c>
      <c r="G37" s="16" t="s">
        <v>128</v>
      </c>
      <c r="H37" s="17"/>
      <c r="I37" s="12" t="s">
        <v>40</v>
      </c>
      <c r="J37" s="12" t="s">
        <v>47</v>
      </c>
      <c r="K37" s="17" t="s">
        <v>283</v>
      </c>
      <c r="L37" s="12"/>
      <c r="M37" s="14" t="s">
        <v>39</v>
      </c>
      <c r="N37" s="12" t="s">
        <v>134</v>
      </c>
      <c r="O37" s="12">
        <v>3968.39</v>
      </c>
      <c r="P37" s="12">
        <v>0.15</v>
      </c>
      <c r="Q37" s="12">
        <v>595.25850000000003</v>
      </c>
      <c r="R37" s="12">
        <v>4563.6485000000002</v>
      </c>
      <c r="S37" s="12">
        <v>3968.39</v>
      </c>
      <c r="T37" s="12" t="s">
        <v>36</v>
      </c>
      <c r="U37" s="12" t="s">
        <v>130</v>
      </c>
      <c r="V37" s="12">
        <v>2022</v>
      </c>
    </row>
    <row r="38" spans="1:22" ht="15" customHeight="1" x14ac:dyDescent="0.35">
      <c r="A38" s="11">
        <v>37</v>
      </c>
      <c r="B38" s="12" t="s">
        <v>30</v>
      </c>
      <c r="C38" s="13" t="s">
        <v>135</v>
      </c>
      <c r="D38" s="14" t="s">
        <v>32</v>
      </c>
      <c r="E38" s="14" t="s">
        <v>39</v>
      </c>
      <c r="F38" s="15">
        <v>44676</v>
      </c>
      <c r="G38" s="16" t="s">
        <v>128</v>
      </c>
      <c r="H38" s="17"/>
      <c r="I38" s="12" t="s">
        <v>40</v>
      </c>
      <c r="J38" s="12" t="s">
        <v>47</v>
      </c>
      <c r="K38" s="17" t="s">
        <v>283</v>
      </c>
      <c r="L38" s="12"/>
      <c r="M38" s="14" t="s">
        <v>39</v>
      </c>
      <c r="N38" s="12" t="s">
        <v>136</v>
      </c>
      <c r="O38" s="12">
        <v>7867.6</v>
      </c>
      <c r="P38" s="12">
        <v>0.15</v>
      </c>
      <c r="Q38" s="12">
        <v>1180.1400000000001</v>
      </c>
      <c r="R38" s="12">
        <v>9047.74</v>
      </c>
      <c r="S38" s="12">
        <v>7867.6</v>
      </c>
      <c r="T38" s="12" t="s">
        <v>36</v>
      </c>
      <c r="U38" s="12" t="s">
        <v>130</v>
      </c>
      <c r="V38" s="12">
        <v>2022</v>
      </c>
    </row>
    <row r="39" spans="1:22" ht="15" customHeight="1" x14ac:dyDescent="0.35">
      <c r="A39" s="11">
        <v>38</v>
      </c>
      <c r="B39" s="12" t="s">
        <v>30</v>
      </c>
      <c r="C39" s="13" t="s">
        <v>137</v>
      </c>
      <c r="D39" s="14" t="s">
        <v>32</v>
      </c>
      <c r="E39" s="14" t="s">
        <v>43</v>
      </c>
      <c r="F39" s="15">
        <v>44676</v>
      </c>
      <c r="G39" s="16" t="s">
        <v>128</v>
      </c>
      <c r="H39" s="17"/>
      <c r="I39" s="12" t="s">
        <v>40</v>
      </c>
      <c r="J39" s="12" t="s">
        <v>41</v>
      </c>
      <c r="K39" s="17" t="s">
        <v>283</v>
      </c>
      <c r="L39" s="12"/>
      <c r="M39" s="14" t="s">
        <v>43</v>
      </c>
      <c r="N39" s="12" t="s">
        <v>138</v>
      </c>
      <c r="O39" s="12">
        <v>5185.71</v>
      </c>
      <c r="P39" s="12">
        <v>0.15</v>
      </c>
      <c r="Q39" s="12">
        <v>777.85649999999998</v>
      </c>
      <c r="R39" s="12">
        <v>5963.5664999999999</v>
      </c>
      <c r="S39" s="12">
        <v>5185.71</v>
      </c>
      <c r="T39" s="12" t="s">
        <v>36</v>
      </c>
      <c r="U39" s="12" t="s">
        <v>130</v>
      </c>
      <c r="V39" s="12">
        <v>2022</v>
      </c>
    </row>
    <row r="40" spans="1:22" ht="15" customHeight="1" x14ac:dyDescent="0.35">
      <c r="A40" s="11">
        <v>39</v>
      </c>
      <c r="B40" s="12" t="s">
        <v>30</v>
      </c>
      <c r="C40" s="13" t="s">
        <v>139</v>
      </c>
      <c r="D40" s="14" t="s">
        <v>32</v>
      </c>
      <c r="E40" s="14" t="s">
        <v>53</v>
      </c>
      <c r="F40" s="15">
        <v>44701</v>
      </c>
      <c r="G40" s="16" t="s">
        <v>140</v>
      </c>
      <c r="H40" s="17"/>
      <c r="I40" s="12" t="s">
        <v>40</v>
      </c>
      <c r="J40" s="12" t="s">
        <v>41</v>
      </c>
      <c r="K40" s="17" t="s">
        <v>283</v>
      </c>
      <c r="L40" s="12"/>
      <c r="M40" s="14" t="s">
        <v>53</v>
      </c>
      <c r="N40" s="12" t="s">
        <v>141</v>
      </c>
      <c r="O40" s="12">
        <v>551.66999999999996</v>
      </c>
      <c r="P40" s="12">
        <v>0.15</v>
      </c>
      <c r="Q40" s="12">
        <v>82.750500000000002</v>
      </c>
      <c r="R40" s="12">
        <v>634.42049999999995</v>
      </c>
      <c r="S40" s="12">
        <v>551.66999999999996</v>
      </c>
      <c r="T40" s="12" t="s">
        <v>36</v>
      </c>
      <c r="U40" s="12" t="s">
        <v>130</v>
      </c>
      <c r="V40" s="12">
        <v>2022</v>
      </c>
    </row>
    <row r="41" spans="1:22" ht="15" customHeight="1" x14ac:dyDescent="0.35">
      <c r="A41" s="11">
        <v>40</v>
      </c>
      <c r="B41" s="12" t="s">
        <v>30</v>
      </c>
      <c r="C41" s="13" t="s">
        <v>142</v>
      </c>
      <c r="D41" s="14" t="s">
        <v>32</v>
      </c>
      <c r="E41" s="14" t="s">
        <v>53</v>
      </c>
      <c r="F41" s="15">
        <v>44701</v>
      </c>
      <c r="G41" s="16" t="s">
        <v>140</v>
      </c>
      <c r="H41" s="17"/>
      <c r="I41" s="12" t="s">
        <v>40</v>
      </c>
      <c r="J41" s="12" t="s">
        <v>41</v>
      </c>
      <c r="K41" s="17" t="s">
        <v>283</v>
      </c>
      <c r="L41" s="12"/>
      <c r="M41" s="14" t="s">
        <v>53</v>
      </c>
      <c r="N41" s="12" t="s">
        <v>143</v>
      </c>
      <c r="O41" s="12">
        <v>551.66999999999996</v>
      </c>
      <c r="P41" s="12">
        <v>0.15</v>
      </c>
      <c r="Q41" s="12">
        <v>82.750500000000002</v>
      </c>
      <c r="R41" s="12">
        <v>634.42049999999995</v>
      </c>
      <c r="S41" s="12">
        <v>551.66999999999996</v>
      </c>
      <c r="T41" s="12" t="s">
        <v>36</v>
      </c>
      <c r="U41" s="12" t="s">
        <v>130</v>
      </c>
      <c r="V41" s="12">
        <v>2022</v>
      </c>
    </row>
    <row r="42" spans="1:22" ht="15" customHeight="1" x14ac:dyDescent="0.35">
      <c r="A42" s="11">
        <v>41</v>
      </c>
      <c r="B42" s="12" t="s">
        <v>30</v>
      </c>
      <c r="C42" s="13" t="s">
        <v>144</v>
      </c>
      <c r="D42" s="14" t="s">
        <v>32</v>
      </c>
      <c r="E42" s="14" t="s">
        <v>39</v>
      </c>
      <c r="F42" s="15">
        <v>44732</v>
      </c>
      <c r="G42" s="16" t="s">
        <v>145</v>
      </c>
      <c r="H42" s="17"/>
      <c r="I42" s="12" t="s">
        <v>40</v>
      </c>
      <c r="J42" s="12" t="s">
        <v>47</v>
      </c>
      <c r="K42" s="17" t="s">
        <v>283</v>
      </c>
      <c r="L42" s="12"/>
      <c r="M42" s="14" t="s">
        <v>39</v>
      </c>
      <c r="N42" s="12" t="s">
        <v>146</v>
      </c>
      <c r="O42" s="12">
        <v>8218.15</v>
      </c>
      <c r="P42" s="12">
        <v>0.15</v>
      </c>
      <c r="Q42" s="12">
        <v>1232.7225000000001</v>
      </c>
      <c r="R42" s="12">
        <v>9450.8724999999995</v>
      </c>
      <c r="S42" s="12">
        <v>8218.15</v>
      </c>
      <c r="T42" s="12" t="s">
        <v>36</v>
      </c>
      <c r="U42" s="12" t="s">
        <v>130</v>
      </c>
      <c r="V42" s="12">
        <v>2022</v>
      </c>
    </row>
    <row r="43" spans="1:22" ht="15" customHeight="1" x14ac:dyDescent="0.35">
      <c r="A43" s="11">
        <v>42</v>
      </c>
      <c r="B43" s="12" t="s">
        <v>30</v>
      </c>
      <c r="C43" s="13" t="s">
        <v>147</v>
      </c>
      <c r="D43" s="14" t="s">
        <v>32</v>
      </c>
      <c r="E43" s="14" t="s">
        <v>33</v>
      </c>
      <c r="F43" s="15">
        <v>44732</v>
      </c>
      <c r="G43" s="16" t="s">
        <v>145</v>
      </c>
      <c r="H43" s="17"/>
      <c r="I43" s="12" t="s">
        <v>34</v>
      </c>
      <c r="J43" s="14" t="s">
        <v>35</v>
      </c>
      <c r="K43" s="17" t="s">
        <v>283</v>
      </c>
      <c r="L43" s="12"/>
      <c r="M43" s="14" t="s">
        <v>33</v>
      </c>
      <c r="N43" s="12" t="s">
        <v>148</v>
      </c>
      <c r="O43" s="12">
        <v>4661.0200000000004</v>
      </c>
      <c r="P43" s="12">
        <v>0.15</v>
      </c>
      <c r="Q43" s="12">
        <v>699.15300000000002</v>
      </c>
      <c r="R43" s="12">
        <v>5360.1729999999998</v>
      </c>
      <c r="S43" s="12">
        <v>4661.0200000000004</v>
      </c>
      <c r="T43" s="12" t="s">
        <v>36</v>
      </c>
      <c r="U43" s="12" t="s">
        <v>130</v>
      </c>
      <c r="V43" s="12">
        <v>2022</v>
      </c>
    </row>
    <row r="44" spans="1:22" ht="15" customHeight="1" x14ac:dyDescent="0.35">
      <c r="A44" s="11">
        <v>43</v>
      </c>
      <c r="B44" s="12" t="s">
        <v>30</v>
      </c>
      <c r="C44" s="13" t="s">
        <v>149</v>
      </c>
      <c r="D44" s="14" t="s">
        <v>32</v>
      </c>
      <c r="E44" s="14" t="s">
        <v>33</v>
      </c>
      <c r="F44" s="15">
        <v>44767</v>
      </c>
      <c r="G44" s="16" t="s">
        <v>150</v>
      </c>
      <c r="H44" s="17"/>
      <c r="I44" s="12" t="s">
        <v>34</v>
      </c>
      <c r="J44" s="14" t="s">
        <v>35</v>
      </c>
      <c r="K44" s="17" t="s">
        <v>283</v>
      </c>
      <c r="L44" s="12"/>
      <c r="M44" s="14" t="s">
        <v>33</v>
      </c>
      <c r="N44" s="12" t="s">
        <v>151</v>
      </c>
      <c r="O44" s="12">
        <v>9141.92</v>
      </c>
      <c r="P44" s="12">
        <v>0.15</v>
      </c>
      <c r="Q44" s="12">
        <v>1371.288</v>
      </c>
      <c r="R44" s="12">
        <v>10513.208000000001</v>
      </c>
      <c r="S44" s="12">
        <v>9141.92</v>
      </c>
      <c r="T44" s="12" t="s">
        <v>36</v>
      </c>
      <c r="U44" s="12" t="s">
        <v>152</v>
      </c>
      <c r="V44" s="12">
        <v>2022</v>
      </c>
    </row>
    <row r="45" spans="1:22" ht="15" customHeight="1" x14ac:dyDescent="0.35">
      <c r="A45" s="11">
        <v>44</v>
      </c>
      <c r="B45" s="12" t="s">
        <v>30</v>
      </c>
      <c r="C45" s="13" t="s">
        <v>153</v>
      </c>
      <c r="D45" s="14" t="s">
        <v>32</v>
      </c>
      <c r="E45" s="14" t="s">
        <v>39</v>
      </c>
      <c r="F45" s="15">
        <v>44767</v>
      </c>
      <c r="G45" s="16">
        <v>44768</v>
      </c>
      <c r="H45" s="17"/>
      <c r="I45" s="12" t="s">
        <v>40</v>
      </c>
      <c r="J45" s="12" t="s">
        <v>47</v>
      </c>
      <c r="K45" s="17" t="s">
        <v>283</v>
      </c>
      <c r="L45" s="12"/>
      <c r="M45" s="14" t="s">
        <v>39</v>
      </c>
      <c r="N45" s="12" t="s">
        <v>154</v>
      </c>
      <c r="O45" s="12">
        <v>13608.29</v>
      </c>
      <c r="P45" s="12">
        <v>0.15</v>
      </c>
      <c r="Q45" s="12">
        <v>2041.2435</v>
      </c>
      <c r="R45" s="12">
        <v>15649.5335</v>
      </c>
      <c r="S45" s="12">
        <v>13608.29</v>
      </c>
      <c r="T45" s="12" t="s">
        <v>36</v>
      </c>
      <c r="U45" s="12" t="s">
        <v>152</v>
      </c>
      <c r="V45" s="12">
        <v>2022</v>
      </c>
    </row>
    <row r="46" spans="1:22" ht="15" customHeight="1" x14ac:dyDescent="0.35">
      <c r="A46" s="11">
        <v>45</v>
      </c>
      <c r="B46" s="12" t="s">
        <v>30</v>
      </c>
      <c r="C46" s="13" t="s">
        <v>155</v>
      </c>
      <c r="D46" s="14" t="s">
        <v>32</v>
      </c>
      <c r="E46" s="14" t="s">
        <v>156</v>
      </c>
      <c r="F46" s="15">
        <v>44795</v>
      </c>
      <c r="G46" s="16">
        <v>44796</v>
      </c>
      <c r="H46" s="17"/>
      <c r="I46" s="12" t="s">
        <v>40</v>
      </c>
      <c r="J46" s="12" t="s">
        <v>47</v>
      </c>
      <c r="K46" s="17" t="s">
        <v>283</v>
      </c>
      <c r="L46" s="12"/>
      <c r="M46" s="14" t="s">
        <v>156</v>
      </c>
      <c r="N46" s="12" t="s">
        <v>157</v>
      </c>
      <c r="O46" s="12">
        <v>5388</v>
      </c>
      <c r="P46" s="12">
        <v>0.15</v>
      </c>
      <c r="Q46" s="12">
        <v>808.2</v>
      </c>
      <c r="R46" s="12">
        <v>6196.2</v>
      </c>
      <c r="S46" s="12">
        <v>5388</v>
      </c>
      <c r="T46" s="12" t="s">
        <v>36</v>
      </c>
      <c r="U46" s="12" t="s">
        <v>152</v>
      </c>
      <c r="V46" s="12">
        <v>2022</v>
      </c>
    </row>
    <row r="47" spans="1:22" ht="15" customHeight="1" x14ac:dyDescent="0.35">
      <c r="A47" s="11">
        <v>46</v>
      </c>
      <c r="B47" s="12" t="s">
        <v>30</v>
      </c>
      <c r="C47" s="13" t="s">
        <v>158</v>
      </c>
      <c r="D47" s="14" t="s">
        <v>32</v>
      </c>
      <c r="E47" s="14" t="s">
        <v>159</v>
      </c>
      <c r="F47" s="15">
        <v>44797</v>
      </c>
      <c r="G47" s="16">
        <v>44798</v>
      </c>
      <c r="H47" s="17"/>
      <c r="I47" s="12" t="s">
        <v>34</v>
      </c>
      <c r="J47" s="14" t="s">
        <v>35</v>
      </c>
      <c r="K47" s="17" t="s">
        <v>283</v>
      </c>
      <c r="L47" s="12"/>
      <c r="M47" s="14" t="s">
        <v>159</v>
      </c>
      <c r="N47" s="12" t="s">
        <v>160</v>
      </c>
      <c r="O47" s="12">
        <v>5056.1899999999996</v>
      </c>
      <c r="P47" s="12">
        <v>0.15</v>
      </c>
      <c r="Q47" s="12">
        <v>758.42849999999999</v>
      </c>
      <c r="R47" s="12">
        <v>5814.6184999999996</v>
      </c>
      <c r="S47" s="12">
        <v>5056.1899999999996</v>
      </c>
      <c r="T47" s="12" t="s">
        <v>36</v>
      </c>
      <c r="U47" s="12" t="s">
        <v>152</v>
      </c>
      <c r="V47" s="12">
        <v>2022</v>
      </c>
    </row>
    <row r="48" spans="1:22" ht="15" customHeight="1" x14ac:dyDescent="0.35">
      <c r="A48" s="11">
        <v>47</v>
      </c>
      <c r="B48" s="12" t="s">
        <v>30</v>
      </c>
      <c r="C48" s="13" t="s">
        <v>161</v>
      </c>
      <c r="D48" s="14" t="s">
        <v>32</v>
      </c>
      <c r="E48" s="14" t="s">
        <v>46</v>
      </c>
      <c r="F48" s="15">
        <v>44806</v>
      </c>
      <c r="G48" s="16">
        <v>44807</v>
      </c>
      <c r="H48" s="17"/>
      <c r="I48" s="12" t="s">
        <v>40</v>
      </c>
      <c r="J48" s="12" t="s">
        <v>41</v>
      </c>
      <c r="K48" s="17" t="s">
        <v>283</v>
      </c>
      <c r="L48" s="12"/>
      <c r="M48" s="14" t="s">
        <v>46</v>
      </c>
      <c r="N48" s="12" t="s">
        <v>162</v>
      </c>
      <c r="O48" s="12">
        <v>272.58999999999997</v>
      </c>
      <c r="P48" s="12">
        <v>0.15</v>
      </c>
      <c r="Q48" s="12">
        <v>40.888500000000001</v>
      </c>
      <c r="R48" s="12">
        <v>313.4785</v>
      </c>
      <c r="S48" s="12">
        <v>272.58999999999997</v>
      </c>
      <c r="T48" s="12" t="s">
        <v>36</v>
      </c>
      <c r="U48" s="12" t="s">
        <v>152</v>
      </c>
      <c r="V48" s="12">
        <v>2022</v>
      </c>
    </row>
    <row r="49" spans="1:22" ht="15" customHeight="1" x14ac:dyDescent="0.35">
      <c r="A49" s="11">
        <v>48</v>
      </c>
      <c r="B49" s="12" t="s">
        <v>30</v>
      </c>
      <c r="C49" s="13" t="s">
        <v>163</v>
      </c>
      <c r="D49" s="14" t="s">
        <v>32</v>
      </c>
      <c r="E49" s="14" t="s">
        <v>164</v>
      </c>
      <c r="F49" s="15">
        <v>44806</v>
      </c>
      <c r="G49" s="16">
        <v>44807</v>
      </c>
      <c r="H49" s="17"/>
      <c r="I49" s="12" t="s">
        <v>40</v>
      </c>
      <c r="J49" s="12" t="s">
        <v>41</v>
      </c>
      <c r="K49" s="17" t="s">
        <v>283</v>
      </c>
      <c r="L49" s="12"/>
      <c r="M49" s="14" t="s">
        <v>164</v>
      </c>
      <c r="N49" s="12" t="s">
        <v>165</v>
      </c>
      <c r="O49" s="12">
        <v>275.16000000000003</v>
      </c>
      <c r="P49" s="12">
        <v>0.15</v>
      </c>
      <c r="Q49" s="12">
        <v>41.274000000000001</v>
      </c>
      <c r="R49" s="12">
        <v>316.43400000000003</v>
      </c>
      <c r="S49" s="12">
        <v>275.16000000000003</v>
      </c>
      <c r="T49" s="12" t="s">
        <v>36</v>
      </c>
      <c r="U49" s="12" t="s">
        <v>152</v>
      </c>
      <c r="V49" s="12">
        <v>2022</v>
      </c>
    </row>
    <row r="50" spans="1:22" ht="15" customHeight="1" x14ac:dyDescent="0.35">
      <c r="A50" s="11">
        <v>49</v>
      </c>
      <c r="B50" s="12" t="s">
        <v>30</v>
      </c>
      <c r="C50" s="13" t="s">
        <v>166</v>
      </c>
      <c r="D50" s="14" t="s">
        <v>32</v>
      </c>
      <c r="E50" s="14" t="s">
        <v>167</v>
      </c>
      <c r="F50" s="15">
        <v>44806</v>
      </c>
      <c r="G50" s="16">
        <v>44807</v>
      </c>
      <c r="H50" s="17"/>
      <c r="I50" s="12" t="s">
        <v>40</v>
      </c>
      <c r="J50" s="12" t="s">
        <v>41</v>
      </c>
      <c r="K50" s="17" t="s">
        <v>283</v>
      </c>
      <c r="L50" s="12"/>
      <c r="M50" s="14" t="s">
        <v>167</v>
      </c>
      <c r="N50" s="12" t="s">
        <v>168</v>
      </c>
      <c r="O50" s="12">
        <v>3524.21</v>
      </c>
      <c r="P50" s="12">
        <v>0.15</v>
      </c>
      <c r="Q50" s="12">
        <v>528.63149999999996</v>
      </c>
      <c r="R50" s="12">
        <v>4052.8415</v>
      </c>
      <c r="S50" s="12">
        <v>3524.21</v>
      </c>
      <c r="T50" s="12" t="s">
        <v>36</v>
      </c>
      <c r="U50" s="12" t="s">
        <v>152</v>
      </c>
      <c r="V50" s="12">
        <v>2022</v>
      </c>
    </row>
    <row r="51" spans="1:22" ht="15" customHeight="1" x14ac:dyDescent="0.35">
      <c r="A51" s="11">
        <v>50</v>
      </c>
      <c r="B51" s="12" t="s">
        <v>30</v>
      </c>
      <c r="C51" s="13" t="s">
        <v>169</v>
      </c>
      <c r="D51" s="14" t="s">
        <v>32</v>
      </c>
      <c r="E51" s="14" t="s">
        <v>53</v>
      </c>
      <c r="F51" s="15">
        <v>44823</v>
      </c>
      <c r="G51" s="16">
        <v>44824</v>
      </c>
      <c r="H51" s="17"/>
      <c r="I51" s="12" t="s">
        <v>40</v>
      </c>
      <c r="J51" s="12" t="s">
        <v>41</v>
      </c>
      <c r="K51" s="17" t="s">
        <v>283</v>
      </c>
      <c r="L51" s="12"/>
      <c r="M51" s="14" t="s">
        <v>53</v>
      </c>
      <c r="N51" s="12" t="s">
        <v>170</v>
      </c>
      <c r="O51" s="12">
        <v>7838.32</v>
      </c>
      <c r="P51" s="12">
        <v>0.15</v>
      </c>
      <c r="Q51" s="12">
        <v>1175.748</v>
      </c>
      <c r="R51" s="12">
        <v>9014.0679999999993</v>
      </c>
      <c r="S51" s="12">
        <v>7838.32</v>
      </c>
      <c r="T51" s="12" t="s">
        <v>36</v>
      </c>
      <c r="U51" s="12" t="s">
        <v>152</v>
      </c>
      <c r="V51" s="12">
        <v>2022</v>
      </c>
    </row>
    <row r="52" spans="1:22" ht="15" customHeight="1" x14ac:dyDescent="0.35">
      <c r="A52" s="11">
        <v>51</v>
      </c>
      <c r="B52" s="12" t="s">
        <v>30</v>
      </c>
      <c r="C52" s="13" t="s">
        <v>171</v>
      </c>
      <c r="D52" s="14" t="s">
        <v>32</v>
      </c>
      <c r="E52" s="14" t="s">
        <v>156</v>
      </c>
      <c r="F52" s="15">
        <v>44823</v>
      </c>
      <c r="G52" s="16">
        <v>44824</v>
      </c>
      <c r="H52" s="17"/>
      <c r="I52" s="12" t="s">
        <v>40</v>
      </c>
      <c r="J52" s="12" t="s">
        <v>47</v>
      </c>
      <c r="K52" s="17" t="s">
        <v>283</v>
      </c>
      <c r="L52" s="12"/>
      <c r="M52" s="14" t="s">
        <v>156</v>
      </c>
      <c r="N52" s="12" t="s">
        <v>172</v>
      </c>
      <c r="O52" s="12">
        <v>3959.68</v>
      </c>
      <c r="P52" s="12">
        <v>0.15</v>
      </c>
      <c r="Q52" s="12">
        <v>593.952</v>
      </c>
      <c r="R52" s="12">
        <v>4553.6319999999996</v>
      </c>
      <c r="S52" s="12">
        <v>3959.68</v>
      </c>
      <c r="T52" s="12" t="s">
        <v>36</v>
      </c>
      <c r="U52" s="12" t="s">
        <v>152</v>
      </c>
      <c r="V52" s="12">
        <v>2022</v>
      </c>
    </row>
    <row r="53" spans="1:22" ht="15" customHeight="1" x14ac:dyDescent="0.35">
      <c r="A53" s="11">
        <v>52</v>
      </c>
      <c r="B53" s="12" t="s">
        <v>30</v>
      </c>
      <c r="C53" s="13" t="s">
        <v>173</v>
      </c>
      <c r="D53" s="14" t="s">
        <v>32</v>
      </c>
      <c r="E53" s="14" t="s">
        <v>159</v>
      </c>
      <c r="F53" s="15">
        <v>44855</v>
      </c>
      <c r="G53" s="16">
        <v>44856</v>
      </c>
      <c r="H53" s="17"/>
      <c r="I53" s="12" t="s">
        <v>34</v>
      </c>
      <c r="J53" s="14" t="s">
        <v>35</v>
      </c>
      <c r="K53" s="17" t="s">
        <v>283</v>
      </c>
      <c r="L53" s="12"/>
      <c r="M53" s="14" t="s">
        <v>159</v>
      </c>
      <c r="N53" s="12" t="s">
        <v>174</v>
      </c>
      <c r="O53" s="12">
        <v>10340.98</v>
      </c>
      <c r="P53" s="12">
        <v>0.15</v>
      </c>
      <c r="Q53" s="12">
        <v>1551.1469999999999</v>
      </c>
      <c r="R53" s="12">
        <v>11892.127</v>
      </c>
      <c r="S53" s="12">
        <v>10340.98</v>
      </c>
      <c r="T53" s="12" t="s">
        <v>36</v>
      </c>
      <c r="U53" s="12" t="s">
        <v>37</v>
      </c>
      <c r="V53" s="12">
        <v>2022</v>
      </c>
    </row>
    <row r="54" spans="1:22" ht="15" customHeight="1" x14ac:dyDescent="0.35">
      <c r="A54" s="11">
        <v>53</v>
      </c>
      <c r="B54" s="10" t="s">
        <v>30</v>
      </c>
      <c r="C54" s="19" t="s">
        <v>175</v>
      </c>
      <c r="D54" s="10" t="s">
        <v>32</v>
      </c>
      <c r="E54" s="10" t="s">
        <v>176</v>
      </c>
      <c r="F54" s="20">
        <v>44867</v>
      </c>
      <c r="G54" s="21"/>
      <c r="H54" s="22"/>
      <c r="I54" s="10" t="s">
        <v>66</v>
      </c>
      <c r="J54" s="10" t="s">
        <v>177</v>
      </c>
      <c r="K54" s="17" t="s">
        <v>283</v>
      </c>
      <c r="L54" s="10"/>
      <c r="M54" s="10" t="s">
        <v>176</v>
      </c>
      <c r="N54" s="10" t="s">
        <v>178</v>
      </c>
      <c r="O54" s="10">
        <v>26330.93</v>
      </c>
      <c r="P54" s="10">
        <v>0.15</v>
      </c>
      <c r="Q54" s="10">
        <v>3949.64</v>
      </c>
      <c r="R54" s="10">
        <v>30280.57</v>
      </c>
      <c r="S54" s="10">
        <v>26330.93</v>
      </c>
      <c r="T54" s="10" t="s">
        <v>36</v>
      </c>
      <c r="U54" s="12" t="s">
        <v>37</v>
      </c>
      <c r="V54" s="12">
        <v>2022</v>
      </c>
    </row>
    <row r="55" spans="1:22" ht="15" customHeight="1" x14ac:dyDescent="0.35">
      <c r="A55" s="11">
        <v>54</v>
      </c>
      <c r="B55" s="10" t="s">
        <v>30</v>
      </c>
      <c r="C55" s="19" t="s">
        <v>179</v>
      </c>
      <c r="D55" s="10" t="s">
        <v>32</v>
      </c>
      <c r="E55" s="10" t="s">
        <v>70</v>
      </c>
      <c r="F55" s="20">
        <v>44867</v>
      </c>
      <c r="G55" s="21"/>
      <c r="H55" s="22"/>
      <c r="I55" s="10" t="s">
        <v>66</v>
      </c>
      <c r="J55" s="10" t="s">
        <v>177</v>
      </c>
      <c r="K55" s="17" t="s">
        <v>283</v>
      </c>
      <c r="L55" s="10"/>
      <c r="M55" s="10" t="s">
        <v>70</v>
      </c>
      <c r="N55" s="10" t="s">
        <v>180</v>
      </c>
      <c r="O55" s="10">
        <v>40037.730000000003</v>
      </c>
      <c r="P55" s="10">
        <v>0.15</v>
      </c>
      <c r="Q55" s="10">
        <v>6005.66</v>
      </c>
      <c r="R55" s="10">
        <v>46043.39</v>
      </c>
      <c r="S55" s="10">
        <v>40037.730000000003</v>
      </c>
      <c r="T55" s="10" t="s">
        <v>36</v>
      </c>
      <c r="U55" s="12" t="s">
        <v>37</v>
      </c>
      <c r="V55" s="12">
        <v>2022</v>
      </c>
    </row>
    <row r="56" spans="1:22" ht="15" customHeight="1" x14ac:dyDescent="0.35">
      <c r="A56" s="11">
        <v>55</v>
      </c>
      <c r="B56" s="10" t="s">
        <v>30</v>
      </c>
      <c r="C56" s="19" t="s">
        <v>181</v>
      </c>
      <c r="D56" s="10" t="s">
        <v>32</v>
      </c>
      <c r="E56" s="10" t="s">
        <v>33</v>
      </c>
      <c r="F56" s="20">
        <v>44867</v>
      </c>
      <c r="G56" s="21"/>
      <c r="H56" s="22"/>
      <c r="I56" s="10" t="s">
        <v>66</v>
      </c>
      <c r="J56" s="10" t="s">
        <v>177</v>
      </c>
      <c r="K56" s="17" t="s">
        <v>283</v>
      </c>
      <c r="L56" s="10"/>
      <c r="M56" s="10" t="s">
        <v>33</v>
      </c>
      <c r="N56" s="10" t="s">
        <v>182</v>
      </c>
      <c r="O56" s="10">
        <v>85893.71</v>
      </c>
      <c r="P56" s="10">
        <v>0.15</v>
      </c>
      <c r="Q56" s="10">
        <v>12884.06</v>
      </c>
      <c r="R56" s="10">
        <v>98777.77</v>
      </c>
      <c r="S56" s="10">
        <v>85893.71</v>
      </c>
      <c r="T56" s="10" t="s">
        <v>36</v>
      </c>
      <c r="U56" s="12" t="s">
        <v>37</v>
      </c>
      <c r="V56" s="12">
        <v>2022</v>
      </c>
    </row>
    <row r="57" spans="1:22" ht="15" customHeight="1" x14ac:dyDescent="0.35">
      <c r="A57" s="11">
        <v>56</v>
      </c>
      <c r="B57" s="10" t="s">
        <v>30</v>
      </c>
      <c r="C57" s="19" t="s">
        <v>183</v>
      </c>
      <c r="D57" s="10" t="s">
        <v>32</v>
      </c>
      <c r="E57" s="10" t="s">
        <v>93</v>
      </c>
      <c r="F57" s="20">
        <v>44867</v>
      </c>
      <c r="G57" s="21"/>
      <c r="H57" s="22"/>
      <c r="I57" s="10" t="s">
        <v>66</v>
      </c>
      <c r="J57" s="10" t="s">
        <v>177</v>
      </c>
      <c r="K57" s="17" t="s">
        <v>283</v>
      </c>
      <c r="L57" s="10"/>
      <c r="M57" s="10" t="s">
        <v>93</v>
      </c>
      <c r="N57" s="10" t="s">
        <v>184</v>
      </c>
      <c r="O57" s="10">
        <v>4311.24</v>
      </c>
      <c r="P57" s="10">
        <v>0.15</v>
      </c>
      <c r="Q57" s="10">
        <v>646.69000000000096</v>
      </c>
      <c r="R57" s="10">
        <v>4957.93</v>
      </c>
      <c r="S57" s="10">
        <v>4311.24</v>
      </c>
      <c r="T57" s="10" t="s">
        <v>36</v>
      </c>
      <c r="U57" s="12" t="s">
        <v>37</v>
      </c>
      <c r="V57" s="12">
        <v>2022</v>
      </c>
    </row>
    <row r="58" spans="1:22" ht="15" customHeight="1" x14ac:dyDescent="0.35">
      <c r="A58" s="11">
        <v>57</v>
      </c>
      <c r="B58" s="10" t="s">
        <v>30</v>
      </c>
      <c r="C58" s="19" t="s">
        <v>185</v>
      </c>
      <c r="D58" s="10" t="s">
        <v>32</v>
      </c>
      <c r="E58" s="10" t="s">
        <v>159</v>
      </c>
      <c r="F58" s="20">
        <v>44886</v>
      </c>
      <c r="G58" s="21"/>
      <c r="H58" s="22"/>
      <c r="I58" s="10" t="s">
        <v>34</v>
      </c>
      <c r="J58" s="10" t="s">
        <v>35</v>
      </c>
      <c r="K58" s="17" t="s">
        <v>283</v>
      </c>
      <c r="L58" s="10"/>
      <c r="M58" s="10" t="s">
        <v>159</v>
      </c>
      <c r="N58" s="10" t="s">
        <v>186</v>
      </c>
      <c r="O58" s="10">
        <v>6420.5879999999997</v>
      </c>
      <c r="P58" s="10">
        <v>0.15</v>
      </c>
      <c r="Q58" s="10">
        <v>963.08820000000003</v>
      </c>
      <c r="R58" s="10">
        <v>7383.6761999999999</v>
      </c>
      <c r="S58" s="10">
        <v>6420.5879999999997</v>
      </c>
      <c r="T58" s="10" t="s">
        <v>36</v>
      </c>
      <c r="U58" s="12" t="s">
        <v>37</v>
      </c>
      <c r="V58" s="12">
        <v>2022</v>
      </c>
    </row>
    <row r="59" spans="1:22" ht="15" customHeight="1" x14ac:dyDescent="0.35">
      <c r="A59" s="11">
        <v>58</v>
      </c>
      <c r="B59" s="10" t="s">
        <v>30</v>
      </c>
      <c r="C59" s="19" t="s">
        <v>187</v>
      </c>
      <c r="D59" s="10" t="s">
        <v>32</v>
      </c>
      <c r="E59" s="10" t="s">
        <v>46</v>
      </c>
      <c r="F59" s="20">
        <v>44886</v>
      </c>
      <c r="G59" s="21"/>
      <c r="H59" s="22"/>
      <c r="I59" s="10" t="s">
        <v>111</v>
      </c>
      <c r="J59" s="10" t="s">
        <v>112</v>
      </c>
      <c r="K59" s="17" t="s">
        <v>283</v>
      </c>
      <c r="L59" s="10"/>
      <c r="M59" s="10" t="s">
        <v>46</v>
      </c>
      <c r="N59" s="10" t="s">
        <v>188</v>
      </c>
      <c r="O59" s="10">
        <v>3412.48</v>
      </c>
      <c r="P59" s="10">
        <v>0.15</v>
      </c>
      <c r="Q59" s="10">
        <v>511.87200000000001</v>
      </c>
      <c r="R59" s="10">
        <v>3924.3519999999999</v>
      </c>
      <c r="S59" s="10">
        <v>3412.48</v>
      </c>
      <c r="T59" s="10" t="s">
        <v>36</v>
      </c>
      <c r="U59" s="12" t="s">
        <v>37</v>
      </c>
      <c r="V59" s="12">
        <v>2022</v>
      </c>
    </row>
    <row r="60" spans="1:22" ht="15" customHeight="1" x14ac:dyDescent="0.35">
      <c r="A60" s="11">
        <v>59</v>
      </c>
      <c r="B60" s="10" t="s">
        <v>30</v>
      </c>
      <c r="C60" s="19" t="s">
        <v>189</v>
      </c>
      <c r="D60" s="10" t="s">
        <v>32</v>
      </c>
      <c r="E60" s="10" t="s">
        <v>159</v>
      </c>
      <c r="F60" s="20">
        <v>44917</v>
      </c>
      <c r="G60" s="21"/>
      <c r="H60" s="22"/>
      <c r="I60" s="10" t="s">
        <v>34</v>
      </c>
      <c r="J60" s="10" t="s">
        <v>35</v>
      </c>
      <c r="K60" s="17" t="s">
        <v>283</v>
      </c>
      <c r="L60" s="10"/>
      <c r="M60" s="10" t="s">
        <v>159</v>
      </c>
      <c r="N60" s="10" t="s">
        <v>190</v>
      </c>
      <c r="O60" s="10">
        <v>5683.5680000000002</v>
      </c>
      <c r="P60" s="10">
        <v>0.15</v>
      </c>
      <c r="Q60" s="10">
        <v>852.53520000000003</v>
      </c>
      <c r="R60" s="10">
        <v>6536.1031999999996</v>
      </c>
      <c r="S60" s="10">
        <v>5683.5680000000002</v>
      </c>
      <c r="T60" s="10" t="s">
        <v>36</v>
      </c>
      <c r="U60" s="12" t="s">
        <v>37</v>
      </c>
      <c r="V60" s="12">
        <v>2022</v>
      </c>
    </row>
    <row r="61" spans="1:22" ht="15" customHeight="1" x14ac:dyDescent="0.35">
      <c r="A61" s="11">
        <v>60</v>
      </c>
      <c r="B61" s="10" t="s">
        <v>30</v>
      </c>
      <c r="C61" s="19" t="s">
        <v>191</v>
      </c>
      <c r="D61" s="10" t="s">
        <v>32</v>
      </c>
      <c r="E61" s="10" t="s">
        <v>192</v>
      </c>
      <c r="F61" s="20">
        <v>44917</v>
      </c>
      <c r="G61" s="21"/>
      <c r="H61" s="22"/>
      <c r="I61" s="10" t="s">
        <v>34</v>
      </c>
      <c r="J61" s="10" t="s">
        <v>35</v>
      </c>
      <c r="K61" s="17" t="s">
        <v>283</v>
      </c>
      <c r="L61" s="10"/>
      <c r="M61" s="10" t="s">
        <v>192</v>
      </c>
      <c r="N61" s="10" t="s">
        <v>193</v>
      </c>
      <c r="O61" s="10">
        <v>3374.98</v>
      </c>
      <c r="P61" s="10">
        <v>0.15</v>
      </c>
      <c r="Q61" s="10">
        <v>506.25</v>
      </c>
      <c r="R61" s="10">
        <v>3881.23</v>
      </c>
      <c r="S61" s="10">
        <v>3374.98</v>
      </c>
      <c r="T61" s="10" t="s">
        <v>36</v>
      </c>
      <c r="U61" s="12" t="s">
        <v>37</v>
      </c>
      <c r="V61" s="12">
        <v>2022</v>
      </c>
    </row>
    <row r="62" spans="1:22" ht="15" customHeight="1" x14ac:dyDescent="0.35">
      <c r="A62" s="11">
        <v>61</v>
      </c>
      <c r="B62" s="10" t="s">
        <v>30</v>
      </c>
      <c r="C62" s="19" t="s">
        <v>194</v>
      </c>
      <c r="D62" s="10" t="s">
        <v>32</v>
      </c>
      <c r="E62" s="10" t="s">
        <v>195</v>
      </c>
      <c r="F62" s="20">
        <v>44917</v>
      </c>
      <c r="G62" s="21"/>
      <c r="H62" s="22"/>
      <c r="I62" s="10" t="s">
        <v>40</v>
      </c>
      <c r="J62" s="10" t="s">
        <v>47</v>
      </c>
      <c r="K62" s="17" t="s">
        <v>283</v>
      </c>
      <c r="L62" s="10"/>
      <c r="M62" s="10" t="s">
        <v>195</v>
      </c>
      <c r="N62" s="10" t="s">
        <v>196</v>
      </c>
      <c r="O62" s="10">
        <v>5640.31</v>
      </c>
      <c r="P62" s="10">
        <v>0.15</v>
      </c>
      <c r="Q62" s="10">
        <v>846.04</v>
      </c>
      <c r="R62" s="10">
        <v>6486.35</v>
      </c>
      <c r="S62" s="10">
        <v>5640.31</v>
      </c>
      <c r="T62" s="10" t="s">
        <v>36</v>
      </c>
      <c r="U62" s="12" t="s">
        <v>37</v>
      </c>
      <c r="V62" s="12">
        <v>2022</v>
      </c>
    </row>
    <row r="63" spans="1:22" ht="15" customHeight="1" x14ac:dyDescent="0.35">
      <c r="A63" s="11">
        <v>62</v>
      </c>
      <c r="B63" s="10" t="s">
        <v>30</v>
      </c>
      <c r="C63" s="19" t="s">
        <v>197</v>
      </c>
      <c r="D63" s="10" t="s">
        <v>32</v>
      </c>
      <c r="E63" s="10" t="s">
        <v>156</v>
      </c>
      <c r="F63" s="20">
        <v>44917</v>
      </c>
      <c r="G63" s="21"/>
      <c r="H63" s="22"/>
      <c r="I63" s="10" t="s">
        <v>40</v>
      </c>
      <c r="J63" s="10" t="s">
        <v>47</v>
      </c>
      <c r="K63" s="17" t="s">
        <v>283</v>
      </c>
      <c r="L63" s="10"/>
      <c r="M63" s="10" t="s">
        <v>156</v>
      </c>
      <c r="N63" s="10" t="s">
        <v>198</v>
      </c>
      <c r="O63" s="10">
        <v>5030.88</v>
      </c>
      <c r="P63" s="10">
        <v>0.15</v>
      </c>
      <c r="Q63" s="10">
        <v>754.63</v>
      </c>
      <c r="R63" s="10">
        <v>5785.51</v>
      </c>
      <c r="S63" s="10">
        <v>5030.88</v>
      </c>
      <c r="T63" s="10" t="s">
        <v>36</v>
      </c>
      <c r="U63" s="12" t="s">
        <v>37</v>
      </c>
      <c r="V63" s="12">
        <v>2022</v>
      </c>
    </row>
    <row r="64" spans="1:22" ht="15" customHeight="1" x14ac:dyDescent="0.35">
      <c r="A64" s="11">
        <v>63</v>
      </c>
      <c r="B64" s="10" t="s">
        <v>30</v>
      </c>
      <c r="C64" s="19" t="s">
        <v>199</v>
      </c>
      <c r="D64" s="10" t="s">
        <v>32</v>
      </c>
      <c r="E64" s="10" t="s">
        <v>200</v>
      </c>
      <c r="F64" s="20">
        <v>44917</v>
      </c>
      <c r="G64" s="21"/>
      <c r="H64" s="22"/>
      <c r="I64" s="10" t="s">
        <v>40</v>
      </c>
      <c r="J64" s="10" t="s">
        <v>201</v>
      </c>
      <c r="K64" s="17" t="s">
        <v>283</v>
      </c>
      <c r="L64" s="10"/>
      <c r="M64" s="10" t="s">
        <v>200</v>
      </c>
      <c r="N64" s="10" t="s">
        <v>202</v>
      </c>
      <c r="O64" s="10">
        <v>2081.21</v>
      </c>
      <c r="P64" s="10">
        <v>0.15</v>
      </c>
      <c r="Q64" s="10">
        <v>312.18</v>
      </c>
      <c r="R64" s="10">
        <v>2393.39</v>
      </c>
      <c r="S64" s="10">
        <v>2081.21</v>
      </c>
      <c r="T64" s="10" t="s">
        <v>36</v>
      </c>
      <c r="U64" s="12" t="s">
        <v>37</v>
      </c>
      <c r="V64" s="10">
        <v>2022</v>
      </c>
    </row>
    <row r="65" spans="1:22" ht="15" customHeight="1" x14ac:dyDescent="0.35">
      <c r="A65" s="11">
        <v>64</v>
      </c>
      <c r="B65" s="10" t="s">
        <v>30</v>
      </c>
      <c r="C65" s="19" t="s">
        <v>203</v>
      </c>
      <c r="D65" s="10" t="s">
        <v>32</v>
      </c>
      <c r="E65" s="10" t="s">
        <v>96</v>
      </c>
      <c r="F65" s="20">
        <v>44967</v>
      </c>
      <c r="G65" s="21"/>
      <c r="H65" s="22"/>
      <c r="I65" s="10" t="s">
        <v>66</v>
      </c>
      <c r="J65" s="10" t="s">
        <v>320</v>
      </c>
      <c r="K65" s="17" t="s">
        <v>283</v>
      </c>
      <c r="L65" s="10"/>
      <c r="M65" s="10" t="s">
        <v>85</v>
      </c>
      <c r="N65" s="10" t="s">
        <v>325</v>
      </c>
      <c r="O65" s="10">
        <v>2271.8000000000002</v>
      </c>
      <c r="P65" s="10">
        <v>0.15</v>
      </c>
      <c r="Q65" s="10">
        <v>340.77</v>
      </c>
      <c r="R65" s="10">
        <v>2612.5700000000002</v>
      </c>
      <c r="S65" s="10">
        <v>2271.8000000000002</v>
      </c>
      <c r="T65" s="10" t="s">
        <v>36</v>
      </c>
      <c r="U65" s="12" t="s">
        <v>102</v>
      </c>
      <c r="V65" s="10">
        <v>2023</v>
      </c>
    </row>
    <row r="66" spans="1:22" ht="15" customHeight="1" x14ac:dyDescent="0.35">
      <c r="A66" s="11">
        <v>65</v>
      </c>
      <c r="B66" s="10" t="s">
        <v>30</v>
      </c>
      <c r="C66" s="19" t="s">
        <v>204</v>
      </c>
      <c r="D66" s="10" t="s">
        <v>32</v>
      </c>
      <c r="E66" s="10" t="s">
        <v>33</v>
      </c>
      <c r="F66" s="20">
        <v>44967</v>
      </c>
      <c r="G66" s="21"/>
      <c r="H66" s="22"/>
      <c r="I66" s="10" t="s">
        <v>66</v>
      </c>
      <c r="J66" s="10" t="s">
        <v>205</v>
      </c>
      <c r="K66" s="17" t="s">
        <v>283</v>
      </c>
      <c r="L66" s="10"/>
      <c r="M66" s="10" t="s">
        <v>33</v>
      </c>
      <c r="N66" s="10" t="s">
        <v>206</v>
      </c>
      <c r="O66" s="10">
        <v>87663.41</v>
      </c>
      <c r="P66" s="10">
        <v>0.15</v>
      </c>
      <c r="Q66" s="10">
        <v>13149.51</v>
      </c>
      <c r="R66" s="10">
        <v>100812.92</v>
      </c>
      <c r="S66" s="10">
        <v>87663.41</v>
      </c>
      <c r="T66" s="10" t="s">
        <v>36</v>
      </c>
      <c r="U66" s="12" t="s">
        <v>102</v>
      </c>
      <c r="V66" s="10">
        <v>2023</v>
      </c>
    </row>
    <row r="67" spans="1:22" ht="15" customHeight="1" x14ac:dyDescent="0.35">
      <c r="A67" s="11">
        <v>66</v>
      </c>
      <c r="B67" s="10" t="s">
        <v>30</v>
      </c>
      <c r="C67" s="19" t="s">
        <v>207</v>
      </c>
      <c r="D67" s="10" t="s">
        <v>32</v>
      </c>
      <c r="E67" s="10" t="s">
        <v>159</v>
      </c>
      <c r="F67" s="20">
        <v>44967</v>
      </c>
      <c r="G67" s="21"/>
      <c r="H67" s="22"/>
      <c r="I67" s="10" t="s">
        <v>66</v>
      </c>
      <c r="J67" s="10" t="s">
        <v>205</v>
      </c>
      <c r="K67" s="17" t="s">
        <v>283</v>
      </c>
      <c r="L67" s="10"/>
      <c r="M67" s="10" t="s">
        <v>159</v>
      </c>
      <c r="N67" s="10" t="s">
        <v>208</v>
      </c>
      <c r="O67" s="10">
        <v>12039.53</v>
      </c>
      <c r="P67" s="10">
        <v>0.15</v>
      </c>
      <c r="Q67" s="10">
        <v>1805.93</v>
      </c>
      <c r="R67" s="10">
        <v>13845.46</v>
      </c>
      <c r="S67" s="10">
        <v>12039.53</v>
      </c>
      <c r="T67" s="10" t="s">
        <v>36</v>
      </c>
      <c r="U67" s="12" t="s">
        <v>102</v>
      </c>
      <c r="V67" s="10">
        <v>2023</v>
      </c>
    </row>
    <row r="68" spans="1:22" ht="15" customHeight="1" x14ac:dyDescent="0.35">
      <c r="A68" s="11">
        <v>67</v>
      </c>
      <c r="B68" s="10" t="s">
        <v>30</v>
      </c>
      <c r="C68" s="19" t="s">
        <v>209</v>
      </c>
      <c r="D68" s="10" t="s">
        <v>32</v>
      </c>
      <c r="E68" s="10" t="s">
        <v>159</v>
      </c>
      <c r="F68" s="20">
        <v>44967</v>
      </c>
      <c r="G68" s="21"/>
      <c r="H68" s="22"/>
      <c r="I68" s="10" t="s">
        <v>34</v>
      </c>
      <c r="J68" s="10" t="s">
        <v>35</v>
      </c>
      <c r="K68" s="17" t="s">
        <v>283</v>
      </c>
      <c r="L68" s="10"/>
      <c r="M68" s="10" t="s">
        <v>159</v>
      </c>
      <c r="N68" s="10" t="s">
        <v>210</v>
      </c>
      <c r="O68" s="10">
        <v>9367.4599999999991</v>
      </c>
      <c r="P68" s="10">
        <v>0.15</v>
      </c>
      <c r="Q68" s="10">
        <v>1405.12</v>
      </c>
      <c r="R68" s="10">
        <v>10772.58</v>
      </c>
      <c r="S68" s="10">
        <v>9367.4599999999991</v>
      </c>
      <c r="T68" s="10" t="s">
        <v>36</v>
      </c>
      <c r="U68" s="12" t="s">
        <v>102</v>
      </c>
      <c r="V68" s="10">
        <v>2023</v>
      </c>
    </row>
    <row r="69" spans="1:22" ht="15" customHeight="1" x14ac:dyDescent="0.35">
      <c r="A69" s="11">
        <v>68</v>
      </c>
      <c r="B69" s="10" t="s">
        <v>30</v>
      </c>
      <c r="C69" s="19" t="s">
        <v>211</v>
      </c>
      <c r="D69" s="10" t="s">
        <v>32</v>
      </c>
      <c r="E69" s="10" t="s">
        <v>156</v>
      </c>
      <c r="F69" s="20">
        <v>44967</v>
      </c>
      <c r="G69" s="21"/>
      <c r="H69" s="22"/>
      <c r="I69" s="10" t="s">
        <v>40</v>
      </c>
      <c r="J69" s="10" t="s">
        <v>47</v>
      </c>
      <c r="K69" s="17" t="s">
        <v>283</v>
      </c>
      <c r="L69" s="10"/>
      <c r="M69" s="10" t="s">
        <v>156</v>
      </c>
      <c r="N69" s="10" t="s">
        <v>212</v>
      </c>
      <c r="O69" s="10">
        <v>2444.4</v>
      </c>
      <c r="P69" s="10">
        <v>0.15</v>
      </c>
      <c r="Q69" s="10">
        <v>366.66</v>
      </c>
      <c r="R69" s="10">
        <v>2811.06</v>
      </c>
      <c r="S69" s="10">
        <v>2444.4</v>
      </c>
      <c r="T69" s="10" t="s">
        <v>36</v>
      </c>
      <c r="U69" s="12" t="s">
        <v>102</v>
      </c>
      <c r="V69" s="10">
        <v>2023</v>
      </c>
    </row>
    <row r="70" spans="1:22" ht="15" customHeight="1" x14ac:dyDescent="0.35">
      <c r="A70" s="11">
        <v>69</v>
      </c>
      <c r="B70" s="10" t="s">
        <v>30</v>
      </c>
      <c r="C70" s="19" t="s">
        <v>213</v>
      </c>
      <c r="D70" s="10" t="s">
        <v>32</v>
      </c>
      <c r="E70" s="10" t="s">
        <v>192</v>
      </c>
      <c r="F70" s="20">
        <v>44971</v>
      </c>
      <c r="G70" s="21"/>
      <c r="H70" s="22"/>
      <c r="I70" s="10" t="s">
        <v>34</v>
      </c>
      <c r="J70" s="10" t="s">
        <v>35</v>
      </c>
      <c r="K70" s="17" t="s">
        <v>283</v>
      </c>
      <c r="L70" s="10"/>
      <c r="M70" s="10" t="s">
        <v>192</v>
      </c>
      <c r="N70" s="10" t="s">
        <v>214</v>
      </c>
      <c r="O70" s="10">
        <v>12090.68</v>
      </c>
      <c r="P70" s="10">
        <v>0.15</v>
      </c>
      <c r="Q70" s="10">
        <v>1813.6</v>
      </c>
      <c r="R70" s="10">
        <v>13904.28</v>
      </c>
      <c r="S70" s="10">
        <v>12090.68</v>
      </c>
      <c r="T70" s="10" t="s">
        <v>36</v>
      </c>
      <c r="U70" s="12" t="s">
        <v>102</v>
      </c>
      <c r="V70" s="10">
        <v>2023</v>
      </c>
    </row>
    <row r="71" spans="1:22" ht="15" customHeight="1" x14ac:dyDescent="0.35">
      <c r="A71" s="11">
        <v>70</v>
      </c>
      <c r="B71" s="10" t="s">
        <v>30</v>
      </c>
      <c r="C71" s="19" t="s">
        <v>215</v>
      </c>
      <c r="D71" s="10" t="s">
        <v>32</v>
      </c>
      <c r="E71" s="10" t="s">
        <v>195</v>
      </c>
      <c r="F71" s="20">
        <v>44971</v>
      </c>
      <c r="G71" s="21"/>
      <c r="H71" s="22"/>
      <c r="I71" s="10" t="s">
        <v>40</v>
      </c>
      <c r="J71" s="10" t="s">
        <v>47</v>
      </c>
      <c r="K71" s="17" t="s">
        <v>283</v>
      </c>
      <c r="L71" s="10"/>
      <c r="M71" s="10" t="s">
        <v>195</v>
      </c>
      <c r="N71" s="10" t="s">
        <v>216</v>
      </c>
      <c r="O71" s="10">
        <v>13979.33</v>
      </c>
      <c r="P71" s="10">
        <v>0.15</v>
      </c>
      <c r="Q71" s="10">
        <v>2096.9</v>
      </c>
      <c r="R71" s="10">
        <v>16076.23</v>
      </c>
      <c r="S71" s="10">
        <v>13979.33</v>
      </c>
      <c r="T71" s="10" t="s">
        <v>36</v>
      </c>
      <c r="U71" s="12" t="s">
        <v>102</v>
      </c>
      <c r="V71" s="10">
        <v>2023</v>
      </c>
    </row>
    <row r="72" spans="1:22" ht="15" customHeight="1" x14ac:dyDescent="0.35">
      <c r="A72" s="11">
        <v>71</v>
      </c>
      <c r="B72" s="10" t="s">
        <v>30</v>
      </c>
      <c r="C72" s="19" t="s">
        <v>217</v>
      </c>
      <c r="D72" s="10" t="s">
        <v>32</v>
      </c>
      <c r="E72" s="10" t="s">
        <v>218</v>
      </c>
      <c r="F72" s="20">
        <v>44971</v>
      </c>
      <c r="G72" s="21"/>
      <c r="H72" s="22"/>
      <c r="I72" s="10" t="s">
        <v>40</v>
      </c>
      <c r="J72" s="10" t="s">
        <v>201</v>
      </c>
      <c r="K72" s="17" t="s">
        <v>283</v>
      </c>
      <c r="L72" s="10"/>
      <c r="M72" s="10" t="s">
        <v>218</v>
      </c>
      <c r="N72" s="10" t="s">
        <v>219</v>
      </c>
      <c r="O72" s="10">
        <v>2083.8000000000002</v>
      </c>
      <c r="P72" s="10">
        <v>0.15</v>
      </c>
      <c r="Q72" s="10">
        <v>312.57</v>
      </c>
      <c r="R72" s="10">
        <v>2396.37</v>
      </c>
      <c r="S72" s="10">
        <v>2083.8000000000002</v>
      </c>
      <c r="T72" s="10" t="s">
        <v>36</v>
      </c>
      <c r="U72" s="12" t="s">
        <v>102</v>
      </c>
      <c r="V72" s="10">
        <v>2023</v>
      </c>
    </row>
    <row r="73" spans="1:22" ht="15" customHeight="1" x14ac:dyDescent="0.35">
      <c r="A73" s="11">
        <v>72</v>
      </c>
      <c r="B73" s="10" t="s">
        <v>30</v>
      </c>
      <c r="C73" s="19" t="s">
        <v>220</v>
      </c>
      <c r="D73" s="10" t="s">
        <v>32</v>
      </c>
      <c r="E73" s="10" t="s">
        <v>221</v>
      </c>
      <c r="F73" s="20">
        <v>44971</v>
      </c>
      <c r="G73" s="21"/>
      <c r="H73" s="22"/>
      <c r="I73" s="10" t="s">
        <v>40</v>
      </c>
      <c r="J73" s="10" t="s">
        <v>201</v>
      </c>
      <c r="K73" s="17" t="s">
        <v>283</v>
      </c>
      <c r="L73" s="10"/>
      <c r="M73" s="10" t="s">
        <v>221</v>
      </c>
      <c r="N73" s="10" t="s">
        <v>222</v>
      </c>
      <c r="O73" s="10">
        <v>465.13</v>
      </c>
      <c r="P73" s="10">
        <v>0.15</v>
      </c>
      <c r="Q73" s="10">
        <v>69.77</v>
      </c>
      <c r="R73" s="10">
        <v>534.9</v>
      </c>
      <c r="S73" s="10">
        <v>465.13</v>
      </c>
      <c r="T73" s="10" t="s">
        <v>36</v>
      </c>
      <c r="U73" s="12" t="s">
        <v>102</v>
      </c>
      <c r="V73" s="10">
        <v>2023</v>
      </c>
    </row>
    <row r="74" spans="1:22" ht="15" customHeight="1" x14ac:dyDescent="0.35">
      <c r="A74" s="11">
        <v>73</v>
      </c>
      <c r="B74" s="10" t="s">
        <v>30</v>
      </c>
      <c r="C74" s="19" t="s">
        <v>223</v>
      </c>
      <c r="D74" s="10" t="s">
        <v>32</v>
      </c>
      <c r="E74" s="10" t="s">
        <v>224</v>
      </c>
      <c r="F74" s="20">
        <v>44971</v>
      </c>
      <c r="G74" s="21"/>
      <c r="H74" s="22"/>
      <c r="I74" s="10" t="s">
        <v>40</v>
      </c>
      <c r="J74" s="10" t="s">
        <v>201</v>
      </c>
      <c r="K74" s="17" t="s">
        <v>283</v>
      </c>
      <c r="L74" s="10"/>
      <c r="M74" s="10" t="s">
        <v>224</v>
      </c>
      <c r="N74" s="10" t="s">
        <v>225</v>
      </c>
      <c r="O74" s="10">
        <v>3565.96</v>
      </c>
      <c r="P74" s="10">
        <v>0.15</v>
      </c>
      <c r="Q74" s="10">
        <v>534.89</v>
      </c>
      <c r="R74" s="10">
        <v>4100.8500000000004</v>
      </c>
      <c r="S74" s="10">
        <v>3565.96</v>
      </c>
      <c r="T74" s="10" t="s">
        <v>36</v>
      </c>
      <c r="U74" s="12" t="s">
        <v>102</v>
      </c>
      <c r="V74" s="10">
        <v>2023</v>
      </c>
    </row>
    <row r="75" spans="1:22" ht="15" customHeight="1" x14ac:dyDescent="0.35">
      <c r="A75" s="11">
        <v>74</v>
      </c>
      <c r="B75" s="10" t="s">
        <v>30</v>
      </c>
      <c r="C75" s="19" t="s">
        <v>226</v>
      </c>
      <c r="D75" s="10" t="s">
        <v>32</v>
      </c>
      <c r="E75" s="10" t="s">
        <v>192</v>
      </c>
      <c r="F75" s="20">
        <v>45012</v>
      </c>
      <c r="G75" s="21"/>
      <c r="H75" s="22"/>
      <c r="I75" s="10" t="s">
        <v>34</v>
      </c>
      <c r="J75" s="10" t="s">
        <v>35</v>
      </c>
      <c r="K75" s="17" t="s">
        <v>283</v>
      </c>
      <c r="L75" s="10"/>
      <c r="M75" s="10" t="s">
        <v>192</v>
      </c>
      <c r="N75" s="10" t="s">
        <v>227</v>
      </c>
      <c r="O75" s="10">
        <v>765.05600000000004</v>
      </c>
      <c r="P75" s="10">
        <v>0.15</v>
      </c>
      <c r="Q75" s="10">
        <v>114.7492</v>
      </c>
      <c r="R75" s="10">
        <v>879.80520000000001</v>
      </c>
      <c r="S75" s="10">
        <v>765.05600000000004</v>
      </c>
      <c r="T75" s="10" t="s">
        <v>36</v>
      </c>
      <c r="U75" s="12" t="s">
        <v>102</v>
      </c>
      <c r="V75" s="10">
        <v>2023</v>
      </c>
    </row>
    <row r="76" spans="1:22" ht="15" customHeight="1" x14ac:dyDescent="0.35">
      <c r="A76" s="11">
        <v>75</v>
      </c>
      <c r="B76" s="10" t="s">
        <v>30</v>
      </c>
      <c r="C76" s="19" t="s">
        <v>228</v>
      </c>
      <c r="D76" s="10" t="s">
        <v>32</v>
      </c>
      <c r="E76" s="10" t="s">
        <v>159</v>
      </c>
      <c r="F76" s="20">
        <v>45012</v>
      </c>
      <c r="G76" s="21"/>
      <c r="H76" s="22"/>
      <c r="I76" s="10" t="s">
        <v>34</v>
      </c>
      <c r="J76" s="10" t="s">
        <v>35</v>
      </c>
      <c r="K76" s="17" t="s">
        <v>283</v>
      </c>
      <c r="L76" s="10"/>
      <c r="M76" s="10" t="s">
        <v>159</v>
      </c>
      <c r="N76" s="10" t="s">
        <v>229</v>
      </c>
      <c r="O76" s="10">
        <v>745.79200000000003</v>
      </c>
      <c r="P76" s="10">
        <v>0.15</v>
      </c>
      <c r="Q76" s="10">
        <v>111.86879999999999</v>
      </c>
      <c r="R76" s="10">
        <v>857.66079999999999</v>
      </c>
      <c r="S76" s="10">
        <v>745.79200000000003</v>
      </c>
      <c r="T76" s="10" t="s">
        <v>36</v>
      </c>
      <c r="U76" s="12" t="s">
        <v>102</v>
      </c>
      <c r="V76" s="10">
        <v>2023</v>
      </c>
    </row>
    <row r="77" spans="1:22" ht="15" customHeight="1" x14ac:dyDescent="0.35">
      <c r="A77" s="11">
        <v>76</v>
      </c>
      <c r="B77" s="10" t="s">
        <v>30</v>
      </c>
      <c r="C77" s="19" t="s">
        <v>230</v>
      </c>
      <c r="D77" s="10" t="s">
        <v>32</v>
      </c>
      <c r="E77" s="10" t="s">
        <v>46</v>
      </c>
      <c r="F77" s="20">
        <v>45012</v>
      </c>
      <c r="G77" s="21"/>
      <c r="H77" s="22"/>
      <c r="I77" s="10" t="s">
        <v>111</v>
      </c>
      <c r="J77" s="10" t="s">
        <v>112</v>
      </c>
      <c r="K77" s="17" t="s">
        <v>283</v>
      </c>
      <c r="L77" s="10"/>
      <c r="M77" s="10" t="s">
        <v>46</v>
      </c>
      <c r="N77" s="10" t="s">
        <v>231</v>
      </c>
      <c r="O77" s="10">
        <v>736.16</v>
      </c>
      <c r="P77" s="10">
        <v>0.15</v>
      </c>
      <c r="Q77" s="10">
        <v>110.42400000000001</v>
      </c>
      <c r="R77" s="10">
        <v>846.58399999999995</v>
      </c>
      <c r="S77" s="10">
        <v>736.16</v>
      </c>
      <c r="T77" s="10" t="s">
        <v>36</v>
      </c>
      <c r="U77" s="12" t="s">
        <v>102</v>
      </c>
      <c r="V77" s="10">
        <v>2023</v>
      </c>
    </row>
    <row r="78" spans="1:22" ht="15" customHeight="1" x14ac:dyDescent="0.35">
      <c r="A78" s="11">
        <v>77</v>
      </c>
      <c r="B78" s="10" t="s">
        <v>30</v>
      </c>
      <c r="C78" s="19" t="s">
        <v>232</v>
      </c>
      <c r="D78" s="10" t="s">
        <v>32</v>
      </c>
      <c r="E78" s="10" t="s">
        <v>159</v>
      </c>
      <c r="F78" s="20">
        <v>45043</v>
      </c>
      <c r="G78" s="21"/>
      <c r="H78" s="22"/>
      <c r="I78" s="10" t="s">
        <v>66</v>
      </c>
      <c r="J78" s="10" t="s">
        <v>233</v>
      </c>
      <c r="K78" s="17" t="s">
        <v>283</v>
      </c>
      <c r="L78" s="10"/>
      <c r="M78" s="10" t="s">
        <v>159</v>
      </c>
      <c r="N78" s="10" t="s">
        <v>234</v>
      </c>
      <c r="O78" s="10">
        <v>74388.550900000002</v>
      </c>
      <c r="P78" s="10">
        <v>0.15</v>
      </c>
      <c r="Q78" s="10">
        <v>11158.282635</v>
      </c>
      <c r="R78" s="10">
        <v>85546.833534999998</v>
      </c>
      <c r="S78" s="10">
        <v>74388.550900000002</v>
      </c>
      <c r="T78" s="10" t="s">
        <v>36</v>
      </c>
      <c r="U78" s="10" t="s">
        <v>130</v>
      </c>
      <c r="V78" s="10">
        <v>2023</v>
      </c>
    </row>
    <row r="79" spans="1:22" ht="15" customHeight="1" x14ac:dyDescent="0.35">
      <c r="A79" s="11">
        <v>78</v>
      </c>
      <c r="B79" s="10" t="s">
        <v>30</v>
      </c>
      <c r="C79" s="19" t="s">
        <v>235</v>
      </c>
      <c r="D79" s="10" t="s">
        <v>32</v>
      </c>
      <c r="E79" s="10" t="s">
        <v>192</v>
      </c>
      <c r="F79" s="20">
        <v>45043</v>
      </c>
      <c r="G79" s="21"/>
      <c r="H79" s="22"/>
      <c r="I79" s="10" t="s">
        <v>66</v>
      </c>
      <c r="J79" s="10" t="s">
        <v>233</v>
      </c>
      <c r="K79" s="17" t="s">
        <v>283</v>
      </c>
      <c r="L79" s="10"/>
      <c r="M79" s="10" t="s">
        <v>192</v>
      </c>
      <c r="N79" s="10" t="s">
        <v>236</v>
      </c>
      <c r="O79" s="10">
        <v>53343.972500000003</v>
      </c>
      <c r="P79" s="10">
        <v>0.15</v>
      </c>
      <c r="Q79" s="10">
        <v>8001.595875</v>
      </c>
      <c r="R79" s="10">
        <v>61345.568375000003</v>
      </c>
      <c r="S79" s="10">
        <v>53343.972500000003</v>
      </c>
      <c r="T79" s="10" t="s">
        <v>36</v>
      </c>
      <c r="U79" s="10" t="s">
        <v>152</v>
      </c>
      <c r="V79" s="10">
        <v>2023</v>
      </c>
    </row>
    <row r="80" spans="1:22" ht="15" customHeight="1" x14ac:dyDescent="0.35">
      <c r="A80" s="11">
        <v>79</v>
      </c>
      <c r="B80" s="10" t="s">
        <v>30</v>
      </c>
      <c r="C80" s="19" t="s">
        <v>237</v>
      </c>
      <c r="D80" s="10" t="s">
        <v>32</v>
      </c>
      <c r="E80" s="10" t="s">
        <v>195</v>
      </c>
      <c r="F80" s="20">
        <v>45062</v>
      </c>
      <c r="G80" s="21"/>
      <c r="H80" s="22"/>
      <c r="I80" s="10" t="s">
        <v>40</v>
      </c>
      <c r="J80" s="10" t="s">
        <v>47</v>
      </c>
      <c r="K80" s="17" t="s">
        <v>283</v>
      </c>
      <c r="L80" s="10"/>
      <c r="M80" s="10" t="s">
        <v>195</v>
      </c>
      <c r="N80" s="10" t="s">
        <v>238</v>
      </c>
      <c r="O80" s="10">
        <v>5504.8763521499995</v>
      </c>
      <c r="P80" s="10">
        <v>0.15</v>
      </c>
      <c r="Q80" s="10">
        <v>825.73145282250005</v>
      </c>
      <c r="R80" s="10">
        <v>6330.6078049725002</v>
      </c>
      <c r="S80" s="10">
        <v>5504.8763521499995</v>
      </c>
      <c r="T80" s="10" t="s">
        <v>36</v>
      </c>
      <c r="U80" s="10" t="s">
        <v>37</v>
      </c>
      <c r="V80" s="10">
        <v>2023</v>
      </c>
    </row>
    <row r="81" spans="1:22" ht="15" customHeight="1" x14ac:dyDescent="0.35">
      <c r="A81" s="11">
        <v>80</v>
      </c>
      <c r="B81" s="10" t="s">
        <v>30</v>
      </c>
      <c r="C81" s="19" t="s">
        <v>239</v>
      </c>
      <c r="D81" s="10" t="s">
        <v>32</v>
      </c>
      <c r="E81" s="10" t="s">
        <v>192</v>
      </c>
      <c r="F81" s="20">
        <v>45062</v>
      </c>
      <c r="G81" s="21"/>
      <c r="H81" s="22"/>
      <c r="I81" s="10" t="s">
        <v>34</v>
      </c>
      <c r="J81" s="10" t="s">
        <v>35</v>
      </c>
      <c r="K81" s="17" t="s">
        <v>283</v>
      </c>
      <c r="L81" s="10"/>
      <c r="M81" s="10" t="s">
        <v>192</v>
      </c>
      <c r="N81" s="10" t="s">
        <v>240</v>
      </c>
      <c r="O81" s="10">
        <v>4658.4769999999999</v>
      </c>
      <c r="P81" s="10">
        <v>0.15</v>
      </c>
      <c r="Q81" s="10">
        <v>698.77155000000005</v>
      </c>
      <c r="R81" s="10">
        <v>5357.2485500000003</v>
      </c>
      <c r="S81" s="10">
        <v>4658.4769999999999</v>
      </c>
      <c r="T81" s="10" t="s">
        <v>36</v>
      </c>
      <c r="U81" s="10" t="s">
        <v>102</v>
      </c>
      <c r="V81" s="10">
        <v>2023</v>
      </c>
    </row>
    <row r="82" spans="1:22" ht="15" customHeight="1" x14ac:dyDescent="0.35">
      <c r="A82" s="11">
        <v>81</v>
      </c>
      <c r="B82" s="10" t="s">
        <v>30</v>
      </c>
      <c r="C82" s="19" t="s">
        <v>241</v>
      </c>
      <c r="D82" s="10" t="s">
        <v>32</v>
      </c>
      <c r="E82" s="10" t="s">
        <v>192</v>
      </c>
      <c r="F82" s="20">
        <v>45062</v>
      </c>
      <c r="G82" s="21"/>
      <c r="H82" s="22"/>
      <c r="I82" s="10" t="s">
        <v>111</v>
      </c>
      <c r="J82" s="10" t="s">
        <v>112</v>
      </c>
      <c r="K82" s="17" t="s">
        <v>283</v>
      </c>
      <c r="L82" s="10"/>
      <c r="M82" s="10" t="s">
        <v>192</v>
      </c>
      <c r="N82" s="10" t="s">
        <v>242</v>
      </c>
      <c r="O82" s="10">
        <v>739.6</v>
      </c>
      <c r="P82" s="10">
        <v>0.15</v>
      </c>
      <c r="Q82" s="10">
        <v>110.94</v>
      </c>
      <c r="R82" s="10">
        <v>850.54</v>
      </c>
      <c r="S82" s="10">
        <v>739.6</v>
      </c>
      <c r="T82" s="10" t="s">
        <v>36</v>
      </c>
      <c r="U82" s="10" t="s">
        <v>130</v>
      </c>
      <c r="V82" s="10">
        <v>2023</v>
      </c>
    </row>
    <row r="83" spans="1:22" ht="15" customHeight="1" x14ac:dyDescent="0.35">
      <c r="A83" s="11">
        <v>82</v>
      </c>
      <c r="B83" s="10" t="s">
        <v>30</v>
      </c>
      <c r="C83" s="19" t="s">
        <v>243</v>
      </c>
      <c r="D83" s="10" t="s">
        <v>32</v>
      </c>
      <c r="E83" s="10" t="s">
        <v>192</v>
      </c>
      <c r="F83" s="20">
        <v>45090</v>
      </c>
      <c r="G83" s="21"/>
      <c r="H83" s="22"/>
      <c r="I83" s="10" t="s">
        <v>34</v>
      </c>
      <c r="J83" s="10" t="s">
        <v>35</v>
      </c>
      <c r="K83" s="17" t="s">
        <v>283</v>
      </c>
      <c r="L83" s="10"/>
      <c r="M83" s="10" t="s">
        <v>192</v>
      </c>
      <c r="N83" s="10" t="s">
        <v>244</v>
      </c>
      <c r="O83" s="10">
        <v>5315.61</v>
      </c>
      <c r="P83" s="10">
        <v>0.15</v>
      </c>
      <c r="Q83" s="10">
        <v>797.35</v>
      </c>
      <c r="R83" s="10">
        <v>6112.96</v>
      </c>
      <c r="S83" s="10">
        <f>O83</f>
        <v>5315.61</v>
      </c>
      <c r="T83" s="10" t="s">
        <v>36</v>
      </c>
      <c r="U83" s="10" t="s">
        <v>152</v>
      </c>
      <c r="V83" s="10">
        <v>2023</v>
      </c>
    </row>
    <row r="84" spans="1:22" ht="15" customHeight="1" x14ac:dyDescent="0.35">
      <c r="A84" s="11">
        <v>83</v>
      </c>
      <c r="B84" s="10" t="s">
        <v>30</v>
      </c>
      <c r="C84" s="19" t="s">
        <v>245</v>
      </c>
      <c r="D84" s="10" t="s">
        <v>32</v>
      </c>
      <c r="E84" s="10" t="s">
        <v>195</v>
      </c>
      <c r="F84" s="20">
        <v>45090</v>
      </c>
      <c r="G84" s="21"/>
      <c r="H84" s="22"/>
      <c r="I84" s="10" t="s">
        <v>40</v>
      </c>
      <c r="J84" s="10" t="s">
        <v>47</v>
      </c>
      <c r="K84" s="17" t="s">
        <v>283</v>
      </c>
      <c r="L84" s="10"/>
      <c r="M84" s="10" t="s">
        <v>195</v>
      </c>
      <c r="N84" s="10" t="s">
        <v>246</v>
      </c>
      <c r="O84" s="10">
        <v>2440.21</v>
      </c>
      <c r="P84" s="10">
        <v>0.15</v>
      </c>
      <c r="Q84" s="10">
        <v>366.03</v>
      </c>
      <c r="R84" s="10">
        <v>2806.24</v>
      </c>
      <c r="S84" s="10">
        <f t="shared" ref="S84:S85" si="0">O84</f>
        <v>2440.21</v>
      </c>
      <c r="T84" s="10" t="s">
        <v>36</v>
      </c>
      <c r="U84" s="10" t="s">
        <v>37</v>
      </c>
      <c r="V84" s="10">
        <v>2023</v>
      </c>
    </row>
    <row r="85" spans="1:22" ht="15" customHeight="1" x14ac:dyDescent="0.35">
      <c r="A85" s="11">
        <v>84</v>
      </c>
      <c r="B85" s="10" t="s">
        <v>30</v>
      </c>
      <c r="C85" s="19" t="s">
        <v>247</v>
      </c>
      <c r="D85" s="10" t="s">
        <v>32</v>
      </c>
      <c r="E85" s="10" t="s">
        <v>200</v>
      </c>
      <c r="F85" s="20">
        <v>45090</v>
      </c>
      <c r="G85" s="21"/>
      <c r="H85" s="22"/>
      <c r="I85" s="10" t="s">
        <v>40</v>
      </c>
      <c r="J85" s="10" t="s">
        <v>201</v>
      </c>
      <c r="K85" s="17" t="s">
        <v>283</v>
      </c>
      <c r="L85" s="10"/>
      <c r="M85" s="10" t="s">
        <v>200</v>
      </c>
      <c r="N85" s="10" t="s">
        <v>248</v>
      </c>
      <c r="O85" s="10">
        <v>640.37</v>
      </c>
      <c r="P85" s="10">
        <v>0.15</v>
      </c>
      <c r="Q85" s="10">
        <v>96.06</v>
      </c>
      <c r="R85" s="10">
        <v>736.43</v>
      </c>
      <c r="S85" s="10">
        <f t="shared" si="0"/>
        <v>640.37</v>
      </c>
      <c r="T85" s="10" t="s">
        <v>36</v>
      </c>
      <c r="U85" s="10" t="s">
        <v>102</v>
      </c>
      <c r="V85" s="10">
        <v>2023</v>
      </c>
    </row>
    <row r="86" spans="1:22" ht="15" customHeight="1" x14ac:dyDescent="0.35">
      <c r="A86" s="11">
        <v>85</v>
      </c>
      <c r="B86" s="10" t="s">
        <v>30</v>
      </c>
      <c r="C86" s="19" t="s">
        <v>249</v>
      </c>
      <c r="D86" s="10" t="s">
        <v>32</v>
      </c>
      <c r="E86" s="10" t="s">
        <v>200</v>
      </c>
      <c r="F86" s="20">
        <v>45126</v>
      </c>
      <c r="G86" s="21"/>
      <c r="H86" s="22"/>
      <c r="I86" s="10" t="s">
        <v>40</v>
      </c>
      <c r="J86" s="10" t="s">
        <v>201</v>
      </c>
      <c r="K86" s="17" t="s">
        <v>283</v>
      </c>
      <c r="L86" s="10"/>
      <c r="M86" s="10" t="s">
        <v>200</v>
      </c>
      <c r="N86" s="10" t="s">
        <v>250</v>
      </c>
      <c r="O86" s="10">
        <v>288.16701119999999</v>
      </c>
      <c r="P86" s="10">
        <v>0.15</v>
      </c>
      <c r="Q86" s="10">
        <v>43.22505168</v>
      </c>
      <c r="R86" s="10">
        <v>331.39206288000003</v>
      </c>
      <c r="S86" s="10">
        <f>O86</f>
        <v>288.16701119999999</v>
      </c>
      <c r="T86" s="10" t="s">
        <v>36</v>
      </c>
      <c r="U86" s="10" t="s">
        <v>130</v>
      </c>
      <c r="V86" s="10">
        <v>2023</v>
      </c>
    </row>
    <row r="87" spans="1:22" ht="15" customHeight="1" x14ac:dyDescent="0.35">
      <c r="A87" s="11">
        <v>86</v>
      </c>
      <c r="B87" s="10" t="s">
        <v>30</v>
      </c>
      <c r="C87" s="19" t="s">
        <v>251</v>
      </c>
      <c r="D87" s="10" t="s">
        <v>32</v>
      </c>
      <c r="E87" s="10" t="s">
        <v>195</v>
      </c>
      <c r="F87" s="20">
        <v>45126</v>
      </c>
      <c r="G87" s="21"/>
      <c r="H87" s="22"/>
      <c r="I87" s="10" t="s">
        <v>40</v>
      </c>
      <c r="J87" s="10" t="s">
        <v>47</v>
      </c>
      <c r="K87" s="17" t="s">
        <v>283</v>
      </c>
      <c r="L87" s="10"/>
      <c r="M87" s="10" t="s">
        <v>195</v>
      </c>
      <c r="N87" s="10" t="s">
        <v>252</v>
      </c>
      <c r="O87" s="10">
        <v>2515.5409398000002</v>
      </c>
      <c r="P87" s="10">
        <v>0.15</v>
      </c>
      <c r="Q87" s="10">
        <v>377.33114096999998</v>
      </c>
      <c r="R87" s="10">
        <v>2892.8720807700001</v>
      </c>
      <c r="S87" s="10">
        <f t="shared" ref="S87:S97" si="1">O87</f>
        <v>2515.5409398000002</v>
      </c>
      <c r="T87" s="10" t="s">
        <v>36</v>
      </c>
      <c r="U87" s="10" t="s">
        <v>152</v>
      </c>
      <c r="V87" s="10">
        <v>2023</v>
      </c>
    </row>
    <row r="88" spans="1:22" ht="15" customHeight="1" x14ac:dyDescent="0.35">
      <c r="A88" s="11">
        <v>87</v>
      </c>
      <c r="B88" s="10" t="s">
        <v>30</v>
      </c>
      <c r="C88" s="19" t="s">
        <v>253</v>
      </c>
      <c r="D88" s="10" t="s">
        <v>32</v>
      </c>
      <c r="E88" s="10" t="s">
        <v>192</v>
      </c>
      <c r="F88" s="20">
        <v>45126</v>
      </c>
      <c r="G88" s="21"/>
      <c r="H88" s="22"/>
      <c r="I88" s="10" t="s">
        <v>34</v>
      </c>
      <c r="J88" s="10" t="s">
        <v>35</v>
      </c>
      <c r="K88" s="17" t="s">
        <v>283</v>
      </c>
      <c r="L88" s="10"/>
      <c r="M88" s="10" t="s">
        <v>192</v>
      </c>
      <c r="N88" s="10" t="s">
        <v>254</v>
      </c>
      <c r="O88" s="10">
        <v>5480</v>
      </c>
      <c r="P88" s="10">
        <v>0.15</v>
      </c>
      <c r="Q88" s="10">
        <v>822</v>
      </c>
      <c r="R88" s="10">
        <v>6302</v>
      </c>
      <c r="S88" s="10">
        <f t="shared" si="1"/>
        <v>5480</v>
      </c>
      <c r="T88" s="10" t="s">
        <v>36</v>
      </c>
      <c r="U88" s="10" t="s">
        <v>37</v>
      </c>
      <c r="V88" s="10">
        <v>2023</v>
      </c>
    </row>
    <row r="89" spans="1:22" ht="15" customHeight="1" x14ac:dyDescent="0.35">
      <c r="A89" s="11">
        <v>88</v>
      </c>
      <c r="B89" s="10" t="s">
        <v>30</v>
      </c>
      <c r="C89" s="19" t="s">
        <v>255</v>
      </c>
      <c r="D89" s="10" t="s">
        <v>32</v>
      </c>
      <c r="E89" s="10" t="s">
        <v>46</v>
      </c>
      <c r="F89" s="20">
        <v>45126</v>
      </c>
      <c r="G89" s="21"/>
      <c r="H89" s="22"/>
      <c r="I89" s="10" t="s">
        <v>111</v>
      </c>
      <c r="J89" s="10" t="s">
        <v>112</v>
      </c>
      <c r="K89" s="17" t="s">
        <v>283</v>
      </c>
      <c r="L89" s="10"/>
      <c r="M89" s="10" t="s">
        <v>46</v>
      </c>
      <c r="N89" s="10" t="s">
        <v>256</v>
      </c>
      <c r="O89" s="10">
        <v>839.36</v>
      </c>
      <c r="P89" s="10">
        <v>0.15</v>
      </c>
      <c r="Q89" s="10">
        <v>125.904</v>
      </c>
      <c r="R89" s="10">
        <v>965.26400000000001</v>
      </c>
      <c r="S89" s="10">
        <f t="shared" si="1"/>
        <v>839.36</v>
      </c>
      <c r="T89" s="10" t="s">
        <v>36</v>
      </c>
      <c r="U89" s="10" t="s">
        <v>102</v>
      </c>
      <c r="V89" s="10">
        <v>2023</v>
      </c>
    </row>
    <row r="90" spans="1:22" ht="15" customHeight="1" x14ac:dyDescent="0.35">
      <c r="A90" s="11">
        <v>89</v>
      </c>
      <c r="B90" s="10" t="s">
        <v>30</v>
      </c>
      <c r="C90" s="19" t="s">
        <v>257</v>
      </c>
      <c r="D90" s="10" t="s">
        <v>32</v>
      </c>
      <c r="E90" s="10" t="s">
        <v>192</v>
      </c>
      <c r="F90" s="20">
        <v>45155</v>
      </c>
      <c r="G90" s="21"/>
      <c r="H90" s="22"/>
      <c r="I90" s="10" t="s">
        <v>34</v>
      </c>
      <c r="J90" s="10" t="s">
        <v>35</v>
      </c>
      <c r="K90" s="17" t="s">
        <v>283</v>
      </c>
      <c r="L90" s="10"/>
      <c r="M90" s="10" t="s">
        <v>192</v>
      </c>
      <c r="N90" s="10" t="s">
        <v>258</v>
      </c>
      <c r="O90" s="10">
        <v>2501.386</v>
      </c>
      <c r="P90" s="10">
        <v>0.15</v>
      </c>
      <c r="Q90" s="10">
        <v>375.2079</v>
      </c>
      <c r="R90" s="10">
        <v>2876.5938999999998</v>
      </c>
      <c r="S90" s="10">
        <f t="shared" si="1"/>
        <v>2501.386</v>
      </c>
      <c r="T90" s="10" t="s">
        <v>36</v>
      </c>
      <c r="U90" s="10" t="s">
        <v>130</v>
      </c>
      <c r="V90" s="10">
        <v>2023</v>
      </c>
    </row>
    <row r="91" spans="1:22" ht="15" customHeight="1" x14ac:dyDescent="0.35">
      <c r="A91" s="11">
        <v>90</v>
      </c>
      <c r="B91" s="10" t="s">
        <v>30</v>
      </c>
      <c r="C91" s="19" t="s">
        <v>259</v>
      </c>
      <c r="D91" s="10" t="s">
        <v>32</v>
      </c>
      <c r="E91" s="10" t="s">
        <v>195</v>
      </c>
      <c r="F91" s="20">
        <v>45155</v>
      </c>
      <c r="G91" s="21"/>
      <c r="H91" s="22"/>
      <c r="I91" s="10" t="s">
        <v>40</v>
      </c>
      <c r="J91" s="10" t="s">
        <v>47</v>
      </c>
      <c r="K91" s="17" t="s">
        <v>283</v>
      </c>
      <c r="L91" s="10"/>
      <c r="M91" s="10" t="s">
        <v>195</v>
      </c>
      <c r="N91" s="10" t="s">
        <v>260</v>
      </c>
      <c r="O91" s="10">
        <v>4251.0742281000003</v>
      </c>
      <c r="P91" s="10">
        <v>0.15</v>
      </c>
      <c r="Q91" s="10">
        <v>637.66113421499995</v>
      </c>
      <c r="R91" s="10">
        <v>4888.7353623150002</v>
      </c>
      <c r="S91" s="10">
        <f t="shared" si="1"/>
        <v>4251.0742281000003</v>
      </c>
      <c r="T91" s="10" t="s">
        <v>36</v>
      </c>
      <c r="U91" s="10" t="s">
        <v>152</v>
      </c>
      <c r="V91" s="10">
        <v>2023</v>
      </c>
    </row>
    <row r="92" spans="1:22" ht="15" customHeight="1" x14ac:dyDescent="0.35">
      <c r="A92" s="11">
        <v>91</v>
      </c>
      <c r="B92" s="10" t="s">
        <v>30</v>
      </c>
      <c r="C92" s="19" t="s">
        <v>261</v>
      </c>
      <c r="D92" s="10" t="s">
        <v>32</v>
      </c>
      <c r="E92" s="10" t="s">
        <v>192</v>
      </c>
      <c r="F92" s="20">
        <v>45188</v>
      </c>
      <c r="G92" s="21"/>
      <c r="H92" s="22"/>
      <c r="I92" s="10" t="s">
        <v>34</v>
      </c>
      <c r="J92" s="10" t="s">
        <v>35</v>
      </c>
      <c r="K92" s="17" t="s">
        <v>283</v>
      </c>
      <c r="L92" s="10"/>
      <c r="M92" s="10" t="s">
        <v>192</v>
      </c>
      <c r="N92" s="10" t="s">
        <v>262</v>
      </c>
      <c r="O92" s="10">
        <v>963.89</v>
      </c>
      <c r="P92" s="10">
        <v>0.15</v>
      </c>
      <c r="Q92" s="10">
        <v>144.58000000000001</v>
      </c>
      <c r="R92" s="10">
        <v>1108.47</v>
      </c>
      <c r="S92" s="10">
        <f t="shared" si="1"/>
        <v>963.89</v>
      </c>
      <c r="T92" s="10" t="s">
        <v>36</v>
      </c>
      <c r="U92" s="10" t="s">
        <v>37</v>
      </c>
      <c r="V92" s="10">
        <v>2023</v>
      </c>
    </row>
    <row r="93" spans="1:22" ht="15" customHeight="1" x14ac:dyDescent="0.35">
      <c r="A93" s="11">
        <v>92</v>
      </c>
      <c r="B93" s="10" t="s">
        <v>30</v>
      </c>
      <c r="C93" s="19" t="s">
        <v>263</v>
      </c>
      <c r="D93" s="10" t="s">
        <v>32</v>
      </c>
      <c r="E93" s="10" t="s">
        <v>195</v>
      </c>
      <c r="F93" s="20">
        <v>45188</v>
      </c>
      <c r="G93" s="21"/>
      <c r="H93" s="22"/>
      <c r="I93" s="10" t="s">
        <v>40</v>
      </c>
      <c r="J93" s="10" t="s">
        <v>47</v>
      </c>
      <c r="K93" s="17" t="s">
        <v>283</v>
      </c>
      <c r="L93" s="10"/>
      <c r="M93" s="10" t="s">
        <v>195</v>
      </c>
      <c r="N93" s="10" t="s">
        <v>264</v>
      </c>
      <c r="O93" s="10">
        <v>2218.1799999999998</v>
      </c>
      <c r="P93" s="10">
        <v>0.15</v>
      </c>
      <c r="Q93" s="10">
        <v>332.72</v>
      </c>
      <c r="R93" s="10">
        <v>2550.9</v>
      </c>
      <c r="S93" s="10">
        <f t="shared" si="1"/>
        <v>2218.1799999999998</v>
      </c>
      <c r="T93" s="10" t="s">
        <v>36</v>
      </c>
      <c r="U93" s="10" t="s">
        <v>102</v>
      </c>
      <c r="V93" s="10">
        <v>2023</v>
      </c>
    </row>
    <row r="94" spans="1:22" ht="15" customHeight="1" x14ac:dyDescent="0.35">
      <c r="A94" s="11">
        <v>93</v>
      </c>
      <c r="B94" s="10" t="s">
        <v>30</v>
      </c>
      <c r="C94" s="19" t="s">
        <v>265</v>
      </c>
      <c r="D94" s="10" t="s">
        <v>32</v>
      </c>
      <c r="E94" s="10" t="s">
        <v>46</v>
      </c>
      <c r="F94" s="20">
        <v>45188</v>
      </c>
      <c r="G94" s="21"/>
      <c r="H94" s="22"/>
      <c r="I94" s="10" t="s">
        <v>111</v>
      </c>
      <c r="J94" s="10" t="s">
        <v>112</v>
      </c>
      <c r="K94" s="17" t="s">
        <v>283</v>
      </c>
      <c r="L94" s="10"/>
      <c r="M94" s="10" t="s">
        <v>46</v>
      </c>
      <c r="N94" s="10" t="s">
        <v>266</v>
      </c>
      <c r="O94" s="10">
        <v>426.56</v>
      </c>
      <c r="P94" s="10">
        <v>0.15</v>
      </c>
      <c r="Q94" s="10">
        <v>63.984000000000002</v>
      </c>
      <c r="R94" s="10">
        <v>490.54399999999998</v>
      </c>
      <c r="S94" s="10">
        <f t="shared" si="1"/>
        <v>426.56</v>
      </c>
      <c r="T94" s="10" t="s">
        <v>36</v>
      </c>
      <c r="U94" s="10" t="s">
        <v>130</v>
      </c>
      <c r="V94" s="10">
        <v>2023</v>
      </c>
    </row>
    <row r="95" spans="1:22" ht="15" customHeight="1" x14ac:dyDescent="0.35">
      <c r="A95" s="11">
        <v>94</v>
      </c>
      <c r="B95" s="10" t="s">
        <v>30</v>
      </c>
      <c r="C95" s="19" t="s">
        <v>267</v>
      </c>
      <c r="D95" s="10" t="s">
        <v>32</v>
      </c>
      <c r="E95" s="10" t="s">
        <v>192</v>
      </c>
      <c r="F95" s="20">
        <v>45218</v>
      </c>
      <c r="G95" s="21"/>
      <c r="H95" s="22"/>
      <c r="I95" s="10" t="s">
        <v>40</v>
      </c>
      <c r="J95" s="10" t="s">
        <v>201</v>
      </c>
      <c r="K95" s="17" t="s">
        <v>283</v>
      </c>
      <c r="L95" s="10"/>
      <c r="M95" s="10" t="s">
        <v>192</v>
      </c>
      <c r="N95" s="10" t="s">
        <v>268</v>
      </c>
      <c r="O95" s="10">
        <v>1468.96</v>
      </c>
      <c r="P95" s="10">
        <v>0.15</v>
      </c>
      <c r="Q95" s="10">
        <v>220.34338360000001</v>
      </c>
      <c r="R95" s="10">
        <v>1689.3033836</v>
      </c>
      <c r="S95" s="10">
        <f t="shared" si="1"/>
        <v>1468.96</v>
      </c>
      <c r="T95" s="10" t="s">
        <v>36</v>
      </c>
      <c r="U95" s="10" t="s">
        <v>152</v>
      </c>
      <c r="V95" s="10">
        <v>2023</v>
      </c>
    </row>
    <row r="96" spans="1:22" ht="15" customHeight="1" x14ac:dyDescent="0.35">
      <c r="A96" s="11">
        <v>95</v>
      </c>
      <c r="B96" s="10" t="s">
        <v>30</v>
      </c>
      <c r="C96" s="19" t="s">
        <v>269</v>
      </c>
      <c r="D96" s="10" t="s">
        <v>32</v>
      </c>
      <c r="E96" s="10" t="str">
        <f>E95</f>
        <v>Chanda-7</v>
      </c>
      <c r="F96" s="20">
        <v>45218</v>
      </c>
      <c r="G96" s="21"/>
      <c r="H96" s="22"/>
      <c r="I96" s="10" t="s">
        <v>66</v>
      </c>
      <c r="J96" s="10" t="s">
        <v>270</v>
      </c>
      <c r="K96" s="17" t="s">
        <v>283</v>
      </c>
      <c r="L96" s="10"/>
      <c r="M96" s="10" t="str">
        <f>E96</f>
        <v>Chanda-7</v>
      </c>
      <c r="N96" s="10" t="s">
        <v>271</v>
      </c>
      <c r="O96" s="23">
        <v>28348.5111</v>
      </c>
      <c r="P96" s="10">
        <v>0.15</v>
      </c>
      <c r="Q96" s="10">
        <v>4252.2766650000003</v>
      </c>
      <c r="R96" s="10">
        <v>32600.787765000001</v>
      </c>
      <c r="S96" s="10">
        <f t="shared" si="1"/>
        <v>28348.5111</v>
      </c>
      <c r="T96" s="10" t="s">
        <v>36</v>
      </c>
      <c r="U96" s="10" t="s">
        <v>37</v>
      </c>
      <c r="V96" s="10">
        <v>2023</v>
      </c>
    </row>
    <row r="97" spans="1:22" ht="15" customHeight="1" x14ac:dyDescent="0.35">
      <c r="A97" s="11">
        <v>96</v>
      </c>
      <c r="B97" s="10" t="s">
        <v>30</v>
      </c>
      <c r="C97" s="19" t="s">
        <v>275</v>
      </c>
      <c r="D97" s="10" t="s">
        <v>32</v>
      </c>
      <c r="E97" s="10" t="s">
        <v>326</v>
      </c>
      <c r="F97" s="20">
        <v>45261</v>
      </c>
      <c r="G97" s="21"/>
      <c r="H97" s="22"/>
      <c r="I97" s="10" t="s">
        <v>66</v>
      </c>
      <c r="J97" s="10" t="s">
        <v>276</v>
      </c>
      <c r="K97" s="17" t="s">
        <v>283</v>
      </c>
      <c r="L97" s="10"/>
      <c r="M97" s="10" t="str">
        <f>E97</f>
        <v xml:space="preserve">Nashpa-4 Outside waste pit </v>
      </c>
      <c r="N97" s="10" t="s">
        <v>277</v>
      </c>
      <c r="O97" s="23">
        <v>291247.59999999998</v>
      </c>
      <c r="P97" s="10">
        <v>0.15</v>
      </c>
      <c r="Q97" s="10">
        <v>43687.14</v>
      </c>
      <c r="R97" s="10">
        <v>334934.74</v>
      </c>
      <c r="S97" s="10">
        <f t="shared" si="1"/>
        <v>291247.59999999998</v>
      </c>
      <c r="T97" s="10" t="s">
        <v>36</v>
      </c>
      <c r="U97" s="10" t="s">
        <v>102</v>
      </c>
      <c r="V97" s="10">
        <v>2023</v>
      </c>
    </row>
    <row r="98" spans="1:22" ht="13" x14ac:dyDescent="0.3">
      <c r="A98" s="3"/>
      <c r="B98" s="1"/>
      <c r="C98" s="1"/>
      <c r="D98" s="1"/>
      <c r="E98" s="1"/>
      <c r="F98" s="8"/>
      <c r="G98" s="9"/>
      <c r="H98" s="1"/>
      <c r="I98" s="1"/>
      <c r="J98" s="1"/>
      <c r="K98" s="1"/>
      <c r="L98" s="1"/>
      <c r="M98" s="1"/>
      <c r="N98" s="1" t="s">
        <v>318</v>
      </c>
      <c r="O98" s="2">
        <f>SUM(O2:O97)</f>
        <v>1387710.4200312495</v>
      </c>
      <c r="P98" s="1"/>
      <c r="Q98" s="2">
        <f>SUM(Q2:Q97)</f>
        <v>208666.2815882875</v>
      </c>
      <c r="R98" s="2">
        <f>SUM(R2:R97)</f>
        <v>1596376.7016195371</v>
      </c>
      <c r="S98" s="2">
        <f>SUM(S2:S97)</f>
        <v>1387710.4200312495</v>
      </c>
      <c r="T98" s="1"/>
      <c r="U98" s="1"/>
      <c r="V98" s="1"/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6"/>
  <sheetViews>
    <sheetView topLeftCell="M1" zoomScaleNormal="100" workbookViewId="0">
      <selection activeCell="G8" sqref="G8"/>
    </sheetView>
  </sheetViews>
  <sheetFormatPr defaultColWidth="8.6328125" defaultRowHeight="12.5" x14ac:dyDescent="0.25"/>
  <cols>
    <col min="1" max="1" width="7" customWidth="1"/>
    <col min="2" max="2" width="14" customWidth="1"/>
    <col min="3" max="3" width="16" customWidth="1"/>
    <col min="4" max="4" width="38" customWidth="1"/>
    <col min="5" max="5" width="17" customWidth="1"/>
    <col min="6" max="6" width="13.54296875" style="5" customWidth="1"/>
    <col min="7" max="8" width="14" customWidth="1"/>
    <col min="9" max="9" width="16" customWidth="1"/>
    <col min="10" max="10" width="18" customWidth="1"/>
    <col min="11" max="11" width="10" customWidth="1"/>
    <col min="12" max="12" width="8" customWidth="1"/>
    <col min="13" max="13" width="32" customWidth="1"/>
    <col min="14" max="14" width="52" customWidth="1"/>
    <col min="15" max="15" width="16" customWidth="1"/>
    <col min="16" max="16" width="10" customWidth="1"/>
    <col min="17" max="17" width="14" customWidth="1"/>
    <col min="18" max="18" width="17" customWidth="1"/>
    <col min="19" max="19" width="15" customWidth="1"/>
    <col min="20" max="20" width="17" customWidth="1"/>
    <col min="21" max="21" width="9" customWidth="1"/>
    <col min="22" max="22" width="8" customWidth="1"/>
  </cols>
  <sheetData>
    <row r="1" spans="1:22" ht="30" customHeight="1" x14ac:dyDescent="0.25">
      <c r="A1" s="24" t="s">
        <v>9</v>
      </c>
      <c r="B1" s="24" t="s">
        <v>10</v>
      </c>
      <c r="C1" s="24" t="s">
        <v>0</v>
      </c>
      <c r="D1" s="24" t="s">
        <v>11</v>
      </c>
      <c r="E1" s="24" t="s">
        <v>12</v>
      </c>
      <c r="F1" s="34" t="s">
        <v>13</v>
      </c>
      <c r="G1" s="24" t="s">
        <v>14</v>
      </c>
      <c r="H1" s="24" t="s">
        <v>15</v>
      </c>
      <c r="I1" s="24" t="s">
        <v>16</v>
      </c>
      <c r="J1" s="24" t="s">
        <v>17</v>
      </c>
      <c r="K1" s="24" t="s">
        <v>18</v>
      </c>
      <c r="L1" s="24" t="s">
        <v>19</v>
      </c>
      <c r="M1" s="24" t="s">
        <v>20</v>
      </c>
      <c r="N1" s="24" t="s">
        <v>21</v>
      </c>
      <c r="O1" s="24" t="s">
        <v>22</v>
      </c>
      <c r="P1" s="24" t="s">
        <v>23</v>
      </c>
      <c r="Q1" s="24" t="s">
        <v>24</v>
      </c>
      <c r="R1" s="24" t="s">
        <v>25</v>
      </c>
      <c r="S1" s="24" t="s">
        <v>26</v>
      </c>
      <c r="T1" s="24" t="s">
        <v>27</v>
      </c>
      <c r="U1" s="24" t="s">
        <v>28</v>
      </c>
      <c r="V1" s="24" t="s">
        <v>29</v>
      </c>
    </row>
    <row r="2" spans="1:22" x14ac:dyDescent="0.25">
      <c r="A2" s="25">
        <v>1</v>
      </c>
      <c r="B2" s="26" t="s">
        <v>30</v>
      </c>
      <c r="C2" s="26" t="s">
        <v>327</v>
      </c>
      <c r="D2" s="26" t="s">
        <v>272</v>
      </c>
      <c r="E2" s="26" t="s">
        <v>273</v>
      </c>
      <c r="F2" s="35">
        <v>45231</v>
      </c>
      <c r="G2" s="26"/>
      <c r="H2" s="26"/>
      <c r="I2" s="26" t="s">
        <v>40</v>
      </c>
      <c r="J2" s="26" t="s">
        <v>47</v>
      </c>
      <c r="K2" s="26" t="s">
        <v>283</v>
      </c>
      <c r="L2" s="26"/>
      <c r="M2" s="26" t="s">
        <v>273</v>
      </c>
      <c r="N2" s="26" t="s">
        <v>328</v>
      </c>
      <c r="O2" s="28">
        <v>3875.5610999999999</v>
      </c>
      <c r="P2" s="29">
        <f t="shared" ref="P2:P65" si="0">IF(O2=0,"",Q2/O2)</f>
        <v>0.15000000000000005</v>
      </c>
      <c r="Q2" s="28">
        <f t="shared" ref="Q2:Q65" si="1">R2-O2</f>
        <v>581.33416500000021</v>
      </c>
      <c r="R2" s="28">
        <v>4456.8952650000001</v>
      </c>
      <c r="S2" s="28">
        <f t="shared" ref="S2:S65" si="2">IF(T2="Cleared",O2,0)</f>
        <v>3875.5610999999999</v>
      </c>
      <c r="T2" s="26" t="s">
        <v>36</v>
      </c>
      <c r="U2" s="26" t="s">
        <v>130</v>
      </c>
      <c r="V2" s="30">
        <v>2023</v>
      </c>
    </row>
    <row r="3" spans="1:22" x14ac:dyDescent="0.25">
      <c r="A3" s="25">
        <v>2</v>
      </c>
      <c r="B3" s="26" t="s">
        <v>30</v>
      </c>
      <c r="C3" s="26" t="s">
        <v>329</v>
      </c>
      <c r="D3" s="26" t="s">
        <v>272</v>
      </c>
      <c r="E3" s="26" t="s">
        <v>273</v>
      </c>
      <c r="F3" s="35">
        <v>45231</v>
      </c>
      <c r="G3" s="26"/>
      <c r="H3" s="26"/>
      <c r="I3" s="26" t="s">
        <v>40</v>
      </c>
      <c r="J3" s="26" t="s">
        <v>201</v>
      </c>
      <c r="K3" s="26" t="s">
        <v>283</v>
      </c>
      <c r="L3" s="26"/>
      <c r="M3" s="26" t="s">
        <v>274</v>
      </c>
      <c r="N3" s="26" t="s">
        <v>330</v>
      </c>
      <c r="O3" s="28">
        <v>2201.15</v>
      </c>
      <c r="P3" s="29">
        <f t="shared" si="0"/>
        <v>0.15000000000000005</v>
      </c>
      <c r="Q3" s="28">
        <f t="shared" si="1"/>
        <v>330.17250000000013</v>
      </c>
      <c r="R3" s="28">
        <v>2531.3225000000002</v>
      </c>
      <c r="S3" s="28">
        <f t="shared" si="2"/>
        <v>2201.15</v>
      </c>
      <c r="T3" s="26" t="s">
        <v>36</v>
      </c>
      <c r="U3" s="26" t="s">
        <v>130</v>
      </c>
      <c r="V3" s="30">
        <v>2023</v>
      </c>
    </row>
    <row r="4" spans="1:22" x14ac:dyDescent="0.25">
      <c r="A4" s="25">
        <v>3</v>
      </c>
      <c r="B4" s="26" t="s">
        <v>30</v>
      </c>
      <c r="C4" s="26" t="s">
        <v>331</v>
      </c>
      <c r="D4" s="26" t="s">
        <v>272</v>
      </c>
      <c r="E4" s="26" t="s">
        <v>273</v>
      </c>
      <c r="F4" s="35">
        <v>45258</v>
      </c>
      <c r="G4" s="26"/>
      <c r="H4" s="26"/>
      <c r="I4" s="26" t="s">
        <v>40</v>
      </c>
      <c r="J4" s="26" t="s">
        <v>47</v>
      </c>
      <c r="K4" s="26" t="s">
        <v>283</v>
      </c>
      <c r="L4" s="26"/>
      <c r="M4" s="26" t="s">
        <v>273</v>
      </c>
      <c r="N4" s="26" t="s">
        <v>332</v>
      </c>
      <c r="O4" s="28">
        <v>5743.39</v>
      </c>
      <c r="P4" s="29">
        <f t="shared" si="0"/>
        <v>0.15000026116979681</v>
      </c>
      <c r="Q4" s="28">
        <f t="shared" si="1"/>
        <v>861.50999999999931</v>
      </c>
      <c r="R4" s="28">
        <v>6604.9</v>
      </c>
      <c r="S4" s="28">
        <f t="shared" si="2"/>
        <v>5743.39</v>
      </c>
      <c r="T4" s="26" t="s">
        <v>36</v>
      </c>
      <c r="U4" s="26" t="s">
        <v>130</v>
      </c>
      <c r="V4" s="30">
        <v>2023</v>
      </c>
    </row>
    <row r="5" spans="1:22" x14ac:dyDescent="0.25">
      <c r="A5" s="25">
        <v>4</v>
      </c>
      <c r="B5" s="26" t="s">
        <v>30</v>
      </c>
      <c r="C5" s="26" t="s">
        <v>333</v>
      </c>
      <c r="D5" s="26" t="s">
        <v>272</v>
      </c>
      <c r="E5" s="26" t="s">
        <v>273</v>
      </c>
      <c r="F5" s="35">
        <v>45275</v>
      </c>
      <c r="G5" s="26"/>
      <c r="H5" s="26"/>
      <c r="I5" s="26" t="s">
        <v>40</v>
      </c>
      <c r="J5" s="26" t="s">
        <v>47</v>
      </c>
      <c r="K5" s="26" t="s">
        <v>283</v>
      </c>
      <c r="L5" s="26"/>
      <c r="M5" s="26" t="s">
        <v>273</v>
      </c>
      <c r="N5" s="26" t="s">
        <v>334</v>
      </c>
      <c r="O5" s="28">
        <v>1169.9000000000001</v>
      </c>
      <c r="P5" s="29">
        <f t="shared" si="0"/>
        <v>0.14999572613043849</v>
      </c>
      <c r="Q5" s="28">
        <f t="shared" si="1"/>
        <v>175.48000000000002</v>
      </c>
      <c r="R5" s="28">
        <v>1345.38</v>
      </c>
      <c r="S5" s="28">
        <f t="shared" si="2"/>
        <v>1169.9000000000001</v>
      </c>
      <c r="T5" s="26" t="s">
        <v>36</v>
      </c>
      <c r="U5" s="26" t="s">
        <v>130</v>
      </c>
      <c r="V5" s="30">
        <v>2023</v>
      </c>
    </row>
    <row r="6" spans="1:22" x14ac:dyDescent="0.25">
      <c r="A6" s="25">
        <v>5</v>
      </c>
      <c r="B6" s="26" t="s">
        <v>30</v>
      </c>
      <c r="C6" s="26" t="s">
        <v>335</v>
      </c>
      <c r="D6" s="26" t="s">
        <v>272</v>
      </c>
      <c r="E6" s="26" t="s">
        <v>192</v>
      </c>
      <c r="F6" s="35">
        <v>45275</v>
      </c>
      <c r="G6" s="26"/>
      <c r="H6" s="26"/>
      <c r="I6" s="26" t="s">
        <v>40</v>
      </c>
      <c r="J6" s="26" t="s">
        <v>47</v>
      </c>
      <c r="K6" s="26" t="s">
        <v>283</v>
      </c>
      <c r="L6" s="26"/>
      <c r="M6" s="26" t="s">
        <v>192</v>
      </c>
      <c r="N6" s="26" t="s">
        <v>332</v>
      </c>
      <c r="O6" s="28">
        <v>440.38</v>
      </c>
      <c r="P6" s="29">
        <f t="shared" si="0"/>
        <v>0.15000681229846952</v>
      </c>
      <c r="Q6" s="28">
        <f t="shared" si="1"/>
        <v>66.06</v>
      </c>
      <c r="R6" s="28">
        <v>506.44</v>
      </c>
      <c r="S6" s="28">
        <f t="shared" si="2"/>
        <v>440.38</v>
      </c>
      <c r="T6" s="26" t="s">
        <v>36</v>
      </c>
      <c r="U6" s="26" t="s">
        <v>130</v>
      </c>
      <c r="V6" s="30">
        <v>2023</v>
      </c>
    </row>
    <row r="7" spans="1:22" x14ac:dyDescent="0.25">
      <c r="A7" s="25">
        <v>6</v>
      </c>
      <c r="B7" s="26" t="s">
        <v>30</v>
      </c>
      <c r="C7" s="26" t="s">
        <v>336</v>
      </c>
      <c r="D7" s="26" t="s">
        <v>272</v>
      </c>
      <c r="E7" s="26" t="s">
        <v>192</v>
      </c>
      <c r="F7" s="35">
        <v>45275</v>
      </c>
      <c r="G7" s="26"/>
      <c r="H7" s="26"/>
      <c r="I7" s="26" t="s">
        <v>111</v>
      </c>
      <c r="J7" s="26" t="s">
        <v>112</v>
      </c>
      <c r="K7" s="26" t="s">
        <v>283</v>
      </c>
      <c r="L7" s="26"/>
      <c r="M7" s="26" t="s">
        <v>192</v>
      </c>
      <c r="N7" s="26" t="s">
        <v>337</v>
      </c>
      <c r="O7" s="28">
        <v>636</v>
      </c>
      <c r="P7" s="29">
        <f t="shared" si="0"/>
        <v>0.14999999999999997</v>
      </c>
      <c r="Q7" s="28">
        <f t="shared" si="1"/>
        <v>95.399999999999977</v>
      </c>
      <c r="R7" s="28">
        <v>731.4</v>
      </c>
      <c r="S7" s="28">
        <f t="shared" si="2"/>
        <v>636</v>
      </c>
      <c r="T7" s="26" t="s">
        <v>36</v>
      </c>
      <c r="U7" s="26" t="s">
        <v>130</v>
      </c>
      <c r="V7" s="30">
        <v>2023</v>
      </c>
    </row>
    <row r="8" spans="1:22" x14ac:dyDescent="0.25">
      <c r="A8" s="25">
        <v>7</v>
      </c>
      <c r="B8" s="26" t="s">
        <v>30</v>
      </c>
      <c r="C8" s="26" t="s">
        <v>338</v>
      </c>
      <c r="D8" s="26" t="s">
        <v>272</v>
      </c>
      <c r="E8" s="26" t="s">
        <v>273</v>
      </c>
      <c r="F8" s="35">
        <v>45275</v>
      </c>
      <c r="G8" s="26"/>
      <c r="H8" s="26"/>
      <c r="I8" s="26" t="s">
        <v>40</v>
      </c>
      <c r="J8" s="26" t="s">
        <v>201</v>
      </c>
      <c r="K8" s="26" t="s">
        <v>283</v>
      </c>
      <c r="L8" s="26"/>
      <c r="M8" s="26" t="s">
        <v>278</v>
      </c>
      <c r="N8" s="26" t="s">
        <v>339</v>
      </c>
      <c r="O8" s="28">
        <v>709.4</v>
      </c>
      <c r="P8" s="29">
        <f t="shared" si="0"/>
        <v>0.14999999999999997</v>
      </c>
      <c r="Q8" s="28">
        <f t="shared" si="1"/>
        <v>106.40999999999997</v>
      </c>
      <c r="R8" s="28">
        <v>815.81</v>
      </c>
      <c r="S8" s="28">
        <f t="shared" si="2"/>
        <v>709.4</v>
      </c>
      <c r="T8" s="26" t="s">
        <v>36</v>
      </c>
      <c r="U8" s="26" t="s">
        <v>130</v>
      </c>
      <c r="V8" s="30">
        <v>2023</v>
      </c>
    </row>
    <row r="9" spans="1:22" x14ac:dyDescent="0.25">
      <c r="A9" s="25">
        <v>8</v>
      </c>
      <c r="B9" s="26" t="s">
        <v>30</v>
      </c>
      <c r="C9" s="26" t="s">
        <v>340</v>
      </c>
      <c r="D9" s="26" t="s">
        <v>272</v>
      </c>
      <c r="E9" s="26" t="s">
        <v>273</v>
      </c>
      <c r="F9" s="35">
        <v>45275</v>
      </c>
      <c r="G9" s="26"/>
      <c r="H9" s="26"/>
      <c r="I9" s="26" t="s">
        <v>34</v>
      </c>
      <c r="J9" s="26" t="s">
        <v>35</v>
      </c>
      <c r="K9" s="26" t="s">
        <v>283</v>
      </c>
      <c r="L9" s="26"/>
      <c r="M9" s="26" t="s">
        <v>273</v>
      </c>
      <c r="N9" s="26" t="s">
        <v>341</v>
      </c>
      <c r="O9" s="28">
        <v>9490</v>
      </c>
      <c r="P9" s="29">
        <f t="shared" si="0"/>
        <v>0.15</v>
      </c>
      <c r="Q9" s="28">
        <f t="shared" si="1"/>
        <v>1423.5</v>
      </c>
      <c r="R9" s="28">
        <v>10913.5</v>
      </c>
      <c r="S9" s="28">
        <f t="shared" si="2"/>
        <v>9490</v>
      </c>
      <c r="T9" s="26" t="s">
        <v>36</v>
      </c>
      <c r="U9" s="26" t="s">
        <v>130</v>
      </c>
      <c r="V9" s="30">
        <v>2023</v>
      </c>
    </row>
    <row r="10" spans="1:22" x14ac:dyDescent="0.25">
      <c r="A10" s="25">
        <v>9</v>
      </c>
      <c r="B10" s="26" t="s">
        <v>30</v>
      </c>
      <c r="C10" s="26" t="s">
        <v>342</v>
      </c>
      <c r="D10" s="26" t="s">
        <v>272</v>
      </c>
      <c r="E10" s="26" t="s">
        <v>192</v>
      </c>
      <c r="F10" s="35">
        <v>45359</v>
      </c>
      <c r="G10" s="26"/>
      <c r="H10" s="26"/>
      <c r="I10" s="26" t="s">
        <v>66</v>
      </c>
      <c r="J10" s="26" t="s">
        <v>276</v>
      </c>
      <c r="K10" s="26" t="s">
        <v>283</v>
      </c>
      <c r="L10" s="26"/>
      <c r="M10" s="26" t="s">
        <v>279</v>
      </c>
      <c r="N10" s="26" t="s">
        <v>343</v>
      </c>
      <c r="O10" s="28">
        <v>70520</v>
      </c>
      <c r="P10" s="29">
        <f t="shared" si="0"/>
        <v>0.15</v>
      </c>
      <c r="Q10" s="28">
        <f t="shared" si="1"/>
        <v>10578</v>
      </c>
      <c r="R10" s="28">
        <v>81098</v>
      </c>
      <c r="S10" s="28">
        <f t="shared" si="2"/>
        <v>70520</v>
      </c>
      <c r="T10" s="26" t="s">
        <v>36</v>
      </c>
      <c r="U10" s="26" t="s">
        <v>152</v>
      </c>
      <c r="V10" s="30">
        <v>2024</v>
      </c>
    </row>
    <row r="11" spans="1:22" x14ac:dyDescent="0.25">
      <c r="A11" s="25">
        <v>10</v>
      </c>
      <c r="B11" s="26" t="s">
        <v>30</v>
      </c>
      <c r="C11" s="26" t="s">
        <v>344</v>
      </c>
      <c r="D11" s="26" t="s">
        <v>272</v>
      </c>
      <c r="E11" s="26" t="s">
        <v>192</v>
      </c>
      <c r="F11" s="35">
        <v>45426</v>
      </c>
      <c r="G11" s="26"/>
      <c r="H11" s="26"/>
      <c r="I11" s="26" t="s">
        <v>66</v>
      </c>
      <c r="J11" s="26" t="s">
        <v>280</v>
      </c>
      <c r="K11" s="26" t="s">
        <v>283</v>
      </c>
      <c r="L11" s="26"/>
      <c r="M11" s="26" t="s">
        <v>192</v>
      </c>
      <c r="N11" s="26" t="s">
        <v>345</v>
      </c>
      <c r="O11" s="28">
        <v>27222</v>
      </c>
      <c r="P11" s="29">
        <f t="shared" si="0"/>
        <v>0.14999999999999997</v>
      </c>
      <c r="Q11" s="28">
        <f t="shared" si="1"/>
        <v>4083.2999999999993</v>
      </c>
      <c r="R11" s="28">
        <v>31305.3</v>
      </c>
      <c r="S11" s="28">
        <f t="shared" si="2"/>
        <v>27222</v>
      </c>
      <c r="T11" s="26" t="s">
        <v>36</v>
      </c>
      <c r="U11" s="26" t="s">
        <v>37</v>
      </c>
      <c r="V11" s="30">
        <v>2024</v>
      </c>
    </row>
    <row r="12" spans="1:22" x14ac:dyDescent="0.25">
      <c r="A12" s="25">
        <v>11</v>
      </c>
      <c r="B12" s="26" t="s">
        <v>30</v>
      </c>
      <c r="C12" s="26" t="s">
        <v>346</v>
      </c>
      <c r="D12" s="26" t="s">
        <v>272</v>
      </c>
      <c r="E12" s="26" t="s">
        <v>273</v>
      </c>
      <c r="F12" s="35">
        <v>45426</v>
      </c>
      <c r="G12" s="26"/>
      <c r="H12" s="26"/>
      <c r="I12" s="26" t="s">
        <v>66</v>
      </c>
      <c r="J12" s="26" t="s">
        <v>280</v>
      </c>
      <c r="K12" s="26" t="s">
        <v>283</v>
      </c>
      <c r="L12" s="26"/>
      <c r="M12" s="26" t="s">
        <v>273</v>
      </c>
      <c r="N12" s="26" t="s">
        <v>345</v>
      </c>
      <c r="O12" s="28">
        <v>46876</v>
      </c>
      <c r="P12" s="29">
        <f t="shared" si="0"/>
        <v>0.15000000000000002</v>
      </c>
      <c r="Q12" s="28">
        <f t="shared" si="1"/>
        <v>7031.4000000000015</v>
      </c>
      <c r="R12" s="28">
        <v>53907.4</v>
      </c>
      <c r="S12" s="28">
        <f t="shared" si="2"/>
        <v>46876</v>
      </c>
      <c r="T12" s="26" t="s">
        <v>36</v>
      </c>
      <c r="U12" s="26" t="s">
        <v>37</v>
      </c>
      <c r="V12" s="30">
        <v>2024</v>
      </c>
    </row>
    <row r="13" spans="1:22" x14ac:dyDescent="0.25">
      <c r="A13" s="25">
        <v>12</v>
      </c>
      <c r="B13" s="26" t="s">
        <v>30</v>
      </c>
      <c r="C13" s="26" t="s">
        <v>347</v>
      </c>
      <c r="D13" s="26" t="s">
        <v>272</v>
      </c>
      <c r="E13" s="26" t="s">
        <v>159</v>
      </c>
      <c r="F13" s="35">
        <v>45426</v>
      </c>
      <c r="G13" s="26"/>
      <c r="H13" s="26"/>
      <c r="I13" s="26" t="s">
        <v>66</v>
      </c>
      <c r="J13" s="26" t="s">
        <v>280</v>
      </c>
      <c r="K13" s="26" t="s">
        <v>283</v>
      </c>
      <c r="L13" s="26"/>
      <c r="M13" s="26" t="s">
        <v>281</v>
      </c>
      <c r="N13" s="26" t="s">
        <v>345</v>
      </c>
      <c r="O13" s="28">
        <v>89497.5</v>
      </c>
      <c r="P13" s="29">
        <f t="shared" si="0"/>
        <v>0.15</v>
      </c>
      <c r="Q13" s="28">
        <f t="shared" si="1"/>
        <v>13424.625</v>
      </c>
      <c r="R13" s="28">
        <v>102922.125</v>
      </c>
      <c r="S13" s="28">
        <f t="shared" si="2"/>
        <v>89497.5</v>
      </c>
      <c r="T13" s="26" t="s">
        <v>36</v>
      </c>
      <c r="U13" s="26" t="s">
        <v>37</v>
      </c>
      <c r="V13" s="30">
        <v>2024</v>
      </c>
    </row>
    <row r="14" spans="1:22" x14ac:dyDescent="0.25">
      <c r="A14" s="25">
        <v>13</v>
      </c>
      <c r="B14" s="26" t="s">
        <v>30</v>
      </c>
      <c r="C14" s="26" t="s">
        <v>348</v>
      </c>
      <c r="D14" s="26" t="s">
        <v>272</v>
      </c>
      <c r="E14" s="26" t="s">
        <v>192</v>
      </c>
      <c r="F14" s="35">
        <v>45426</v>
      </c>
      <c r="G14" s="26"/>
      <c r="H14" s="26"/>
      <c r="I14" s="26" t="s">
        <v>111</v>
      </c>
      <c r="J14" s="26" t="s">
        <v>112</v>
      </c>
      <c r="K14" s="26" t="s">
        <v>283</v>
      </c>
      <c r="L14" s="26"/>
      <c r="M14" s="26" t="s">
        <v>192</v>
      </c>
      <c r="N14" s="26" t="s">
        <v>349</v>
      </c>
      <c r="O14" s="28">
        <v>297</v>
      </c>
      <c r="P14" s="29">
        <f t="shared" si="0"/>
        <v>0.15000000000000005</v>
      </c>
      <c r="Q14" s="28">
        <f t="shared" si="1"/>
        <v>44.550000000000011</v>
      </c>
      <c r="R14" s="28">
        <v>341.55</v>
      </c>
      <c r="S14" s="28">
        <f t="shared" si="2"/>
        <v>297</v>
      </c>
      <c r="T14" s="26" t="s">
        <v>36</v>
      </c>
      <c r="U14" s="26" t="s">
        <v>37</v>
      </c>
      <c r="V14" s="30">
        <v>2024</v>
      </c>
    </row>
    <row r="15" spans="1:22" x14ac:dyDescent="0.25">
      <c r="A15" s="25">
        <v>14</v>
      </c>
      <c r="B15" s="26" t="s">
        <v>30</v>
      </c>
      <c r="C15" s="26" t="s">
        <v>350</v>
      </c>
      <c r="D15" s="26" t="s">
        <v>272</v>
      </c>
      <c r="E15" s="26" t="s">
        <v>192</v>
      </c>
      <c r="F15" s="35">
        <v>45426</v>
      </c>
      <c r="G15" s="26"/>
      <c r="H15" s="26"/>
      <c r="I15" s="26" t="s">
        <v>40</v>
      </c>
      <c r="J15" s="26" t="s">
        <v>201</v>
      </c>
      <c r="K15" s="26" t="s">
        <v>283</v>
      </c>
      <c r="L15" s="26"/>
      <c r="M15" s="26" t="s">
        <v>282</v>
      </c>
      <c r="N15" s="26" t="s">
        <v>351</v>
      </c>
      <c r="O15" s="28">
        <v>465.39</v>
      </c>
      <c r="P15" s="29">
        <f t="shared" si="0"/>
        <v>0.14999999999999997</v>
      </c>
      <c r="Q15" s="28">
        <f t="shared" si="1"/>
        <v>69.808499999999981</v>
      </c>
      <c r="R15" s="28">
        <v>535.19849999999997</v>
      </c>
      <c r="S15" s="28">
        <f t="shared" si="2"/>
        <v>465.39</v>
      </c>
      <c r="T15" s="26" t="s">
        <v>36</v>
      </c>
      <c r="U15" s="26" t="s">
        <v>37</v>
      </c>
      <c r="V15" s="30">
        <v>2024</v>
      </c>
    </row>
    <row r="16" spans="1:22" x14ac:dyDescent="0.25">
      <c r="A16" s="25">
        <v>15</v>
      </c>
      <c r="B16" s="26" t="s">
        <v>30</v>
      </c>
      <c r="C16" s="26" t="s">
        <v>352</v>
      </c>
      <c r="D16" s="26" t="s">
        <v>272</v>
      </c>
      <c r="E16" s="26" t="s">
        <v>273</v>
      </c>
      <c r="F16" s="35">
        <v>45426</v>
      </c>
      <c r="G16" s="26"/>
      <c r="H16" s="26"/>
      <c r="I16" s="26" t="s">
        <v>40</v>
      </c>
      <c r="J16" s="26" t="s">
        <v>201</v>
      </c>
      <c r="K16" s="26" t="s">
        <v>283</v>
      </c>
      <c r="L16" s="26"/>
      <c r="M16" s="26" t="s">
        <v>278</v>
      </c>
      <c r="N16" s="26" t="s">
        <v>353</v>
      </c>
      <c r="O16" s="28">
        <v>75.47</v>
      </c>
      <c r="P16" s="29">
        <f t="shared" si="0"/>
        <v>0.14999999999999994</v>
      </c>
      <c r="Q16" s="28">
        <f t="shared" si="1"/>
        <v>11.320499999999996</v>
      </c>
      <c r="R16" s="28">
        <v>86.790499999999994</v>
      </c>
      <c r="S16" s="28">
        <f t="shared" si="2"/>
        <v>75.47</v>
      </c>
      <c r="T16" s="26" t="s">
        <v>36</v>
      </c>
      <c r="U16" s="26" t="s">
        <v>37</v>
      </c>
      <c r="V16" s="30">
        <v>2024</v>
      </c>
    </row>
    <row r="17" spans="1:22" x14ac:dyDescent="0.25">
      <c r="A17" s="25">
        <v>16</v>
      </c>
      <c r="B17" s="26" t="s">
        <v>30</v>
      </c>
      <c r="C17" s="26" t="s">
        <v>354</v>
      </c>
      <c r="D17" s="26" t="s">
        <v>272</v>
      </c>
      <c r="E17" s="26" t="s">
        <v>285</v>
      </c>
      <c r="F17" s="35">
        <v>45426</v>
      </c>
      <c r="G17" s="26"/>
      <c r="H17" s="26"/>
      <c r="I17" s="26" t="s">
        <v>40</v>
      </c>
      <c r="J17" s="26" t="s">
        <v>201</v>
      </c>
      <c r="K17" s="26" t="s">
        <v>283</v>
      </c>
      <c r="L17" s="26"/>
      <c r="M17" s="26" t="s">
        <v>284</v>
      </c>
      <c r="N17" s="26" t="s">
        <v>355</v>
      </c>
      <c r="O17" s="28">
        <v>14600.19</v>
      </c>
      <c r="P17" s="29">
        <f t="shared" si="0"/>
        <v>0.14999999999999988</v>
      </c>
      <c r="Q17" s="28">
        <f t="shared" si="1"/>
        <v>2190.0284999999985</v>
      </c>
      <c r="R17" s="28">
        <v>16790.218499999999</v>
      </c>
      <c r="S17" s="28">
        <f t="shared" si="2"/>
        <v>14600.19</v>
      </c>
      <c r="T17" s="26" t="s">
        <v>36</v>
      </c>
      <c r="U17" s="26" t="s">
        <v>37</v>
      </c>
      <c r="V17" s="30">
        <v>2024</v>
      </c>
    </row>
    <row r="18" spans="1:22" x14ac:dyDescent="0.25">
      <c r="A18" s="25">
        <v>17</v>
      </c>
      <c r="B18" s="26" t="s">
        <v>30</v>
      </c>
      <c r="C18" s="26" t="s">
        <v>1</v>
      </c>
      <c r="D18" s="26" t="s">
        <v>272</v>
      </c>
      <c r="E18" s="26" t="s">
        <v>286</v>
      </c>
      <c r="F18" s="35">
        <v>45426</v>
      </c>
      <c r="G18" s="26"/>
      <c r="H18" s="26"/>
      <c r="I18" s="26" t="s">
        <v>40</v>
      </c>
      <c r="J18" s="26" t="s">
        <v>201</v>
      </c>
      <c r="K18" s="26" t="s">
        <v>283</v>
      </c>
      <c r="L18" s="26"/>
      <c r="M18" s="26" t="s">
        <v>296</v>
      </c>
      <c r="N18" s="26" t="s">
        <v>356</v>
      </c>
      <c r="O18" s="28">
        <v>12079.41</v>
      </c>
      <c r="P18" s="29">
        <f t="shared" si="0"/>
        <v>0.15000000000000002</v>
      </c>
      <c r="Q18" s="28">
        <f t="shared" si="1"/>
        <v>1811.9115000000002</v>
      </c>
      <c r="R18" s="28">
        <v>13891.3215</v>
      </c>
      <c r="S18" s="28">
        <f t="shared" si="2"/>
        <v>12079.41</v>
      </c>
      <c r="T18" s="26" t="s">
        <v>36</v>
      </c>
      <c r="U18" s="26" t="s">
        <v>37</v>
      </c>
      <c r="V18" s="30">
        <v>2024</v>
      </c>
    </row>
    <row r="19" spans="1:22" x14ac:dyDescent="0.25">
      <c r="A19" s="25">
        <v>18</v>
      </c>
      <c r="B19" s="26" t="s">
        <v>30</v>
      </c>
      <c r="C19" s="26" t="s">
        <v>357</v>
      </c>
      <c r="D19" s="26" t="s">
        <v>272</v>
      </c>
      <c r="E19" s="26" t="s">
        <v>285</v>
      </c>
      <c r="F19" s="35">
        <v>45450</v>
      </c>
      <c r="G19" s="26"/>
      <c r="H19" s="26"/>
      <c r="I19" s="26" t="s">
        <v>34</v>
      </c>
      <c r="J19" s="26" t="s">
        <v>35</v>
      </c>
      <c r="K19" s="26" t="s">
        <v>283</v>
      </c>
      <c r="L19" s="26"/>
      <c r="M19" s="26" t="s">
        <v>285</v>
      </c>
      <c r="N19" s="26" t="s">
        <v>358</v>
      </c>
      <c r="O19" s="28">
        <v>8636</v>
      </c>
      <c r="P19" s="29">
        <f t="shared" si="0"/>
        <v>0.14999999999999997</v>
      </c>
      <c r="Q19" s="28">
        <f t="shared" si="1"/>
        <v>1295.3999999999996</v>
      </c>
      <c r="R19" s="28">
        <v>9931.4</v>
      </c>
      <c r="S19" s="28">
        <f t="shared" si="2"/>
        <v>8636</v>
      </c>
      <c r="T19" s="26" t="s">
        <v>36</v>
      </c>
      <c r="U19" s="26" t="s">
        <v>37</v>
      </c>
      <c r="V19" s="30">
        <v>2024</v>
      </c>
    </row>
    <row r="20" spans="1:22" x14ac:dyDescent="0.25">
      <c r="A20" s="25">
        <v>19</v>
      </c>
      <c r="B20" s="26" t="s">
        <v>30</v>
      </c>
      <c r="C20" s="26" t="s">
        <v>359</v>
      </c>
      <c r="D20" s="26" t="s">
        <v>272</v>
      </c>
      <c r="E20" s="26" t="s">
        <v>286</v>
      </c>
      <c r="F20" s="35">
        <v>45467</v>
      </c>
      <c r="G20" s="26"/>
      <c r="H20" s="26"/>
      <c r="I20" s="26" t="s">
        <v>34</v>
      </c>
      <c r="J20" s="26" t="s">
        <v>35</v>
      </c>
      <c r="K20" s="26" t="s">
        <v>283</v>
      </c>
      <c r="L20" s="26"/>
      <c r="M20" s="26" t="s">
        <v>286</v>
      </c>
      <c r="N20" s="26" t="s">
        <v>360</v>
      </c>
      <c r="O20" s="28">
        <v>7064</v>
      </c>
      <c r="P20" s="29">
        <f t="shared" si="0"/>
        <v>0.15000000000000005</v>
      </c>
      <c r="Q20" s="28">
        <f t="shared" si="1"/>
        <v>1059.6000000000004</v>
      </c>
      <c r="R20" s="28">
        <v>8123.6</v>
      </c>
      <c r="S20" s="28">
        <f t="shared" si="2"/>
        <v>7064</v>
      </c>
      <c r="T20" s="26" t="s">
        <v>36</v>
      </c>
      <c r="U20" s="26" t="s">
        <v>37</v>
      </c>
      <c r="V20" s="30">
        <v>2024</v>
      </c>
    </row>
    <row r="21" spans="1:22" x14ac:dyDescent="0.25">
      <c r="A21" s="25">
        <v>20</v>
      </c>
      <c r="B21" s="26" t="s">
        <v>30</v>
      </c>
      <c r="C21" s="26" t="s">
        <v>361</v>
      </c>
      <c r="D21" s="26" t="s">
        <v>272</v>
      </c>
      <c r="E21" s="26" t="s">
        <v>285</v>
      </c>
      <c r="F21" s="35">
        <v>45467</v>
      </c>
      <c r="G21" s="26"/>
      <c r="H21" s="26"/>
      <c r="I21" s="26" t="s">
        <v>34</v>
      </c>
      <c r="J21" s="26" t="s">
        <v>35</v>
      </c>
      <c r="K21" s="26" t="s">
        <v>283</v>
      </c>
      <c r="L21" s="26"/>
      <c r="M21" s="26" t="s">
        <v>285</v>
      </c>
      <c r="N21" s="26" t="s">
        <v>362</v>
      </c>
      <c r="O21" s="28">
        <v>2748</v>
      </c>
      <c r="P21" s="29">
        <f t="shared" si="0"/>
        <v>0.14999999999999994</v>
      </c>
      <c r="Q21" s="28">
        <f t="shared" si="1"/>
        <v>412.19999999999982</v>
      </c>
      <c r="R21" s="28">
        <v>3160.2</v>
      </c>
      <c r="S21" s="28">
        <f t="shared" si="2"/>
        <v>2748</v>
      </c>
      <c r="T21" s="26" t="s">
        <v>36</v>
      </c>
      <c r="U21" s="26" t="s">
        <v>37</v>
      </c>
      <c r="V21" s="30">
        <v>2024</v>
      </c>
    </row>
    <row r="22" spans="1:22" x14ac:dyDescent="0.25">
      <c r="A22" s="25">
        <v>21</v>
      </c>
      <c r="B22" s="26" t="s">
        <v>30</v>
      </c>
      <c r="C22" s="26" t="s">
        <v>363</v>
      </c>
      <c r="D22" s="26" t="s">
        <v>272</v>
      </c>
      <c r="E22" s="26" t="s">
        <v>286</v>
      </c>
      <c r="F22" s="35">
        <v>45467</v>
      </c>
      <c r="G22" s="26"/>
      <c r="H22" s="26"/>
      <c r="I22" s="26" t="s">
        <v>40</v>
      </c>
      <c r="J22" s="26" t="s">
        <v>201</v>
      </c>
      <c r="K22" s="26" t="s">
        <v>283</v>
      </c>
      <c r="L22" s="26"/>
      <c r="M22" s="26" t="s">
        <v>287</v>
      </c>
      <c r="N22" s="26" t="s">
        <v>364</v>
      </c>
      <c r="O22" s="28">
        <v>685.02932499999997</v>
      </c>
      <c r="P22" s="29">
        <f t="shared" si="0"/>
        <v>0.15000000000000011</v>
      </c>
      <c r="Q22" s="28">
        <f t="shared" si="1"/>
        <v>102.75439875000006</v>
      </c>
      <c r="R22" s="28">
        <v>787.78372375000004</v>
      </c>
      <c r="S22" s="28">
        <f t="shared" si="2"/>
        <v>685.02932499999997</v>
      </c>
      <c r="T22" s="26" t="s">
        <v>36</v>
      </c>
      <c r="U22" s="26" t="s">
        <v>37</v>
      </c>
      <c r="V22" s="30">
        <v>2024</v>
      </c>
    </row>
    <row r="23" spans="1:22" x14ac:dyDescent="0.25">
      <c r="A23" s="25">
        <v>22</v>
      </c>
      <c r="B23" s="26" t="s">
        <v>30</v>
      </c>
      <c r="C23" s="26" t="s">
        <v>365</v>
      </c>
      <c r="D23" s="26" t="s">
        <v>272</v>
      </c>
      <c r="E23" s="26" t="s">
        <v>159</v>
      </c>
      <c r="F23" s="35">
        <v>45467</v>
      </c>
      <c r="G23" s="26"/>
      <c r="H23" s="26"/>
      <c r="I23" s="26" t="s">
        <v>40</v>
      </c>
      <c r="J23" s="26" t="s">
        <v>47</v>
      </c>
      <c r="K23" s="26" t="s">
        <v>283</v>
      </c>
      <c r="L23" s="26"/>
      <c r="M23" s="26" t="s">
        <v>159</v>
      </c>
      <c r="N23" s="26" t="s">
        <v>366</v>
      </c>
      <c r="O23" s="28">
        <v>26450.69</v>
      </c>
      <c r="P23" s="29">
        <f t="shared" si="0"/>
        <v>0.15000000000000005</v>
      </c>
      <c r="Q23" s="28">
        <f t="shared" si="1"/>
        <v>3967.6035000000011</v>
      </c>
      <c r="R23" s="28">
        <v>30418.2935</v>
      </c>
      <c r="S23" s="28">
        <f t="shared" si="2"/>
        <v>26450.69</v>
      </c>
      <c r="T23" s="26" t="s">
        <v>36</v>
      </c>
      <c r="U23" s="26" t="s">
        <v>37</v>
      </c>
      <c r="V23" s="30">
        <v>2024</v>
      </c>
    </row>
    <row r="24" spans="1:22" x14ac:dyDescent="0.25">
      <c r="A24" s="25">
        <v>23</v>
      </c>
      <c r="B24" s="26" t="s">
        <v>30</v>
      </c>
      <c r="C24" s="26" t="s">
        <v>367</v>
      </c>
      <c r="D24" s="26" t="s">
        <v>272</v>
      </c>
      <c r="E24" s="26" t="s">
        <v>285</v>
      </c>
      <c r="F24" s="35">
        <v>45469</v>
      </c>
      <c r="G24" s="26"/>
      <c r="H24" s="26"/>
      <c r="I24" s="26" t="s">
        <v>40</v>
      </c>
      <c r="J24" s="26" t="s">
        <v>47</v>
      </c>
      <c r="K24" s="26" t="s">
        <v>283</v>
      </c>
      <c r="L24" s="26"/>
      <c r="M24" s="26" t="s">
        <v>285</v>
      </c>
      <c r="N24" s="26" t="s">
        <v>368</v>
      </c>
      <c r="O24" s="28">
        <v>33020.049149999999</v>
      </c>
      <c r="P24" s="29">
        <f t="shared" si="0"/>
        <v>0.15000000000000013</v>
      </c>
      <c r="Q24" s="28">
        <f t="shared" si="1"/>
        <v>4953.0073725000038</v>
      </c>
      <c r="R24" s="28">
        <v>37973.056522500003</v>
      </c>
      <c r="S24" s="28">
        <f t="shared" si="2"/>
        <v>33020.049149999999</v>
      </c>
      <c r="T24" s="26" t="s">
        <v>36</v>
      </c>
      <c r="U24" s="26" t="s">
        <v>37</v>
      </c>
      <c r="V24" s="30">
        <v>2024</v>
      </c>
    </row>
    <row r="25" spans="1:22" x14ac:dyDescent="0.25">
      <c r="A25" s="25">
        <v>24</v>
      </c>
      <c r="B25" s="26" t="s">
        <v>30</v>
      </c>
      <c r="C25" s="26" t="s">
        <v>369</v>
      </c>
      <c r="D25" s="26" t="s">
        <v>272</v>
      </c>
      <c r="E25" s="26" t="s">
        <v>286</v>
      </c>
      <c r="F25" s="35">
        <v>45469</v>
      </c>
      <c r="G25" s="26"/>
      <c r="H25" s="26"/>
      <c r="I25" s="26" t="s">
        <v>40</v>
      </c>
      <c r="J25" s="26" t="s">
        <v>47</v>
      </c>
      <c r="K25" s="26" t="s">
        <v>283</v>
      </c>
      <c r="L25" s="26"/>
      <c r="M25" s="26" t="s">
        <v>286</v>
      </c>
      <c r="N25" s="26" t="s">
        <v>370</v>
      </c>
      <c r="O25" s="28">
        <v>25227.418699999998</v>
      </c>
      <c r="P25" s="29">
        <f t="shared" si="0"/>
        <v>0.15000000000000002</v>
      </c>
      <c r="Q25" s="28">
        <f t="shared" si="1"/>
        <v>3784.1128050000007</v>
      </c>
      <c r="R25" s="28">
        <v>29011.531504999999</v>
      </c>
      <c r="S25" s="28">
        <f t="shared" si="2"/>
        <v>25227.418699999998</v>
      </c>
      <c r="T25" s="26" t="s">
        <v>36</v>
      </c>
      <c r="U25" s="26" t="s">
        <v>37</v>
      </c>
      <c r="V25" s="30">
        <v>2024</v>
      </c>
    </row>
    <row r="26" spans="1:22" x14ac:dyDescent="0.25">
      <c r="A26" s="25">
        <v>25</v>
      </c>
      <c r="B26" s="26" t="s">
        <v>30</v>
      </c>
      <c r="C26" s="26" t="s">
        <v>371</v>
      </c>
      <c r="D26" s="26" t="s">
        <v>272</v>
      </c>
      <c r="E26" s="26" t="s">
        <v>286</v>
      </c>
      <c r="F26" s="35">
        <v>45469</v>
      </c>
      <c r="G26" s="26"/>
      <c r="H26" s="26"/>
      <c r="I26" s="26" t="s">
        <v>40</v>
      </c>
      <c r="J26" s="26" t="s">
        <v>47</v>
      </c>
      <c r="K26" s="26" t="s">
        <v>283</v>
      </c>
      <c r="L26" s="26"/>
      <c r="M26" s="26" t="s">
        <v>288</v>
      </c>
      <c r="N26" s="26" t="s">
        <v>370</v>
      </c>
      <c r="O26" s="28">
        <v>12080.1615</v>
      </c>
      <c r="P26" s="29">
        <f t="shared" si="0"/>
        <v>0.14999999999999994</v>
      </c>
      <c r="Q26" s="28">
        <f t="shared" si="1"/>
        <v>1812.0242249999992</v>
      </c>
      <c r="R26" s="28">
        <v>13892.185724999999</v>
      </c>
      <c r="S26" s="28">
        <f t="shared" si="2"/>
        <v>12080.1615</v>
      </c>
      <c r="T26" s="26" t="s">
        <v>36</v>
      </c>
      <c r="U26" s="26" t="s">
        <v>37</v>
      </c>
      <c r="V26" s="30">
        <v>2024</v>
      </c>
    </row>
    <row r="27" spans="1:22" x14ac:dyDescent="0.25">
      <c r="A27" s="25">
        <v>26</v>
      </c>
      <c r="B27" s="26" t="s">
        <v>30</v>
      </c>
      <c r="C27" s="26" t="s">
        <v>372</v>
      </c>
      <c r="D27" s="26" t="s">
        <v>272</v>
      </c>
      <c r="E27" s="26" t="s">
        <v>289</v>
      </c>
      <c r="F27" s="35">
        <v>45566</v>
      </c>
      <c r="G27" s="26"/>
      <c r="H27" s="26"/>
      <c r="I27" s="26" t="s">
        <v>111</v>
      </c>
      <c r="J27" s="26" t="s">
        <v>112</v>
      </c>
      <c r="K27" s="26" t="s">
        <v>283</v>
      </c>
      <c r="L27" s="26"/>
      <c r="M27" s="26" t="s">
        <v>46</v>
      </c>
      <c r="N27" s="26" t="s">
        <v>373</v>
      </c>
      <c r="O27" s="28">
        <v>2436</v>
      </c>
      <c r="P27" s="29">
        <f t="shared" si="0"/>
        <v>0.15000000000000005</v>
      </c>
      <c r="Q27" s="28">
        <f t="shared" si="1"/>
        <v>365.40000000000009</v>
      </c>
      <c r="R27" s="28">
        <v>2801.4</v>
      </c>
      <c r="S27" s="28">
        <f t="shared" si="2"/>
        <v>2436</v>
      </c>
      <c r="T27" s="26" t="s">
        <v>36</v>
      </c>
      <c r="U27" s="26" t="s">
        <v>130</v>
      </c>
      <c r="V27" s="30">
        <v>2024</v>
      </c>
    </row>
    <row r="28" spans="1:22" x14ac:dyDescent="0.25">
      <c r="A28" s="25">
        <v>27</v>
      </c>
      <c r="B28" s="26" t="s">
        <v>30</v>
      </c>
      <c r="C28" s="26" t="s">
        <v>374</v>
      </c>
      <c r="D28" s="26" t="s">
        <v>272</v>
      </c>
      <c r="E28" s="26" t="s">
        <v>290</v>
      </c>
      <c r="F28" s="35">
        <v>45566</v>
      </c>
      <c r="G28" s="26"/>
      <c r="H28" s="26"/>
      <c r="I28" s="26" t="s">
        <v>34</v>
      </c>
      <c r="J28" s="26" t="s">
        <v>35</v>
      </c>
      <c r="K28" s="26" t="s">
        <v>283</v>
      </c>
      <c r="L28" s="26"/>
      <c r="M28" s="26" t="s">
        <v>290</v>
      </c>
      <c r="N28" s="26" t="s">
        <v>375</v>
      </c>
      <c r="O28" s="28">
        <v>4772</v>
      </c>
      <c r="P28" s="29">
        <f t="shared" si="0"/>
        <v>0.16000000000000009</v>
      </c>
      <c r="Q28" s="28">
        <f t="shared" si="1"/>
        <v>763.52000000000044</v>
      </c>
      <c r="R28" s="28">
        <v>5535.52</v>
      </c>
      <c r="S28" s="28">
        <f t="shared" si="2"/>
        <v>4772</v>
      </c>
      <c r="T28" s="26" t="s">
        <v>36</v>
      </c>
      <c r="U28" s="26" t="s">
        <v>130</v>
      </c>
      <c r="V28" s="30">
        <v>2024</v>
      </c>
    </row>
    <row r="29" spans="1:22" x14ac:dyDescent="0.25">
      <c r="A29" s="25">
        <v>28</v>
      </c>
      <c r="B29" s="26" t="s">
        <v>30</v>
      </c>
      <c r="C29" s="26" t="s">
        <v>376</v>
      </c>
      <c r="D29" s="26" t="s">
        <v>272</v>
      </c>
      <c r="E29" s="26" t="s">
        <v>286</v>
      </c>
      <c r="F29" s="35">
        <v>45566</v>
      </c>
      <c r="G29" s="26"/>
      <c r="H29" s="26"/>
      <c r="I29" s="26" t="s">
        <v>34</v>
      </c>
      <c r="J29" s="26" t="s">
        <v>377</v>
      </c>
      <c r="K29" s="26" t="s">
        <v>283</v>
      </c>
      <c r="L29" s="26"/>
      <c r="M29" s="26" t="s">
        <v>286</v>
      </c>
      <c r="N29" s="26" t="s">
        <v>378</v>
      </c>
      <c r="O29" s="28">
        <v>4728</v>
      </c>
      <c r="P29" s="29">
        <f t="shared" si="0"/>
        <v>0.14999999999999997</v>
      </c>
      <c r="Q29" s="28">
        <f t="shared" si="1"/>
        <v>709.19999999999982</v>
      </c>
      <c r="R29" s="28">
        <v>5437.2</v>
      </c>
      <c r="S29" s="28">
        <f t="shared" si="2"/>
        <v>4728</v>
      </c>
      <c r="T29" s="26" t="s">
        <v>36</v>
      </c>
      <c r="U29" s="26" t="s">
        <v>130</v>
      </c>
      <c r="V29" s="30">
        <v>2024</v>
      </c>
    </row>
    <row r="30" spans="1:22" x14ac:dyDescent="0.25">
      <c r="A30" s="25">
        <v>29</v>
      </c>
      <c r="B30" s="26" t="s">
        <v>30</v>
      </c>
      <c r="C30" s="26" t="s">
        <v>2</v>
      </c>
      <c r="D30" s="26" t="s">
        <v>272</v>
      </c>
      <c r="E30" s="26" t="s">
        <v>290</v>
      </c>
      <c r="F30" s="35">
        <v>45566</v>
      </c>
      <c r="G30" s="26"/>
      <c r="H30" s="26"/>
      <c r="I30" s="26" t="s">
        <v>34</v>
      </c>
      <c r="J30" s="26" t="s">
        <v>35</v>
      </c>
      <c r="K30" s="26" t="s">
        <v>283</v>
      </c>
      <c r="L30" s="26"/>
      <c r="M30" s="26" t="s">
        <v>290</v>
      </c>
      <c r="N30" s="26" t="s">
        <v>379</v>
      </c>
      <c r="O30" s="28">
        <v>9368</v>
      </c>
      <c r="P30" s="29">
        <f t="shared" si="0"/>
        <v>0.15999999999999992</v>
      </c>
      <c r="Q30" s="28">
        <f t="shared" si="1"/>
        <v>1498.8799999999992</v>
      </c>
      <c r="R30" s="28">
        <v>10866.88</v>
      </c>
      <c r="S30" s="28">
        <f t="shared" si="2"/>
        <v>9368</v>
      </c>
      <c r="T30" s="26" t="s">
        <v>36</v>
      </c>
      <c r="U30" s="26" t="s">
        <v>130</v>
      </c>
      <c r="V30" s="30">
        <v>2024</v>
      </c>
    </row>
    <row r="31" spans="1:22" x14ac:dyDescent="0.25">
      <c r="A31" s="25">
        <v>30</v>
      </c>
      <c r="B31" s="26" t="s">
        <v>30</v>
      </c>
      <c r="C31" s="26" t="s">
        <v>380</v>
      </c>
      <c r="D31" s="26" t="s">
        <v>272</v>
      </c>
      <c r="E31" s="26" t="s">
        <v>285</v>
      </c>
      <c r="F31" s="35">
        <v>45566</v>
      </c>
      <c r="G31" s="26"/>
      <c r="H31" s="26"/>
      <c r="I31" s="26" t="s">
        <v>34</v>
      </c>
      <c r="J31" s="26" t="s">
        <v>35</v>
      </c>
      <c r="K31" s="26" t="s">
        <v>283</v>
      </c>
      <c r="L31" s="26"/>
      <c r="M31" s="26" t="s">
        <v>285</v>
      </c>
      <c r="N31" s="26" t="s">
        <v>379</v>
      </c>
      <c r="O31" s="28">
        <v>6488</v>
      </c>
      <c r="P31" s="29">
        <f t="shared" si="0"/>
        <v>0.14999999999999997</v>
      </c>
      <c r="Q31" s="28">
        <f t="shared" si="1"/>
        <v>973.19999999999982</v>
      </c>
      <c r="R31" s="28">
        <v>7461.2</v>
      </c>
      <c r="S31" s="28">
        <f t="shared" si="2"/>
        <v>6488</v>
      </c>
      <c r="T31" s="26" t="s">
        <v>36</v>
      </c>
      <c r="U31" s="26" t="s">
        <v>130</v>
      </c>
      <c r="V31" s="30">
        <v>2024</v>
      </c>
    </row>
    <row r="32" spans="1:22" x14ac:dyDescent="0.25">
      <c r="A32" s="25">
        <v>31</v>
      </c>
      <c r="B32" s="26" t="s">
        <v>30</v>
      </c>
      <c r="C32" s="26" t="s">
        <v>381</v>
      </c>
      <c r="D32" s="26" t="s">
        <v>272</v>
      </c>
      <c r="E32" s="26" t="s">
        <v>290</v>
      </c>
      <c r="F32" s="35">
        <v>45597</v>
      </c>
      <c r="G32" s="26"/>
      <c r="H32" s="26"/>
      <c r="I32" s="26" t="s">
        <v>34</v>
      </c>
      <c r="J32" s="26" t="s">
        <v>35</v>
      </c>
      <c r="K32" s="26" t="s">
        <v>283</v>
      </c>
      <c r="L32" s="26"/>
      <c r="M32" s="26" t="s">
        <v>290</v>
      </c>
      <c r="N32" s="26" t="s">
        <v>382</v>
      </c>
      <c r="O32" s="28">
        <v>4728</v>
      </c>
      <c r="P32" s="29">
        <f t="shared" si="0"/>
        <v>0.15999999999999992</v>
      </c>
      <c r="Q32" s="28">
        <f t="shared" si="1"/>
        <v>756.47999999999956</v>
      </c>
      <c r="R32" s="28">
        <v>5484.48</v>
      </c>
      <c r="S32" s="28">
        <f t="shared" si="2"/>
        <v>4728</v>
      </c>
      <c r="T32" s="26" t="s">
        <v>36</v>
      </c>
      <c r="U32" s="26" t="s">
        <v>130</v>
      </c>
      <c r="V32" s="30">
        <v>2024</v>
      </c>
    </row>
    <row r="33" spans="1:22" x14ac:dyDescent="0.25">
      <c r="A33" s="25">
        <v>32</v>
      </c>
      <c r="B33" s="26" t="s">
        <v>30</v>
      </c>
      <c r="C33" s="26" t="s">
        <v>383</v>
      </c>
      <c r="D33" s="26" t="s">
        <v>272</v>
      </c>
      <c r="E33" s="26" t="s">
        <v>286</v>
      </c>
      <c r="F33" s="35">
        <v>45597</v>
      </c>
      <c r="G33" s="26"/>
      <c r="H33" s="26"/>
      <c r="I33" s="26" t="s">
        <v>34</v>
      </c>
      <c r="J33" s="26" t="s">
        <v>377</v>
      </c>
      <c r="K33" s="26" t="s">
        <v>283</v>
      </c>
      <c r="L33" s="26"/>
      <c r="M33" s="26" t="s">
        <v>286</v>
      </c>
      <c r="N33" s="26" t="s">
        <v>384</v>
      </c>
      <c r="O33" s="28">
        <v>8364</v>
      </c>
      <c r="P33" s="29">
        <f t="shared" si="0"/>
        <v>0.15000000000000005</v>
      </c>
      <c r="Q33" s="28">
        <f t="shared" si="1"/>
        <v>1254.6000000000004</v>
      </c>
      <c r="R33" s="28">
        <v>9618.6</v>
      </c>
      <c r="S33" s="28">
        <f t="shared" si="2"/>
        <v>8364</v>
      </c>
      <c r="T33" s="26" t="s">
        <v>36</v>
      </c>
      <c r="U33" s="26" t="s">
        <v>130</v>
      </c>
      <c r="V33" s="30">
        <v>2024</v>
      </c>
    </row>
    <row r="34" spans="1:22" x14ac:dyDescent="0.25">
      <c r="A34" s="25">
        <v>33</v>
      </c>
      <c r="B34" s="26" t="s">
        <v>30</v>
      </c>
      <c r="C34" s="26" t="s">
        <v>385</v>
      </c>
      <c r="D34" s="26" t="s">
        <v>272</v>
      </c>
      <c r="E34" s="26" t="s">
        <v>290</v>
      </c>
      <c r="F34" s="35">
        <v>45597</v>
      </c>
      <c r="G34" s="26"/>
      <c r="H34" s="26"/>
      <c r="I34" s="26" t="s">
        <v>66</v>
      </c>
      <c r="J34" s="26" t="s">
        <v>67</v>
      </c>
      <c r="K34" s="26" t="s">
        <v>283</v>
      </c>
      <c r="L34" s="26"/>
      <c r="M34" s="26" t="s">
        <v>290</v>
      </c>
      <c r="N34" s="26" t="s">
        <v>386</v>
      </c>
      <c r="O34" s="28">
        <v>53000</v>
      </c>
      <c r="P34" s="29">
        <f t="shared" si="0"/>
        <v>0.16</v>
      </c>
      <c r="Q34" s="28">
        <f t="shared" si="1"/>
        <v>8480</v>
      </c>
      <c r="R34" s="28">
        <v>61480</v>
      </c>
      <c r="S34" s="28">
        <f t="shared" si="2"/>
        <v>53000</v>
      </c>
      <c r="T34" s="26" t="s">
        <v>36</v>
      </c>
      <c r="U34" s="26" t="s">
        <v>130</v>
      </c>
      <c r="V34" s="30">
        <v>2024</v>
      </c>
    </row>
    <row r="35" spans="1:22" x14ac:dyDescent="0.25">
      <c r="A35" s="25">
        <v>34</v>
      </c>
      <c r="B35" s="26" t="s">
        <v>30</v>
      </c>
      <c r="C35" s="26" t="s">
        <v>387</v>
      </c>
      <c r="D35" s="26" t="s">
        <v>272</v>
      </c>
      <c r="E35" s="26" t="s">
        <v>273</v>
      </c>
      <c r="F35" s="35">
        <v>45597</v>
      </c>
      <c r="G35" s="26"/>
      <c r="H35" s="26"/>
      <c r="I35" s="26" t="s">
        <v>66</v>
      </c>
      <c r="J35" s="26" t="s">
        <v>291</v>
      </c>
      <c r="K35" s="26" t="s">
        <v>283</v>
      </c>
      <c r="L35" s="26"/>
      <c r="M35" s="26" t="s">
        <v>499</v>
      </c>
      <c r="N35" s="26" t="s">
        <v>292</v>
      </c>
      <c r="O35" s="28">
        <v>5701.25</v>
      </c>
      <c r="P35" s="29">
        <f t="shared" si="0"/>
        <v>0.15</v>
      </c>
      <c r="Q35" s="28">
        <f t="shared" si="1"/>
        <v>855.1875</v>
      </c>
      <c r="R35" s="28">
        <v>6556.4375</v>
      </c>
      <c r="S35" s="28">
        <f t="shared" si="2"/>
        <v>5701.25</v>
      </c>
      <c r="T35" s="26" t="s">
        <v>36</v>
      </c>
      <c r="U35" s="26" t="s">
        <v>130</v>
      </c>
      <c r="V35" s="30">
        <v>2024</v>
      </c>
    </row>
    <row r="36" spans="1:22" x14ac:dyDescent="0.25">
      <c r="A36" s="25">
        <v>35</v>
      </c>
      <c r="B36" s="26" t="s">
        <v>30</v>
      </c>
      <c r="C36" s="26" t="s">
        <v>388</v>
      </c>
      <c r="D36" s="26" t="s">
        <v>272</v>
      </c>
      <c r="E36" s="26" t="s">
        <v>159</v>
      </c>
      <c r="F36" s="35">
        <v>45597</v>
      </c>
      <c r="G36" s="26"/>
      <c r="H36" s="26"/>
      <c r="I36" s="26" t="s">
        <v>66</v>
      </c>
      <c r="J36" s="26" t="s">
        <v>291</v>
      </c>
      <c r="K36" s="26" t="s">
        <v>283</v>
      </c>
      <c r="L36" s="26"/>
      <c r="M36" s="26" t="s">
        <v>159</v>
      </c>
      <c r="N36" s="26" t="s">
        <v>292</v>
      </c>
      <c r="O36" s="28">
        <v>262668.25</v>
      </c>
      <c r="P36" s="29">
        <f t="shared" si="0"/>
        <v>0.14999999999999997</v>
      </c>
      <c r="Q36" s="28">
        <f t="shared" si="1"/>
        <v>39400.237499999988</v>
      </c>
      <c r="R36" s="28">
        <v>302068.48749999999</v>
      </c>
      <c r="S36" s="28">
        <f t="shared" si="2"/>
        <v>262668.25</v>
      </c>
      <c r="T36" s="26" t="s">
        <v>36</v>
      </c>
      <c r="U36" s="26" t="s">
        <v>130</v>
      </c>
      <c r="V36" s="30">
        <v>2024</v>
      </c>
    </row>
    <row r="37" spans="1:22" x14ac:dyDescent="0.25">
      <c r="A37" s="25">
        <v>36</v>
      </c>
      <c r="B37" s="26" t="s">
        <v>30</v>
      </c>
      <c r="C37" s="26" t="s">
        <v>389</v>
      </c>
      <c r="D37" s="26" t="s">
        <v>272</v>
      </c>
      <c r="E37" s="26" t="s">
        <v>285</v>
      </c>
      <c r="F37" s="35">
        <v>45597</v>
      </c>
      <c r="G37" s="26"/>
      <c r="H37" s="26"/>
      <c r="I37" s="26" t="s">
        <v>66</v>
      </c>
      <c r="J37" s="26" t="s">
        <v>291</v>
      </c>
      <c r="K37" s="26" t="s">
        <v>283</v>
      </c>
      <c r="L37" s="26"/>
      <c r="M37" s="26" t="s">
        <v>285</v>
      </c>
      <c r="N37" s="26" t="s">
        <v>292</v>
      </c>
      <c r="O37" s="28">
        <v>55524.75</v>
      </c>
      <c r="P37" s="29">
        <f t="shared" si="0"/>
        <v>0.15000000000000002</v>
      </c>
      <c r="Q37" s="28">
        <f t="shared" si="1"/>
        <v>8328.7125000000015</v>
      </c>
      <c r="R37" s="28">
        <v>63853.462500000001</v>
      </c>
      <c r="S37" s="28">
        <f t="shared" si="2"/>
        <v>55524.75</v>
      </c>
      <c r="T37" s="26" t="s">
        <v>36</v>
      </c>
      <c r="U37" s="26" t="s">
        <v>130</v>
      </c>
      <c r="V37" s="30">
        <v>2024</v>
      </c>
    </row>
    <row r="38" spans="1:22" x14ac:dyDescent="0.25">
      <c r="A38" s="25">
        <v>37</v>
      </c>
      <c r="B38" s="26" t="s">
        <v>30</v>
      </c>
      <c r="C38" s="26" t="s">
        <v>390</v>
      </c>
      <c r="D38" s="26" t="s">
        <v>272</v>
      </c>
      <c r="E38" s="26" t="s">
        <v>316</v>
      </c>
      <c r="F38" s="35">
        <v>45597</v>
      </c>
      <c r="G38" s="26"/>
      <c r="H38" s="26"/>
      <c r="I38" s="26" t="s">
        <v>66</v>
      </c>
      <c r="J38" s="26" t="s">
        <v>291</v>
      </c>
      <c r="K38" s="26" t="s">
        <v>283</v>
      </c>
      <c r="L38" s="26"/>
      <c r="M38" s="26" t="s">
        <v>316</v>
      </c>
      <c r="N38" s="26" t="s">
        <v>292</v>
      </c>
      <c r="O38" s="28">
        <v>18318.75</v>
      </c>
      <c r="P38" s="29">
        <f t="shared" si="0"/>
        <v>0.15</v>
      </c>
      <c r="Q38" s="28">
        <f t="shared" si="1"/>
        <v>2747.8125</v>
      </c>
      <c r="R38" s="28">
        <v>21066.5625</v>
      </c>
      <c r="S38" s="28">
        <f t="shared" si="2"/>
        <v>18318.75</v>
      </c>
      <c r="T38" s="26" t="s">
        <v>36</v>
      </c>
      <c r="U38" s="26" t="s">
        <v>130</v>
      </c>
      <c r="V38" s="30">
        <v>2024</v>
      </c>
    </row>
    <row r="39" spans="1:22" x14ac:dyDescent="0.25">
      <c r="A39" s="25">
        <v>38</v>
      </c>
      <c r="B39" s="26" t="s">
        <v>30</v>
      </c>
      <c r="C39" s="26" t="s">
        <v>391</v>
      </c>
      <c r="D39" s="26" t="s">
        <v>272</v>
      </c>
      <c r="E39" s="26" t="s">
        <v>286</v>
      </c>
      <c r="F39" s="35">
        <v>45597</v>
      </c>
      <c r="G39" s="26"/>
      <c r="H39" s="26"/>
      <c r="I39" s="26" t="s">
        <v>66</v>
      </c>
      <c r="J39" s="26" t="s">
        <v>291</v>
      </c>
      <c r="K39" s="26" t="s">
        <v>283</v>
      </c>
      <c r="L39" s="26"/>
      <c r="M39" s="26" t="s">
        <v>286</v>
      </c>
      <c r="N39" s="26" t="s">
        <v>292</v>
      </c>
      <c r="O39" s="28">
        <v>18030.5</v>
      </c>
      <c r="P39" s="29">
        <f t="shared" si="0"/>
        <v>0.15000000000000005</v>
      </c>
      <c r="Q39" s="28">
        <f t="shared" si="1"/>
        <v>2704.5750000000007</v>
      </c>
      <c r="R39" s="28">
        <v>20735.075000000001</v>
      </c>
      <c r="S39" s="28">
        <f t="shared" si="2"/>
        <v>18030.5</v>
      </c>
      <c r="T39" s="26" t="s">
        <v>36</v>
      </c>
      <c r="U39" s="26" t="s">
        <v>130</v>
      </c>
      <c r="V39" s="30">
        <v>2024</v>
      </c>
    </row>
    <row r="40" spans="1:22" x14ac:dyDescent="0.25">
      <c r="A40" s="25">
        <v>39</v>
      </c>
      <c r="B40" s="26" t="s">
        <v>30</v>
      </c>
      <c r="C40" s="26" t="s">
        <v>392</v>
      </c>
      <c r="D40" s="26" t="s">
        <v>272</v>
      </c>
      <c r="E40" s="26" t="s">
        <v>290</v>
      </c>
      <c r="F40" s="35">
        <v>45628</v>
      </c>
      <c r="G40" s="26"/>
      <c r="H40" s="26"/>
      <c r="I40" s="26" t="s">
        <v>34</v>
      </c>
      <c r="J40" s="26" t="s">
        <v>35</v>
      </c>
      <c r="K40" s="26" t="s">
        <v>283</v>
      </c>
      <c r="L40" s="26"/>
      <c r="M40" s="26" t="s">
        <v>290</v>
      </c>
      <c r="N40" s="26" t="s">
        <v>393</v>
      </c>
      <c r="O40" s="28">
        <v>9052</v>
      </c>
      <c r="P40" s="29">
        <f t="shared" si="0"/>
        <v>0.15999999999999998</v>
      </c>
      <c r="Q40" s="28">
        <f t="shared" si="1"/>
        <v>1448.3199999999997</v>
      </c>
      <c r="R40" s="28">
        <v>10500.32</v>
      </c>
      <c r="S40" s="28">
        <f t="shared" si="2"/>
        <v>9052</v>
      </c>
      <c r="T40" s="26" t="s">
        <v>36</v>
      </c>
      <c r="U40" s="26" t="s">
        <v>130</v>
      </c>
      <c r="V40" s="30">
        <v>2024</v>
      </c>
    </row>
    <row r="41" spans="1:22" x14ac:dyDescent="0.25">
      <c r="A41" s="25">
        <v>40</v>
      </c>
      <c r="B41" s="26" t="s">
        <v>30</v>
      </c>
      <c r="C41" s="26" t="s">
        <v>394</v>
      </c>
      <c r="D41" s="26" t="s">
        <v>272</v>
      </c>
      <c r="E41" s="26" t="s">
        <v>285</v>
      </c>
      <c r="F41" s="35">
        <v>45628</v>
      </c>
      <c r="G41" s="26"/>
      <c r="H41" s="26"/>
      <c r="I41" s="26" t="s">
        <v>34</v>
      </c>
      <c r="J41" s="26" t="s">
        <v>35</v>
      </c>
      <c r="K41" s="26" t="s">
        <v>283</v>
      </c>
      <c r="L41" s="26"/>
      <c r="M41" s="26" t="s">
        <v>285</v>
      </c>
      <c r="N41" s="26" t="s">
        <v>395</v>
      </c>
      <c r="O41" s="28">
        <v>10334</v>
      </c>
      <c r="P41" s="29">
        <f t="shared" si="0"/>
        <v>0.15000000000000002</v>
      </c>
      <c r="Q41" s="28">
        <f t="shared" si="1"/>
        <v>1550.1000000000004</v>
      </c>
      <c r="R41" s="28">
        <v>11884.1</v>
      </c>
      <c r="S41" s="28">
        <f t="shared" si="2"/>
        <v>10334</v>
      </c>
      <c r="T41" s="26" t="s">
        <v>36</v>
      </c>
      <c r="U41" s="26" t="s">
        <v>130</v>
      </c>
      <c r="V41" s="30">
        <v>2024</v>
      </c>
    </row>
    <row r="42" spans="1:22" x14ac:dyDescent="0.25">
      <c r="A42" s="25">
        <v>41</v>
      </c>
      <c r="B42" s="26" t="s">
        <v>30</v>
      </c>
      <c r="C42" s="26" t="s">
        <v>396</v>
      </c>
      <c r="D42" s="26" t="s">
        <v>272</v>
      </c>
      <c r="E42" s="26" t="s">
        <v>192</v>
      </c>
      <c r="F42" s="35">
        <v>45646</v>
      </c>
      <c r="G42" s="26"/>
      <c r="H42" s="26"/>
      <c r="I42" s="26" t="s">
        <v>40</v>
      </c>
      <c r="J42" s="26" t="s">
        <v>47</v>
      </c>
      <c r="K42" s="26" t="s">
        <v>283</v>
      </c>
      <c r="L42" s="26"/>
      <c r="M42" s="26" t="s">
        <v>294</v>
      </c>
      <c r="N42" s="26" t="s">
        <v>397</v>
      </c>
      <c r="O42" s="28">
        <v>20088.990000000002</v>
      </c>
      <c r="P42" s="29">
        <f t="shared" si="0"/>
        <v>0.15</v>
      </c>
      <c r="Q42" s="28">
        <f t="shared" si="1"/>
        <v>3013.3485000000001</v>
      </c>
      <c r="R42" s="28">
        <v>23102.338500000002</v>
      </c>
      <c r="S42" s="28">
        <f t="shared" si="2"/>
        <v>20088.990000000002</v>
      </c>
      <c r="T42" s="26" t="s">
        <v>36</v>
      </c>
      <c r="U42" s="26" t="s">
        <v>130</v>
      </c>
      <c r="V42" s="30">
        <v>2024</v>
      </c>
    </row>
    <row r="43" spans="1:22" x14ac:dyDescent="0.25">
      <c r="A43" s="25">
        <v>42</v>
      </c>
      <c r="B43" s="26" t="s">
        <v>30</v>
      </c>
      <c r="C43" s="26" t="s">
        <v>398</v>
      </c>
      <c r="D43" s="26" t="s">
        <v>272</v>
      </c>
      <c r="E43" s="26" t="s">
        <v>286</v>
      </c>
      <c r="F43" s="35">
        <v>45646</v>
      </c>
      <c r="G43" s="26"/>
      <c r="H43" s="26"/>
      <c r="I43" s="26" t="s">
        <v>40</v>
      </c>
      <c r="J43" s="26" t="s">
        <v>201</v>
      </c>
      <c r="K43" s="26" t="s">
        <v>283</v>
      </c>
      <c r="L43" s="26"/>
      <c r="M43" s="26" t="s">
        <v>287</v>
      </c>
      <c r="N43" s="26" t="s">
        <v>399</v>
      </c>
      <c r="O43" s="28">
        <v>105.66</v>
      </c>
      <c r="P43" s="29">
        <f t="shared" si="0"/>
        <v>0.15000000000000005</v>
      </c>
      <c r="Q43" s="28">
        <f t="shared" si="1"/>
        <v>15.849000000000004</v>
      </c>
      <c r="R43" s="28">
        <v>121.509</v>
      </c>
      <c r="S43" s="28">
        <f t="shared" si="2"/>
        <v>105.66</v>
      </c>
      <c r="T43" s="26" t="s">
        <v>36</v>
      </c>
      <c r="U43" s="26" t="s">
        <v>130</v>
      </c>
      <c r="V43" s="30">
        <v>2024</v>
      </c>
    </row>
    <row r="44" spans="1:22" x14ac:dyDescent="0.25">
      <c r="A44" s="25">
        <v>43</v>
      </c>
      <c r="B44" s="26" t="s">
        <v>30</v>
      </c>
      <c r="C44" s="26" t="s">
        <v>400</v>
      </c>
      <c r="D44" s="26" t="s">
        <v>272</v>
      </c>
      <c r="E44" s="26" t="s">
        <v>290</v>
      </c>
      <c r="F44" s="35">
        <v>45646</v>
      </c>
      <c r="G44" s="26"/>
      <c r="H44" s="26"/>
      <c r="I44" s="26" t="s">
        <v>40</v>
      </c>
      <c r="J44" s="26" t="s">
        <v>201</v>
      </c>
      <c r="K44" s="26" t="s">
        <v>283</v>
      </c>
      <c r="L44" s="26"/>
      <c r="M44" s="26" t="s">
        <v>295</v>
      </c>
      <c r="N44" s="26" t="s">
        <v>401</v>
      </c>
      <c r="O44" s="28">
        <v>5755.96</v>
      </c>
      <c r="P44" s="29">
        <f t="shared" si="0"/>
        <v>0.15999999999999998</v>
      </c>
      <c r="Q44" s="28">
        <f t="shared" si="1"/>
        <v>920.95359999999982</v>
      </c>
      <c r="R44" s="28">
        <v>6676.9135999999999</v>
      </c>
      <c r="S44" s="28">
        <f t="shared" si="2"/>
        <v>5755.96</v>
      </c>
      <c r="T44" s="26" t="s">
        <v>36</v>
      </c>
      <c r="U44" s="26" t="s">
        <v>130</v>
      </c>
      <c r="V44" s="30">
        <v>2024</v>
      </c>
    </row>
    <row r="45" spans="1:22" x14ac:dyDescent="0.25">
      <c r="A45" s="25">
        <v>44</v>
      </c>
      <c r="B45" s="26" t="s">
        <v>30</v>
      </c>
      <c r="C45" s="26" t="s">
        <v>402</v>
      </c>
      <c r="D45" s="26" t="s">
        <v>272</v>
      </c>
      <c r="E45" s="26" t="s">
        <v>286</v>
      </c>
      <c r="F45" s="35">
        <v>45646</v>
      </c>
      <c r="G45" s="26"/>
      <c r="H45" s="26"/>
      <c r="I45" s="26" t="s">
        <v>40</v>
      </c>
      <c r="J45" s="26" t="s">
        <v>201</v>
      </c>
      <c r="K45" s="26" t="s">
        <v>283</v>
      </c>
      <c r="L45" s="26"/>
      <c r="M45" s="26" t="s">
        <v>296</v>
      </c>
      <c r="N45" s="26" t="s">
        <v>403</v>
      </c>
      <c r="O45" s="28">
        <v>5199.75</v>
      </c>
      <c r="P45" s="29">
        <f t="shared" si="0"/>
        <v>0.14999999999999994</v>
      </c>
      <c r="Q45" s="28">
        <f t="shared" si="1"/>
        <v>779.96249999999964</v>
      </c>
      <c r="R45" s="28">
        <v>5979.7124999999996</v>
      </c>
      <c r="S45" s="28">
        <f t="shared" si="2"/>
        <v>5199.75</v>
      </c>
      <c r="T45" s="26" t="s">
        <v>36</v>
      </c>
      <c r="U45" s="26" t="s">
        <v>130</v>
      </c>
      <c r="V45" s="30">
        <v>2024</v>
      </c>
    </row>
    <row r="46" spans="1:22" x14ac:dyDescent="0.25">
      <c r="A46" s="25">
        <v>45</v>
      </c>
      <c r="B46" s="26" t="s">
        <v>30</v>
      </c>
      <c r="C46" s="26" t="s">
        <v>404</v>
      </c>
      <c r="D46" s="26" t="s">
        <v>272</v>
      </c>
      <c r="E46" s="26" t="s">
        <v>290</v>
      </c>
      <c r="F46" s="35">
        <v>45646</v>
      </c>
      <c r="G46" s="26"/>
      <c r="H46" s="26"/>
      <c r="I46" s="26" t="s">
        <v>40</v>
      </c>
      <c r="J46" s="26" t="s">
        <v>201</v>
      </c>
      <c r="K46" s="26" t="s">
        <v>283</v>
      </c>
      <c r="L46" s="26"/>
      <c r="M46" s="26" t="s">
        <v>297</v>
      </c>
      <c r="N46" s="26" t="s">
        <v>401</v>
      </c>
      <c r="O46" s="28">
        <v>5954.2</v>
      </c>
      <c r="P46" s="29">
        <f t="shared" si="0"/>
        <v>0.16000000000000009</v>
      </c>
      <c r="Q46" s="28">
        <f t="shared" si="1"/>
        <v>952.67200000000048</v>
      </c>
      <c r="R46" s="28">
        <v>6906.8720000000003</v>
      </c>
      <c r="S46" s="28">
        <f t="shared" si="2"/>
        <v>5954.2</v>
      </c>
      <c r="T46" s="26" t="s">
        <v>36</v>
      </c>
      <c r="U46" s="26" t="s">
        <v>130</v>
      </c>
      <c r="V46" s="30">
        <v>2024</v>
      </c>
    </row>
    <row r="47" spans="1:22" x14ac:dyDescent="0.25">
      <c r="A47" s="25">
        <v>46</v>
      </c>
      <c r="B47" s="26" t="s">
        <v>30</v>
      </c>
      <c r="C47" s="26" t="s">
        <v>405</v>
      </c>
      <c r="D47" s="26" t="s">
        <v>272</v>
      </c>
      <c r="E47" s="26" t="s">
        <v>290</v>
      </c>
      <c r="F47" s="35">
        <v>45646</v>
      </c>
      <c r="G47" s="26"/>
      <c r="H47" s="26"/>
      <c r="I47" s="26" t="s">
        <v>40</v>
      </c>
      <c r="J47" s="26" t="s">
        <v>201</v>
      </c>
      <c r="K47" s="26" t="s">
        <v>283</v>
      </c>
      <c r="L47" s="26"/>
      <c r="M47" s="26" t="s">
        <v>298</v>
      </c>
      <c r="N47" s="26" t="s">
        <v>406</v>
      </c>
      <c r="O47" s="28">
        <v>1816.51</v>
      </c>
      <c r="P47" s="29">
        <f t="shared" si="0"/>
        <v>0.16000000000000009</v>
      </c>
      <c r="Q47" s="28">
        <f t="shared" si="1"/>
        <v>290.64160000000015</v>
      </c>
      <c r="R47" s="28">
        <v>2107.1516000000001</v>
      </c>
      <c r="S47" s="28">
        <f t="shared" si="2"/>
        <v>1816.51</v>
      </c>
      <c r="T47" s="26" t="s">
        <v>36</v>
      </c>
      <c r="U47" s="26" t="s">
        <v>130</v>
      </c>
      <c r="V47" s="30">
        <v>2024</v>
      </c>
    </row>
    <row r="48" spans="1:22" x14ac:dyDescent="0.25">
      <c r="A48" s="25">
        <v>47</v>
      </c>
      <c r="B48" s="26" t="s">
        <v>30</v>
      </c>
      <c r="C48" s="26" t="s">
        <v>407</v>
      </c>
      <c r="D48" s="26" t="s">
        <v>272</v>
      </c>
      <c r="E48" s="26" t="s">
        <v>290</v>
      </c>
      <c r="F48" s="35">
        <v>45646</v>
      </c>
      <c r="G48" s="26"/>
      <c r="H48" s="26"/>
      <c r="I48" s="26" t="s">
        <v>40</v>
      </c>
      <c r="J48" s="26" t="s">
        <v>201</v>
      </c>
      <c r="K48" s="26" t="s">
        <v>283</v>
      </c>
      <c r="L48" s="26"/>
      <c r="M48" s="26" t="s">
        <v>298</v>
      </c>
      <c r="N48" s="26" t="s">
        <v>408</v>
      </c>
      <c r="O48" s="28">
        <v>4509.97</v>
      </c>
      <c r="P48" s="29">
        <f t="shared" si="0"/>
        <v>0.15999999999999995</v>
      </c>
      <c r="Q48" s="28">
        <f t="shared" si="1"/>
        <v>721.59519999999975</v>
      </c>
      <c r="R48" s="28">
        <v>5231.5652</v>
      </c>
      <c r="S48" s="28">
        <f t="shared" si="2"/>
        <v>4509.97</v>
      </c>
      <c r="T48" s="26" t="s">
        <v>36</v>
      </c>
      <c r="U48" s="26" t="s">
        <v>130</v>
      </c>
      <c r="V48" s="30">
        <v>2024</v>
      </c>
    </row>
    <row r="49" spans="1:22" x14ac:dyDescent="0.25">
      <c r="A49" s="25">
        <v>48</v>
      </c>
      <c r="B49" s="26" t="s">
        <v>30</v>
      </c>
      <c r="C49" s="26" t="s">
        <v>409</v>
      </c>
      <c r="D49" s="26" t="s">
        <v>272</v>
      </c>
      <c r="E49" s="26" t="s">
        <v>285</v>
      </c>
      <c r="F49" s="35">
        <v>45646</v>
      </c>
      <c r="G49" s="26"/>
      <c r="H49" s="26"/>
      <c r="I49" s="26" t="s">
        <v>40</v>
      </c>
      <c r="J49" s="26" t="s">
        <v>201</v>
      </c>
      <c r="K49" s="26" t="s">
        <v>283</v>
      </c>
      <c r="L49" s="26"/>
      <c r="M49" s="26" t="s">
        <v>293</v>
      </c>
      <c r="N49" s="26" t="s">
        <v>410</v>
      </c>
      <c r="O49" s="28">
        <v>221.69</v>
      </c>
      <c r="P49" s="29">
        <f t="shared" si="0"/>
        <v>0.15000000000000002</v>
      </c>
      <c r="Q49" s="28">
        <f t="shared" si="1"/>
        <v>33.253500000000003</v>
      </c>
      <c r="R49" s="28">
        <v>254.9435</v>
      </c>
      <c r="S49" s="28">
        <f t="shared" si="2"/>
        <v>221.69</v>
      </c>
      <c r="T49" s="26" t="s">
        <v>36</v>
      </c>
      <c r="U49" s="26" t="s">
        <v>130</v>
      </c>
      <c r="V49" s="30">
        <v>2024</v>
      </c>
    </row>
    <row r="50" spans="1:22" x14ac:dyDescent="0.25">
      <c r="A50" s="25">
        <v>49</v>
      </c>
      <c r="B50" s="26" t="s">
        <v>30</v>
      </c>
      <c r="C50" s="26" t="s">
        <v>411</v>
      </c>
      <c r="D50" s="26" t="s">
        <v>272</v>
      </c>
      <c r="E50" s="26" t="s">
        <v>285</v>
      </c>
      <c r="F50" s="35">
        <v>45646</v>
      </c>
      <c r="G50" s="26"/>
      <c r="H50" s="26"/>
      <c r="I50" s="26" t="s">
        <v>40</v>
      </c>
      <c r="J50" s="26" t="s">
        <v>201</v>
      </c>
      <c r="K50" s="26" t="s">
        <v>283</v>
      </c>
      <c r="L50" s="26"/>
      <c r="M50" s="26" t="s">
        <v>293</v>
      </c>
      <c r="N50" s="26" t="s">
        <v>406</v>
      </c>
      <c r="O50" s="28">
        <v>148.11000000000001</v>
      </c>
      <c r="P50" s="29">
        <f t="shared" si="0"/>
        <v>0.14999999999999997</v>
      </c>
      <c r="Q50" s="28">
        <f t="shared" si="1"/>
        <v>22.216499999999996</v>
      </c>
      <c r="R50" s="28">
        <v>170.32650000000001</v>
      </c>
      <c r="S50" s="28">
        <f t="shared" si="2"/>
        <v>148.11000000000001</v>
      </c>
      <c r="T50" s="26" t="s">
        <v>36</v>
      </c>
      <c r="U50" s="26" t="s">
        <v>130</v>
      </c>
      <c r="V50" s="30">
        <v>2024</v>
      </c>
    </row>
    <row r="51" spans="1:22" x14ac:dyDescent="0.25">
      <c r="A51" s="25">
        <v>50</v>
      </c>
      <c r="B51" s="26" t="s">
        <v>30</v>
      </c>
      <c r="C51" s="26" t="s">
        <v>412</v>
      </c>
      <c r="D51" s="26" t="s">
        <v>272</v>
      </c>
      <c r="E51" s="26" t="s">
        <v>286</v>
      </c>
      <c r="F51" s="35">
        <v>45646</v>
      </c>
      <c r="G51" s="26"/>
      <c r="H51" s="26"/>
      <c r="I51" s="26" t="s">
        <v>40</v>
      </c>
      <c r="J51" s="26" t="s">
        <v>47</v>
      </c>
      <c r="K51" s="26" t="s">
        <v>283</v>
      </c>
      <c r="L51" s="26"/>
      <c r="M51" s="26" t="s">
        <v>286</v>
      </c>
      <c r="N51" s="26" t="s">
        <v>413</v>
      </c>
      <c r="O51" s="28">
        <v>31396.79</v>
      </c>
      <c r="P51" s="29">
        <f t="shared" si="0"/>
        <v>0.14999999999999994</v>
      </c>
      <c r="Q51" s="28">
        <f t="shared" si="1"/>
        <v>4709.5184999999983</v>
      </c>
      <c r="R51" s="28">
        <v>36106.308499999999</v>
      </c>
      <c r="S51" s="28">
        <f t="shared" si="2"/>
        <v>31396.79</v>
      </c>
      <c r="T51" s="26" t="s">
        <v>36</v>
      </c>
      <c r="U51" s="26" t="s">
        <v>130</v>
      </c>
      <c r="V51" s="30">
        <v>2024</v>
      </c>
    </row>
    <row r="52" spans="1:22" x14ac:dyDescent="0.25">
      <c r="A52" s="25">
        <v>51</v>
      </c>
      <c r="B52" s="26" t="s">
        <v>30</v>
      </c>
      <c r="C52" s="26" t="s">
        <v>414</v>
      </c>
      <c r="D52" s="26" t="s">
        <v>272</v>
      </c>
      <c r="E52" s="26" t="s">
        <v>285</v>
      </c>
      <c r="F52" s="35">
        <v>45646</v>
      </c>
      <c r="G52" s="26"/>
      <c r="H52" s="26"/>
      <c r="I52" s="26" t="s">
        <v>40</v>
      </c>
      <c r="J52" s="26" t="s">
        <v>47</v>
      </c>
      <c r="K52" s="26" t="s">
        <v>283</v>
      </c>
      <c r="L52" s="26"/>
      <c r="M52" s="26" t="s">
        <v>285</v>
      </c>
      <c r="N52" s="26" t="s">
        <v>415</v>
      </c>
      <c r="O52" s="28">
        <v>11594.39</v>
      </c>
      <c r="P52" s="29">
        <f t="shared" si="0"/>
        <v>0.15000000000000013</v>
      </c>
      <c r="Q52" s="28">
        <f t="shared" si="1"/>
        <v>1739.1585000000014</v>
      </c>
      <c r="R52" s="28">
        <v>13333.548500000001</v>
      </c>
      <c r="S52" s="28">
        <f t="shared" si="2"/>
        <v>11594.39</v>
      </c>
      <c r="T52" s="26" t="s">
        <v>36</v>
      </c>
      <c r="U52" s="26" t="s">
        <v>130</v>
      </c>
      <c r="V52" s="30">
        <v>2024</v>
      </c>
    </row>
    <row r="53" spans="1:22" x14ac:dyDescent="0.25">
      <c r="A53" s="25">
        <v>52</v>
      </c>
      <c r="B53" s="26" t="s">
        <v>30</v>
      </c>
      <c r="C53" s="26" t="s">
        <v>416</v>
      </c>
      <c r="D53" s="26" t="s">
        <v>272</v>
      </c>
      <c r="E53" s="26" t="s">
        <v>290</v>
      </c>
      <c r="F53" s="35">
        <v>45646</v>
      </c>
      <c r="G53" s="26"/>
      <c r="H53" s="26"/>
      <c r="I53" s="26" t="s">
        <v>40</v>
      </c>
      <c r="J53" s="26" t="s">
        <v>201</v>
      </c>
      <c r="K53" s="26" t="s">
        <v>283</v>
      </c>
      <c r="L53" s="26"/>
      <c r="M53" s="26" t="s">
        <v>299</v>
      </c>
      <c r="N53" s="26" t="s">
        <v>417</v>
      </c>
      <c r="O53" s="28">
        <v>2480.92</v>
      </c>
      <c r="P53" s="29">
        <f t="shared" si="0"/>
        <v>0.16000000000000003</v>
      </c>
      <c r="Q53" s="28">
        <f t="shared" si="1"/>
        <v>396.94720000000007</v>
      </c>
      <c r="R53" s="28">
        <v>2877.8672000000001</v>
      </c>
      <c r="S53" s="28">
        <f t="shared" si="2"/>
        <v>2480.92</v>
      </c>
      <c r="T53" s="26" t="s">
        <v>36</v>
      </c>
      <c r="U53" s="26" t="s">
        <v>130</v>
      </c>
      <c r="V53" s="30">
        <v>2024</v>
      </c>
    </row>
    <row r="54" spans="1:22" x14ac:dyDescent="0.25">
      <c r="A54" s="25">
        <v>53</v>
      </c>
      <c r="B54" s="26" t="s">
        <v>30</v>
      </c>
      <c r="C54" s="26" t="s">
        <v>418</v>
      </c>
      <c r="D54" s="26" t="s">
        <v>272</v>
      </c>
      <c r="E54" s="26" t="s">
        <v>286</v>
      </c>
      <c r="F54" s="35">
        <v>45646</v>
      </c>
      <c r="G54" s="26"/>
      <c r="H54" s="26"/>
      <c r="I54" s="26" t="s">
        <v>40</v>
      </c>
      <c r="J54" s="26" t="s">
        <v>201</v>
      </c>
      <c r="K54" s="26" t="s">
        <v>283</v>
      </c>
      <c r="L54" s="26"/>
      <c r="M54" s="26" t="s">
        <v>287</v>
      </c>
      <c r="N54" s="26" t="s">
        <v>351</v>
      </c>
      <c r="O54" s="28">
        <v>282.06</v>
      </c>
      <c r="P54" s="29">
        <f t="shared" si="0"/>
        <v>0.15000000000000008</v>
      </c>
      <c r="Q54" s="28">
        <f t="shared" si="1"/>
        <v>42.309000000000026</v>
      </c>
      <c r="R54" s="28">
        <v>324.36900000000003</v>
      </c>
      <c r="S54" s="28">
        <f t="shared" si="2"/>
        <v>282.06</v>
      </c>
      <c r="T54" s="26" t="s">
        <v>36</v>
      </c>
      <c r="U54" s="26" t="s">
        <v>130</v>
      </c>
      <c r="V54" s="30">
        <v>2024</v>
      </c>
    </row>
    <row r="55" spans="1:22" x14ac:dyDescent="0.25">
      <c r="A55" s="25">
        <v>54</v>
      </c>
      <c r="B55" s="26" t="s">
        <v>30</v>
      </c>
      <c r="C55" s="26" t="s">
        <v>419</v>
      </c>
      <c r="D55" s="26" t="s">
        <v>272</v>
      </c>
      <c r="E55" s="26" t="s">
        <v>301</v>
      </c>
      <c r="F55" s="35">
        <v>45658</v>
      </c>
      <c r="G55" s="26"/>
      <c r="H55" s="26"/>
      <c r="I55" s="26" t="s">
        <v>40</v>
      </c>
      <c r="J55" s="26" t="s">
        <v>47</v>
      </c>
      <c r="K55" s="26" t="s">
        <v>283</v>
      </c>
      <c r="L55" s="26"/>
      <c r="M55" s="26" t="s">
        <v>312</v>
      </c>
      <c r="N55" s="26" t="s">
        <v>420</v>
      </c>
      <c r="O55" s="28">
        <v>8282.4277500000007</v>
      </c>
      <c r="P55" s="29">
        <f t="shared" si="0"/>
        <v>0.15</v>
      </c>
      <c r="Q55" s="28">
        <f t="shared" si="1"/>
        <v>1242.3641625</v>
      </c>
      <c r="R55" s="28">
        <v>9524.7919125000008</v>
      </c>
      <c r="S55" s="28">
        <f t="shared" si="2"/>
        <v>0</v>
      </c>
      <c r="T55" s="26" t="s">
        <v>421</v>
      </c>
      <c r="U55" s="26" t="s">
        <v>152</v>
      </c>
      <c r="V55" s="30">
        <v>2025</v>
      </c>
    </row>
    <row r="56" spans="1:22" x14ac:dyDescent="0.25">
      <c r="A56" s="25">
        <v>55</v>
      </c>
      <c r="B56" s="26" t="s">
        <v>30</v>
      </c>
      <c r="C56" s="26" t="s">
        <v>422</v>
      </c>
      <c r="D56" s="26" t="s">
        <v>272</v>
      </c>
      <c r="E56" s="26" t="s">
        <v>286</v>
      </c>
      <c r="F56" s="35">
        <v>45713</v>
      </c>
      <c r="G56" s="26"/>
      <c r="H56" s="26"/>
      <c r="I56" s="26" t="s">
        <v>34</v>
      </c>
      <c r="J56" s="26" t="s">
        <v>377</v>
      </c>
      <c r="K56" s="26" t="s">
        <v>283</v>
      </c>
      <c r="L56" s="26"/>
      <c r="M56" s="26" t="s">
        <v>286</v>
      </c>
      <c r="N56" s="26" t="s">
        <v>423</v>
      </c>
      <c r="O56" s="28">
        <v>10428</v>
      </c>
      <c r="P56" s="29">
        <f t="shared" si="0"/>
        <v>0.15000000000000008</v>
      </c>
      <c r="Q56" s="28">
        <f t="shared" si="1"/>
        <v>1564.2000000000007</v>
      </c>
      <c r="R56" s="28">
        <v>11992.2</v>
      </c>
      <c r="S56" s="28">
        <f t="shared" si="2"/>
        <v>10428</v>
      </c>
      <c r="T56" s="26" t="s">
        <v>36</v>
      </c>
      <c r="U56" s="26" t="s">
        <v>152</v>
      </c>
      <c r="V56" s="30">
        <v>2025</v>
      </c>
    </row>
    <row r="57" spans="1:22" x14ac:dyDescent="0.25">
      <c r="A57" s="25">
        <v>56</v>
      </c>
      <c r="B57" s="26" t="s">
        <v>30</v>
      </c>
      <c r="C57" s="26" t="s">
        <v>424</v>
      </c>
      <c r="D57" s="26" t="s">
        <v>272</v>
      </c>
      <c r="E57" s="26" t="s">
        <v>290</v>
      </c>
      <c r="F57" s="35">
        <v>45713</v>
      </c>
      <c r="G57" s="26"/>
      <c r="H57" s="26"/>
      <c r="I57" s="26" t="s">
        <v>34</v>
      </c>
      <c r="J57" s="26" t="s">
        <v>35</v>
      </c>
      <c r="K57" s="26" t="s">
        <v>283</v>
      </c>
      <c r="L57" s="26"/>
      <c r="M57" s="26" t="s">
        <v>290</v>
      </c>
      <c r="N57" s="26" t="s">
        <v>425</v>
      </c>
      <c r="O57" s="28">
        <v>8144</v>
      </c>
      <c r="P57" s="29">
        <f t="shared" si="0"/>
        <v>0.16000000000000011</v>
      </c>
      <c r="Q57" s="28">
        <f t="shared" si="1"/>
        <v>1303.0400000000009</v>
      </c>
      <c r="R57" s="28">
        <v>9447.0400000000009</v>
      </c>
      <c r="S57" s="28">
        <f t="shared" si="2"/>
        <v>8144</v>
      </c>
      <c r="T57" s="26" t="s">
        <v>36</v>
      </c>
      <c r="U57" s="26" t="s">
        <v>152</v>
      </c>
      <c r="V57" s="30">
        <v>2025</v>
      </c>
    </row>
    <row r="58" spans="1:22" x14ac:dyDescent="0.25">
      <c r="A58" s="25">
        <v>57</v>
      </c>
      <c r="B58" s="26" t="s">
        <v>30</v>
      </c>
      <c r="C58" s="26" t="s">
        <v>426</v>
      </c>
      <c r="D58" s="26" t="s">
        <v>272</v>
      </c>
      <c r="E58" s="26" t="s">
        <v>285</v>
      </c>
      <c r="F58" s="35">
        <v>45713</v>
      </c>
      <c r="G58" s="26"/>
      <c r="H58" s="26"/>
      <c r="I58" s="26" t="s">
        <v>66</v>
      </c>
      <c r="J58" s="26" t="s">
        <v>302</v>
      </c>
      <c r="K58" s="26" t="s">
        <v>283</v>
      </c>
      <c r="L58" s="26"/>
      <c r="M58" s="26" t="s">
        <v>285</v>
      </c>
      <c r="N58" s="26" t="s">
        <v>427</v>
      </c>
      <c r="O58" s="28">
        <v>43359.5</v>
      </c>
      <c r="P58" s="29">
        <f t="shared" si="0"/>
        <v>0.15000000000000008</v>
      </c>
      <c r="Q58" s="28">
        <f t="shared" si="1"/>
        <v>6503.9250000000029</v>
      </c>
      <c r="R58" s="28">
        <v>49863.425000000003</v>
      </c>
      <c r="S58" s="28">
        <f t="shared" si="2"/>
        <v>43359.5</v>
      </c>
      <c r="T58" s="26" t="s">
        <v>36</v>
      </c>
      <c r="U58" s="26" t="s">
        <v>152</v>
      </c>
      <c r="V58" s="30">
        <v>2025</v>
      </c>
    </row>
    <row r="59" spans="1:22" x14ac:dyDescent="0.25">
      <c r="A59" s="25">
        <v>58</v>
      </c>
      <c r="B59" s="26" t="s">
        <v>30</v>
      </c>
      <c r="C59" s="26" t="s">
        <v>428</v>
      </c>
      <c r="D59" s="26" t="s">
        <v>272</v>
      </c>
      <c r="E59" s="26" t="s">
        <v>316</v>
      </c>
      <c r="F59" s="35">
        <v>45713</v>
      </c>
      <c r="G59" s="26"/>
      <c r="H59" s="26"/>
      <c r="I59" s="26" t="s">
        <v>66</v>
      </c>
      <c r="J59" s="26" t="s">
        <v>302</v>
      </c>
      <c r="K59" s="26" t="s">
        <v>283</v>
      </c>
      <c r="L59" s="26"/>
      <c r="M59" s="26" t="s">
        <v>300</v>
      </c>
      <c r="N59" s="26" t="s">
        <v>427</v>
      </c>
      <c r="O59" s="28">
        <v>12703.75</v>
      </c>
      <c r="P59" s="29">
        <f t="shared" si="0"/>
        <v>0.15</v>
      </c>
      <c r="Q59" s="28">
        <f t="shared" si="1"/>
        <v>1905.5625</v>
      </c>
      <c r="R59" s="28">
        <v>14609.3125</v>
      </c>
      <c r="S59" s="28">
        <f t="shared" si="2"/>
        <v>12703.75</v>
      </c>
      <c r="T59" s="26" t="s">
        <v>36</v>
      </c>
      <c r="U59" s="26" t="s">
        <v>152</v>
      </c>
      <c r="V59" s="30">
        <v>2025</v>
      </c>
    </row>
    <row r="60" spans="1:22" x14ac:dyDescent="0.25">
      <c r="A60" s="25">
        <v>59</v>
      </c>
      <c r="B60" s="26" t="s">
        <v>30</v>
      </c>
      <c r="C60" s="26" t="s">
        <v>429</v>
      </c>
      <c r="D60" s="26" t="s">
        <v>272</v>
      </c>
      <c r="E60" s="26" t="s">
        <v>286</v>
      </c>
      <c r="F60" s="35">
        <v>45713</v>
      </c>
      <c r="G60" s="26"/>
      <c r="H60" s="26"/>
      <c r="I60" s="26" t="s">
        <v>66</v>
      </c>
      <c r="J60" s="26" t="s">
        <v>302</v>
      </c>
      <c r="K60" s="26" t="s">
        <v>283</v>
      </c>
      <c r="L60" s="26"/>
      <c r="M60" s="26" t="s">
        <v>286</v>
      </c>
      <c r="N60" s="26" t="s">
        <v>427</v>
      </c>
      <c r="O60" s="28">
        <v>148906.5</v>
      </c>
      <c r="P60" s="29">
        <f t="shared" si="0"/>
        <v>0.15000000000000005</v>
      </c>
      <c r="Q60" s="28">
        <f t="shared" si="1"/>
        <v>22335.975000000006</v>
      </c>
      <c r="R60" s="28">
        <v>171242.47500000001</v>
      </c>
      <c r="S60" s="28">
        <f t="shared" si="2"/>
        <v>148906.5</v>
      </c>
      <c r="T60" s="26" t="s">
        <v>36</v>
      </c>
      <c r="U60" s="26" t="s">
        <v>152</v>
      </c>
      <c r="V60" s="30">
        <v>2025</v>
      </c>
    </row>
    <row r="61" spans="1:22" x14ac:dyDescent="0.25">
      <c r="A61" s="25">
        <v>60</v>
      </c>
      <c r="B61" s="26" t="s">
        <v>30</v>
      </c>
      <c r="C61" s="26" t="s">
        <v>430</v>
      </c>
      <c r="D61" s="26" t="s">
        <v>272</v>
      </c>
      <c r="E61" s="26" t="s">
        <v>290</v>
      </c>
      <c r="F61" s="35">
        <v>45713</v>
      </c>
      <c r="G61" s="26"/>
      <c r="H61" s="26"/>
      <c r="I61" s="26" t="s">
        <v>66</v>
      </c>
      <c r="J61" s="26" t="s">
        <v>86</v>
      </c>
      <c r="K61" s="26" t="s">
        <v>283</v>
      </c>
      <c r="L61" s="26"/>
      <c r="M61" s="26" t="s">
        <v>290</v>
      </c>
      <c r="N61" s="26" t="s">
        <v>431</v>
      </c>
      <c r="O61" s="28">
        <v>113950</v>
      </c>
      <c r="P61" s="29">
        <f t="shared" si="0"/>
        <v>0.16</v>
      </c>
      <c r="Q61" s="28">
        <f t="shared" si="1"/>
        <v>18232</v>
      </c>
      <c r="R61" s="28">
        <v>132182</v>
      </c>
      <c r="S61" s="28">
        <f t="shared" si="2"/>
        <v>113950</v>
      </c>
      <c r="T61" s="26" t="s">
        <v>36</v>
      </c>
      <c r="U61" s="26" t="s">
        <v>152</v>
      </c>
      <c r="V61" s="30">
        <v>2025</v>
      </c>
    </row>
    <row r="62" spans="1:22" x14ac:dyDescent="0.25">
      <c r="A62" s="25">
        <v>61</v>
      </c>
      <c r="B62" s="26" t="s">
        <v>30</v>
      </c>
      <c r="C62" s="26" t="s">
        <v>432</v>
      </c>
      <c r="D62" s="26" t="s">
        <v>272</v>
      </c>
      <c r="E62" s="26" t="s">
        <v>192</v>
      </c>
      <c r="F62" s="35">
        <v>45713</v>
      </c>
      <c r="G62" s="26"/>
      <c r="H62" s="26"/>
      <c r="I62" s="26" t="s">
        <v>40</v>
      </c>
      <c r="J62" s="26" t="s">
        <v>47</v>
      </c>
      <c r="K62" s="26" t="s">
        <v>283</v>
      </c>
      <c r="L62" s="26"/>
      <c r="M62" s="26" t="s">
        <v>279</v>
      </c>
      <c r="N62" s="26" t="s">
        <v>433</v>
      </c>
      <c r="O62" s="28">
        <v>27024.678974999999</v>
      </c>
      <c r="P62" s="29">
        <f t="shared" si="0"/>
        <v>0.15000000000000008</v>
      </c>
      <c r="Q62" s="28">
        <f t="shared" si="1"/>
        <v>4053.7018462500018</v>
      </c>
      <c r="R62" s="28">
        <v>31078.380821250001</v>
      </c>
      <c r="S62" s="28">
        <f t="shared" si="2"/>
        <v>27024.678974999999</v>
      </c>
      <c r="T62" s="26" t="s">
        <v>36</v>
      </c>
      <c r="U62" s="26" t="s">
        <v>152</v>
      </c>
      <c r="V62" s="30">
        <v>2025</v>
      </c>
    </row>
    <row r="63" spans="1:22" x14ac:dyDescent="0.25">
      <c r="A63" s="25">
        <v>62</v>
      </c>
      <c r="B63" s="26" t="s">
        <v>30</v>
      </c>
      <c r="C63" s="26" t="s">
        <v>434</v>
      </c>
      <c r="D63" s="26" t="s">
        <v>272</v>
      </c>
      <c r="E63" s="26" t="s">
        <v>289</v>
      </c>
      <c r="F63" s="35">
        <v>45713</v>
      </c>
      <c r="G63" s="26"/>
      <c r="H63" s="26"/>
      <c r="I63" s="26" t="s">
        <v>40</v>
      </c>
      <c r="J63" s="26" t="s">
        <v>47</v>
      </c>
      <c r="K63" s="26" t="s">
        <v>283</v>
      </c>
      <c r="L63" s="26"/>
      <c r="M63" s="26" t="s">
        <v>289</v>
      </c>
      <c r="N63" s="26" t="s">
        <v>433</v>
      </c>
      <c r="O63" s="28">
        <v>1299.43</v>
      </c>
      <c r="P63" s="29">
        <f t="shared" si="0"/>
        <v>0.14999999999999988</v>
      </c>
      <c r="Q63" s="28">
        <f t="shared" si="1"/>
        <v>194.91449999999986</v>
      </c>
      <c r="R63" s="28">
        <v>1494.3444999999999</v>
      </c>
      <c r="S63" s="28">
        <f t="shared" si="2"/>
        <v>1299.43</v>
      </c>
      <c r="T63" s="26" t="s">
        <v>36</v>
      </c>
      <c r="U63" s="26" t="s">
        <v>152</v>
      </c>
      <c r="V63" s="30">
        <v>2025</v>
      </c>
    </row>
    <row r="64" spans="1:22" x14ac:dyDescent="0.25">
      <c r="A64" s="25">
        <v>63</v>
      </c>
      <c r="B64" s="26" t="s">
        <v>30</v>
      </c>
      <c r="C64" s="26" t="s">
        <v>435</v>
      </c>
      <c r="D64" s="26" t="s">
        <v>272</v>
      </c>
      <c r="E64" s="26" t="s">
        <v>285</v>
      </c>
      <c r="F64" s="35">
        <v>45779</v>
      </c>
      <c r="G64" s="26"/>
      <c r="H64" s="26"/>
      <c r="I64" s="26" t="s">
        <v>40</v>
      </c>
      <c r="J64" s="26" t="s">
        <v>47</v>
      </c>
      <c r="K64" s="26" t="s">
        <v>283</v>
      </c>
      <c r="L64" s="26"/>
      <c r="M64" s="26" t="s">
        <v>285</v>
      </c>
      <c r="N64" s="26" t="s">
        <v>436</v>
      </c>
      <c r="O64" s="28">
        <v>7937.27</v>
      </c>
      <c r="P64" s="29">
        <f t="shared" si="0"/>
        <v>0.15000000000000002</v>
      </c>
      <c r="Q64" s="28">
        <f t="shared" si="1"/>
        <v>1190.5905000000002</v>
      </c>
      <c r="R64" s="28">
        <v>9127.8605000000007</v>
      </c>
      <c r="S64" s="28">
        <f t="shared" si="2"/>
        <v>7937.27</v>
      </c>
      <c r="T64" s="26" t="s">
        <v>36</v>
      </c>
      <c r="U64" s="26" t="s">
        <v>37</v>
      </c>
      <c r="V64" s="30">
        <v>2025</v>
      </c>
    </row>
    <row r="65" spans="1:22" x14ac:dyDescent="0.25">
      <c r="A65" s="25">
        <v>64</v>
      </c>
      <c r="B65" s="26" t="s">
        <v>30</v>
      </c>
      <c r="C65" s="26" t="s">
        <v>437</v>
      </c>
      <c r="D65" s="26" t="s">
        <v>272</v>
      </c>
      <c r="E65" s="26" t="s">
        <v>500</v>
      </c>
      <c r="F65" s="35">
        <v>45779</v>
      </c>
      <c r="G65" s="26"/>
      <c r="H65" s="26"/>
      <c r="I65" s="26" t="s">
        <v>40</v>
      </c>
      <c r="J65" s="26" t="s">
        <v>47</v>
      </c>
      <c r="K65" s="26" t="s">
        <v>283</v>
      </c>
      <c r="L65" s="26"/>
      <c r="M65" s="26" t="s">
        <v>501</v>
      </c>
      <c r="N65" s="26" t="s">
        <v>438</v>
      </c>
      <c r="O65" s="28">
        <v>9789.92</v>
      </c>
      <c r="P65" s="29">
        <f t="shared" si="0"/>
        <v>0.14999999999999994</v>
      </c>
      <c r="Q65" s="28">
        <f t="shared" si="1"/>
        <v>1468.4879999999994</v>
      </c>
      <c r="R65" s="28">
        <v>11258.407999999999</v>
      </c>
      <c r="S65" s="28">
        <f t="shared" si="2"/>
        <v>9789.92</v>
      </c>
      <c r="T65" s="26" t="s">
        <v>36</v>
      </c>
      <c r="U65" s="26" t="s">
        <v>37</v>
      </c>
      <c r="V65" s="30">
        <v>2025</v>
      </c>
    </row>
    <row r="66" spans="1:22" x14ac:dyDescent="0.25">
      <c r="A66" s="25">
        <v>65</v>
      </c>
      <c r="B66" s="26" t="s">
        <v>30</v>
      </c>
      <c r="C66" s="26" t="s">
        <v>439</v>
      </c>
      <c r="D66" s="26" t="s">
        <v>272</v>
      </c>
      <c r="E66" s="26" t="s">
        <v>301</v>
      </c>
      <c r="F66" s="35">
        <v>45779</v>
      </c>
      <c r="G66" s="26"/>
      <c r="H66" s="26"/>
      <c r="I66" s="26" t="s">
        <v>34</v>
      </c>
      <c r="J66" s="26" t="s">
        <v>35</v>
      </c>
      <c r="K66" s="26" t="s">
        <v>283</v>
      </c>
      <c r="L66" s="26"/>
      <c r="M66" s="26" t="s">
        <v>301</v>
      </c>
      <c r="N66" s="26" t="s">
        <v>440</v>
      </c>
      <c r="O66" s="28">
        <v>10742</v>
      </c>
      <c r="P66" s="29">
        <f t="shared" ref="P66:P104" si="3">IF(O66=0,"",Q66/O66)</f>
        <v>0.14999999999999994</v>
      </c>
      <c r="Q66" s="28">
        <f t="shared" ref="Q66:Q104" si="4">R66-O66</f>
        <v>1611.2999999999993</v>
      </c>
      <c r="R66" s="28">
        <v>12353.3</v>
      </c>
      <c r="S66" s="28">
        <f t="shared" ref="S66:S104" si="5">IF(T66="Cleared",O66,0)</f>
        <v>10742</v>
      </c>
      <c r="T66" s="26" t="s">
        <v>36</v>
      </c>
      <c r="U66" s="26" t="s">
        <v>37</v>
      </c>
      <c r="V66" s="30">
        <v>2025</v>
      </c>
    </row>
    <row r="67" spans="1:22" x14ac:dyDescent="0.25">
      <c r="A67" s="25">
        <v>66</v>
      </c>
      <c r="B67" s="26" t="s">
        <v>30</v>
      </c>
      <c r="C67" s="26" t="s">
        <v>441</v>
      </c>
      <c r="D67" s="26" t="s">
        <v>272</v>
      </c>
      <c r="E67" s="26" t="s">
        <v>286</v>
      </c>
      <c r="F67" s="35">
        <v>45779</v>
      </c>
      <c r="G67" s="26"/>
      <c r="H67" s="26"/>
      <c r="I67" s="26" t="s">
        <v>34</v>
      </c>
      <c r="J67" s="26" t="s">
        <v>377</v>
      </c>
      <c r="K67" s="26" t="s">
        <v>283</v>
      </c>
      <c r="L67" s="26"/>
      <c r="M67" s="26" t="s">
        <v>286</v>
      </c>
      <c r="N67" s="26" t="s">
        <v>442</v>
      </c>
      <c r="O67" s="28">
        <v>9764</v>
      </c>
      <c r="P67" s="29">
        <f t="shared" si="3"/>
        <v>0.15000000000000005</v>
      </c>
      <c r="Q67" s="28">
        <f t="shared" si="4"/>
        <v>1464.6000000000004</v>
      </c>
      <c r="R67" s="28">
        <v>11228.6</v>
      </c>
      <c r="S67" s="28">
        <f t="shared" si="5"/>
        <v>9764</v>
      </c>
      <c r="T67" s="26" t="s">
        <v>36</v>
      </c>
      <c r="U67" s="26" t="s">
        <v>37</v>
      </c>
      <c r="V67" s="30">
        <v>2025</v>
      </c>
    </row>
    <row r="68" spans="1:22" x14ac:dyDescent="0.25">
      <c r="A68" s="25">
        <v>67</v>
      </c>
      <c r="B68" s="26" t="s">
        <v>30</v>
      </c>
      <c r="C68" s="26" t="s">
        <v>443</v>
      </c>
      <c r="D68" s="26" t="s">
        <v>272</v>
      </c>
      <c r="E68" s="26" t="s">
        <v>286</v>
      </c>
      <c r="F68" s="35">
        <v>45834</v>
      </c>
      <c r="G68" s="26"/>
      <c r="H68" s="26"/>
      <c r="I68" s="26" t="s">
        <v>40</v>
      </c>
      <c r="J68" s="26" t="s">
        <v>201</v>
      </c>
      <c r="K68" s="26" t="s">
        <v>283</v>
      </c>
      <c r="L68" s="26"/>
      <c r="M68" s="26" t="s">
        <v>502</v>
      </c>
      <c r="N68" s="26" t="s">
        <v>444</v>
      </c>
      <c r="O68" s="28">
        <v>7459.6376399999999</v>
      </c>
      <c r="P68" s="29">
        <f t="shared" si="3"/>
        <v>0.14999999999999988</v>
      </c>
      <c r="Q68" s="28">
        <f t="shared" si="4"/>
        <v>1118.9456459999992</v>
      </c>
      <c r="R68" s="28">
        <v>8578.5832859999991</v>
      </c>
      <c r="S68" s="28">
        <f t="shared" si="5"/>
        <v>7459.6376399999999</v>
      </c>
      <c r="T68" s="26" t="s">
        <v>36</v>
      </c>
      <c r="U68" s="26" t="s">
        <v>37</v>
      </c>
      <c r="V68" s="30">
        <v>2025</v>
      </c>
    </row>
    <row r="69" spans="1:22" x14ac:dyDescent="0.25">
      <c r="A69" s="25">
        <v>68</v>
      </c>
      <c r="B69" s="26" t="s">
        <v>30</v>
      </c>
      <c r="C69" s="26" t="s">
        <v>445</v>
      </c>
      <c r="D69" s="26" t="s">
        <v>272</v>
      </c>
      <c r="E69" s="26" t="s">
        <v>290</v>
      </c>
      <c r="F69" s="35">
        <v>45834</v>
      </c>
      <c r="G69" s="26"/>
      <c r="H69" s="26"/>
      <c r="I69" s="26" t="s">
        <v>40</v>
      </c>
      <c r="J69" s="26" t="s">
        <v>201</v>
      </c>
      <c r="K69" s="26" t="s">
        <v>283</v>
      </c>
      <c r="L69" s="26"/>
      <c r="M69" s="26" t="s">
        <v>298</v>
      </c>
      <c r="N69" s="26" t="s">
        <v>446</v>
      </c>
      <c r="O69" s="28">
        <v>1503.32</v>
      </c>
      <c r="P69" s="29">
        <f t="shared" si="3"/>
        <v>0.16000000000000009</v>
      </c>
      <c r="Q69" s="28">
        <f t="shared" si="4"/>
        <v>240.53120000000013</v>
      </c>
      <c r="R69" s="28">
        <v>1743.8512000000001</v>
      </c>
      <c r="S69" s="28">
        <f t="shared" si="5"/>
        <v>1503.32</v>
      </c>
      <c r="T69" s="26" t="s">
        <v>36</v>
      </c>
      <c r="U69" s="26" t="s">
        <v>37</v>
      </c>
      <c r="V69" s="30">
        <v>2025</v>
      </c>
    </row>
    <row r="70" spans="1:22" x14ac:dyDescent="0.25">
      <c r="A70" s="25">
        <v>69</v>
      </c>
      <c r="B70" s="26" t="s">
        <v>30</v>
      </c>
      <c r="C70" s="26" t="s">
        <v>447</v>
      </c>
      <c r="D70" s="26" t="s">
        <v>272</v>
      </c>
      <c r="E70" s="26" t="s">
        <v>301</v>
      </c>
      <c r="F70" s="35">
        <v>45834</v>
      </c>
      <c r="G70" s="26"/>
      <c r="H70" s="26"/>
      <c r="I70" s="26" t="s">
        <v>34</v>
      </c>
      <c r="J70" s="26" t="s">
        <v>35</v>
      </c>
      <c r="K70" s="26" t="s">
        <v>283</v>
      </c>
      <c r="L70" s="26"/>
      <c r="M70" s="26" t="s">
        <v>301</v>
      </c>
      <c r="N70" s="26" t="s">
        <v>448</v>
      </c>
      <c r="O70" s="28">
        <v>8116</v>
      </c>
      <c r="P70" s="29">
        <f t="shared" si="3"/>
        <v>0.14999999999999997</v>
      </c>
      <c r="Q70" s="28">
        <f t="shared" si="4"/>
        <v>1217.3999999999996</v>
      </c>
      <c r="R70" s="28">
        <v>9333.4</v>
      </c>
      <c r="S70" s="28">
        <f t="shared" si="5"/>
        <v>8116</v>
      </c>
      <c r="T70" s="26" t="s">
        <v>36</v>
      </c>
      <c r="U70" s="26" t="s">
        <v>37</v>
      </c>
      <c r="V70" s="30">
        <v>2025</v>
      </c>
    </row>
    <row r="71" spans="1:22" x14ac:dyDescent="0.25">
      <c r="A71" s="25">
        <v>70</v>
      </c>
      <c r="B71" s="26" t="s">
        <v>30</v>
      </c>
      <c r="C71" s="26" t="s">
        <v>449</v>
      </c>
      <c r="D71" s="26" t="s">
        <v>272</v>
      </c>
      <c r="E71" s="26" t="s">
        <v>301</v>
      </c>
      <c r="F71" s="35">
        <v>45834</v>
      </c>
      <c r="G71" s="26"/>
      <c r="H71" s="26"/>
      <c r="I71" s="26" t="s">
        <v>111</v>
      </c>
      <c r="J71" s="26" t="s">
        <v>112</v>
      </c>
      <c r="K71" s="26" t="s">
        <v>283</v>
      </c>
      <c r="L71" s="26"/>
      <c r="M71" s="26" t="s">
        <v>301</v>
      </c>
      <c r="N71" s="26" t="s">
        <v>450</v>
      </c>
      <c r="O71" s="28">
        <v>300</v>
      </c>
      <c r="P71" s="29">
        <f t="shared" si="3"/>
        <v>0.15</v>
      </c>
      <c r="Q71" s="28">
        <f t="shared" si="4"/>
        <v>45</v>
      </c>
      <c r="R71" s="28">
        <v>345</v>
      </c>
      <c r="S71" s="28">
        <f t="shared" si="5"/>
        <v>300</v>
      </c>
      <c r="T71" s="26" t="s">
        <v>36</v>
      </c>
      <c r="U71" s="26" t="s">
        <v>37</v>
      </c>
      <c r="V71" s="30">
        <v>2025</v>
      </c>
    </row>
    <row r="72" spans="1:22" x14ac:dyDescent="0.25">
      <c r="A72" s="25">
        <v>71</v>
      </c>
      <c r="B72" s="26" t="s">
        <v>30</v>
      </c>
      <c r="C72" s="26" t="s">
        <v>451</v>
      </c>
      <c r="D72" s="26" t="s">
        <v>272</v>
      </c>
      <c r="E72" s="26" t="s">
        <v>290</v>
      </c>
      <c r="F72" s="35">
        <v>45834</v>
      </c>
      <c r="G72" s="26"/>
      <c r="H72" s="26"/>
      <c r="I72" s="26" t="s">
        <v>111</v>
      </c>
      <c r="J72" s="26" t="s">
        <v>112</v>
      </c>
      <c r="K72" s="26" t="s">
        <v>283</v>
      </c>
      <c r="L72" s="26"/>
      <c r="M72" s="26" t="s">
        <v>290</v>
      </c>
      <c r="N72" s="26" t="s">
        <v>452</v>
      </c>
      <c r="O72" s="28">
        <v>180</v>
      </c>
      <c r="P72" s="29">
        <f t="shared" si="3"/>
        <v>0.15</v>
      </c>
      <c r="Q72" s="28">
        <f t="shared" si="4"/>
        <v>27</v>
      </c>
      <c r="R72" s="28">
        <v>207</v>
      </c>
      <c r="S72" s="28">
        <f t="shared" si="5"/>
        <v>180</v>
      </c>
      <c r="T72" s="26" t="s">
        <v>36</v>
      </c>
      <c r="U72" s="26" t="s">
        <v>37</v>
      </c>
      <c r="V72" s="30">
        <v>2025</v>
      </c>
    </row>
    <row r="73" spans="1:22" x14ac:dyDescent="0.25">
      <c r="A73" s="25">
        <v>72</v>
      </c>
      <c r="B73" s="26" t="s">
        <v>30</v>
      </c>
      <c r="C73" s="26" t="s">
        <v>453</v>
      </c>
      <c r="D73" s="26" t="s">
        <v>272</v>
      </c>
      <c r="E73" s="26" t="s">
        <v>290</v>
      </c>
      <c r="F73" s="35">
        <v>45841</v>
      </c>
      <c r="G73" s="26"/>
      <c r="H73" s="26"/>
      <c r="I73" s="26" t="s">
        <v>66</v>
      </c>
      <c r="J73" s="26" t="s">
        <v>177</v>
      </c>
      <c r="K73" s="26" t="s">
        <v>283</v>
      </c>
      <c r="L73" s="26"/>
      <c r="M73" s="26" t="s">
        <v>290</v>
      </c>
      <c r="N73" s="26" t="s">
        <v>454</v>
      </c>
      <c r="O73" s="28">
        <v>54325</v>
      </c>
      <c r="P73" s="29">
        <f t="shared" si="3"/>
        <v>0.16</v>
      </c>
      <c r="Q73" s="28">
        <f t="shared" si="4"/>
        <v>8692</v>
      </c>
      <c r="R73" s="28">
        <v>63017</v>
      </c>
      <c r="S73" s="28">
        <f t="shared" si="5"/>
        <v>0</v>
      </c>
      <c r="T73" s="26" t="s">
        <v>421</v>
      </c>
      <c r="U73" s="26" t="s">
        <v>102</v>
      </c>
      <c r="V73" s="30">
        <v>2025</v>
      </c>
    </row>
    <row r="74" spans="1:22" x14ac:dyDescent="0.25">
      <c r="A74" s="25">
        <v>73</v>
      </c>
      <c r="B74" s="26" t="s">
        <v>30</v>
      </c>
      <c r="C74" s="26" t="s">
        <v>455</v>
      </c>
      <c r="D74" s="26" t="s">
        <v>272</v>
      </c>
      <c r="E74" s="26" t="s">
        <v>286</v>
      </c>
      <c r="F74" s="35">
        <v>45841</v>
      </c>
      <c r="G74" s="26"/>
      <c r="H74" s="26"/>
      <c r="I74" s="26" t="s">
        <v>66</v>
      </c>
      <c r="J74" s="26" t="s">
        <v>307</v>
      </c>
      <c r="K74" s="26" t="s">
        <v>283</v>
      </c>
      <c r="L74" s="26"/>
      <c r="M74" s="26" t="s">
        <v>286</v>
      </c>
      <c r="N74" s="26" t="s">
        <v>456</v>
      </c>
      <c r="O74" s="28">
        <v>18418.5</v>
      </c>
      <c r="P74" s="29">
        <f t="shared" si="3"/>
        <v>0.15000000000000008</v>
      </c>
      <c r="Q74" s="28">
        <f t="shared" si="4"/>
        <v>2762.7750000000015</v>
      </c>
      <c r="R74" s="28">
        <v>21181.275000000001</v>
      </c>
      <c r="S74" s="28">
        <f t="shared" si="5"/>
        <v>18418.5</v>
      </c>
      <c r="T74" s="26" t="s">
        <v>36</v>
      </c>
      <c r="U74" s="26" t="s">
        <v>102</v>
      </c>
      <c r="V74" s="30">
        <v>2025</v>
      </c>
    </row>
    <row r="75" spans="1:22" x14ac:dyDescent="0.25">
      <c r="A75" s="25">
        <v>74</v>
      </c>
      <c r="B75" s="26" t="s">
        <v>30</v>
      </c>
      <c r="C75" s="26" t="s">
        <v>457</v>
      </c>
      <c r="D75" s="26" t="s">
        <v>272</v>
      </c>
      <c r="E75" s="26" t="s">
        <v>192</v>
      </c>
      <c r="F75" s="35">
        <v>45841</v>
      </c>
      <c r="G75" s="26"/>
      <c r="H75" s="26"/>
      <c r="I75" s="26" t="s">
        <v>66</v>
      </c>
      <c r="J75" s="26" t="s">
        <v>307</v>
      </c>
      <c r="K75" s="26" t="s">
        <v>283</v>
      </c>
      <c r="L75" s="26"/>
      <c r="M75" s="26" t="s">
        <v>192</v>
      </c>
      <c r="N75" s="26" t="s">
        <v>456</v>
      </c>
      <c r="O75" s="28">
        <v>197472.5</v>
      </c>
      <c r="P75" s="29">
        <f t="shared" si="3"/>
        <v>0.15</v>
      </c>
      <c r="Q75" s="28">
        <f t="shared" si="4"/>
        <v>29620.875</v>
      </c>
      <c r="R75" s="28">
        <v>227093.375</v>
      </c>
      <c r="S75" s="28">
        <f t="shared" si="5"/>
        <v>197472.5</v>
      </c>
      <c r="T75" s="26" t="s">
        <v>36</v>
      </c>
      <c r="U75" s="26" t="s">
        <v>102</v>
      </c>
      <c r="V75" s="30">
        <v>2025</v>
      </c>
    </row>
    <row r="76" spans="1:22" x14ac:dyDescent="0.25">
      <c r="A76" s="25">
        <v>75</v>
      </c>
      <c r="B76" s="26" t="s">
        <v>30</v>
      </c>
      <c r="C76" s="26" t="s">
        <v>3</v>
      </c>
      <c r="D76" s="26" t="s">
        <v>272</v>
      </c>
      <c r="E76" s="26" t="s">
        <v>289</v>
      </c>
      <c r="F76" s="35">
        <v>45841</v>
      </c>
      <c r="G76" s="26"/>
      <c r="H76" s="26"/>
      <c r="I76" s="26" t="s">
        <v>40</v>
      </c>
      <c r="J76" s="26" t="s">
        <v>47</v>
      </c>
      <c r="K76" s="26" t="s">
        <v>283</v>
      </c>
      <c r="L76" s="26"/>
      <c r="M76" s="26" t="s">
        <v>46</v>
      </c>
      <c r="N76" s="26" t="s">
        <v>458</v>
      </c>
      <c r="O76" s="28">
        <v>7077.1</v>
      </c>
      <c r="P76" s="29">
        <f t="shared" si="3"/>
        <v>0.14999999999999994</v>
      </c>
      <c r="Q76" s="28">
        <f t="shared" si="4"/>
        <v>1061.5649999999996</v>
      </c>
      <c r="R76" s="28">
        <v>8138.665</v>
      </c>
      <c r="S76" s="28">
        <f t="shared" si="5"/>
        <v>7077.1</v>
      </c>
      <c r="T76" s="26" t="s">
        <v>36</v>
      </c>
      <c r="U76" s="26" t="s">
        <v>102</v>
      </c>
      <c r="V76" s="30">
        <v>2025</v>
      </c>
    </row>
    <row r="77" spans="1:22" x14ac:dyDescent="0.25">
      <c r="A77" s="25">
        <v>76</v>
      </c>
      <c r="B77" s="26" t="s">
        <v>30</v>
      </c>
      <c r="C77" s="26" t="s">
        <v>4</v>
      </c>
      <c r="D77" s="26" t="s">
        <v>272</v>
      </c>
      <c r="E77" s="26" t="s">
        <v>301</v>
      </c>
      <c r="F77" s="35">
        <v>45841</v>
      </c>
      <c r="G77" s="26"/>
      <c r="H77" s="26"/>
      <c r="I77" s="26" t="s">
        <v>40</v>
      </c>
      <c r="J77" s="26" t="s">
        <v>201</v>
      </c>
      <c r="K77" s="26" t="s">
        <v>283</v>
      </c>
      <c r="L77" s="26"/>
      <c r="M77" s="26" t="s">
        <v>503</v>
      </c>
      <c r="N77" s="26" t="s">
        <v>459</v>
      </c>
      <c r="O77" s="28">
        <v>14426.89</v>
      </c>
      <c r="P77" s="29">
        <f t="shared" si="3"/>
        <v>0.15000000000000011</v>
      </c>
      <c r="Q77" s="28">
        <f t="shared" si="4"/>
        <v>2164.0335000000014</v>
      </c>
      <c r="R77" s="28">
        <v>16590.923500000001</v>
      </c>
      <c r="S77" s="28">
        <f t="shared" si="5"/>
        <v>14426.89</v>
      </c>
      <c r="T77" s="26" t="s">
        <v>36</v>
      </c>
      <c r="U77" s="26" t="s">
        <v>102</v>
      </c>
      <c r="V77" s="30">
        <v>2025</v>
      </c>
    </row>
    <row r="78" spans="1:22" x14ac:dyDescent="0.25">
      <c r="A78" s="25">
        <v>77</v>
      </c>
      <c r="B78" s="26" t="s">
        <v>30</v>
      </c>
      <c r="C78" s="26" t="s">
        <v>460</v>
      </c>
      <c r="D78" s="26" t="s">
        <v>272</v>
      </c>
      <c r="E78" s="26" t="s">
        <v>301</v>
      </c>
      <c r="F78" s="35">
        <v>45841</v>
      </c>
      <c r="G78" s="26"/>
      <c r="H78" s="26"/>
      <c r="I78" s="26" t="s">
        <v>34</v>
      </c>
      <c r="J78" s="26" t="s">
        <v>35</v>
      </c>
      <c r="K78" s="26" t="s">
        <v>283</v>
      </c>
      <c r="L78" s="26"/>
      <c r="M78" s="26" t="s">
        <v>301</v>
      </c>
      <c r="N78" s="26" t="s">
        <v>461</v>
      </c>
      <c r="O78" s="28">
        <v>3936</v>
      </c>
      <c r="P78" s="29">
        <f t="shared" si="3"/>
        <v>0.14999999999999991</v>
      </c>
      <c r="Q78" s="28">
        <f t="shared" si="4"/>
        <v>590.39999999999964</v>
      </c>
      <c r="R78" s="28">
        <v>4526.3999999999996</v>
      </c>
      <c r="S78" s="28">
        <f t="shared" si="5"/>
        <v>3936</v>
      </c>
      <c r="T78" s="26" t="s">
        <v>36</v>
      </c>
      <c r="U78" s="26" t="s">
        <v>102</v>
      </c>
      <c r="V78" s="30">
        <v>2025</v>
      </c>
    </row>
    <row r="79" spans="1:22" x14ac:dyDescent="0.25">
      <c r="A79" s="25">
        <v>78</v>
      </c>
      <c r="B79" s="26" t="s">
        <v>30</v>
      </c>
      <c r="C79" s="26" t="s">
        <v>5</v>
      </c>
      <c r="D79" s="26" t="s">
        <v>272</v>
      </c>
      <c r="E79" s="26" t="s">
        <v>301</v>
      </c>
      <c r="F79" s="35">
        <v>45841</v>
      </c>
      <c r="G79" s="26"/>
      <c r="H79" s="26"/>
      <c r="I79" s="26" t="s">
        <v>40</v>
      </c>
      <c r="J79" s="26" t="s">
        <v>201</v>
      </c>
      <c r="K79" s="26" t="s">
        <v>283</v>
      </c>
      <c r="L79" s="26"/>
      <c r="M79" s="26" t="s">
        <v>504</v>
      </c>
      <c r="N79" s="26" t="s">
        <v>462</v>
      </c>
      <c r="O79" s="28">
        <v>4351.4799999999996</v>
      </c>
      <c r="P79" s="29">
        <f t="shared" si="3"/>
        <v>0.15000000000000016</v>
      </c>
      <c r="Q79" s="28">
        <f t="shared" si="4"/>
        <v>652.72200000000066</v>
      </c>
      <c r="R79" s="28">
        <v>5004.2020000000002</v>
      </c>
      <c r="S79" s="28">
        <f t="shared" si="5"/>
        <v>4351.4799999999996</v>
      </c>
      <c r="T79" s="26" t="s">
        <v>36</v>
      </c>
      <c r="U79" s="26" t="s">
        <v>102</v>
      </c>
      <c r="V79" s="30">
        <v>2025</v>
      </c>
    </row>
    <row r="80" spans="1:22" x14ac:dyDescent="0.25">
      <c r="A80" s="25">
        <v>79</v>
      </c>
      <c r="B80" s="26" t="s">
        <v>30</v>
      </c>
      <c r="C80" s="26" t="s">
        <v>6</v>
      </c>
      <c r="D80" s="26" t="s">
        <v>272</v>
      </c>
      <c r="E80" s="26" t="s">
        <v>301</v>
      </c>
      <c r="F80" s="35">
        <v>45841</v>
      </c>
      <c r="G80" s="26"/>
      <c r="H80" s="26"/>
      <c r="I80" s="26" t="s">
        <v>40</v>
      </c>
      <c r="J80" s="26" t="s">
        <v>201</v>
      </c>
      <c r="K80" s="26" t="s">
        <v>283</v>
      </c>
      <c r="L80" s="26"/>
      <c r="M80" s="26" t="s">
        <v>505</v>
      </c>
      <c r="N80" s="26" t="s">
        <v>462</v>
      </c>
      <c r="O80" s="28">
        <v>7336.31</v>
      </c>
      <c r="P80" s="29">
        <f t="shared" si="3"/>
        <v>0.14999999999999988</v>
      </c>
      <c r="Q80" s="28">
        <f t="shared" si="4"/>
        <v>1100.4464999999991</v>
      </c>
      <c r="R80" s="28">
        <v>8436.7564999999995</v>
      </c>
      <c r="S80" s="28">
        <f t="shared" si="5"/>
        <v>7336.31</v>
      </c>
      <c r="T80" s="26" t="s">
        <v>36</v>
      </c>
      <c r="U80" s="26" t="s">
        <v>102</v>
      </c>
      <c r="V80" s="30">
        <v>2025</v>
      </c>
    </row>
    <row r="81" spans="1:22" x14ac:dyDescent="0.25">
      <c r="A81" s="25">
        <v>80</v>
      </c>
      <c r="B81" s="26" t="s">
        <v>30</v>
      </c>
      <c r="C81" s="26" t="s">
        <v>7</v>
      </c>
      <c r="D81" s="26" t="s">
        <v>272</v>
      </c>
      <c r="E81" s="26" t="s">
        <v>289</v>
      </c>
      <c r="F81" s="35">
        <v>45841</v>
      </c>
      <c r="G81" s="26"/>
      <c r="H81" s="26"/>
      <c r="I81" s="26" t="s">
        <v>66</v>
      </c>
      <c r="J81" s="26" t="s">
        <v>307</v>
      </c>
      <c r="K81" s="26" t="s">
        <v>283</v>
      </c>
      <c r="L81" s="26"/>
      <c r="M81" s="26" t="s">
        <v>46</v>
      </c>
      <c r="N81" s="26" t="s">
        <v>456</v>
      </c>
      <c r="O81" s="28">
        <v>5668.75</v>
      </c>
      <c r="P81" s="29">
        <f t="shared" si="3"/>
        <v>0.15</v>
      </c>
      <c r="Q81" s="28">
        <f t="shared" si="4"/>
        <v>850.3125</v>
      </c>
      <c r="R81" s="28">
        <v>6519.0625</v>
      </c>
      <c r="S81" s="28">
        <f t="shared" si="5"/>
        <v>5668.75</v>
      </c>
      <c r="T81" s="26" t="s">
        <v>36</v>
      </c>
      <c r="U81" s="26" t="s">
        <v>102</v>
      </c>
      <c r="V81" s="30">
        <v>2025</v>
      </c>
    </row>
    <row r="82" spans="1:22" x14ac:dyDescent="0.25">
      <c r="A82" s="25">
        <v>81</v>
      </c>
      <c r="B82" s="26" t="s">
        <v>30</v>
      </c>
      <c r="C82" s="26" t="s">
        <v>463</v>
      </c>
      <c r="D82" s="26" t="s">
        <v>272</v>
      </c>
      <c r="E82" s="26" t="s">
        <v>285</v>
      </c>
      <c r="F82" s="35">
        <v>45841</v>
      </c>
      <c r="G82" s="26"/>
      <c r="H82" s="26"/>
      <c r="I82" s="26" t="s">
        <v>66</v>
      </c>
      <c r="J82" s="26" t="s">
        <v>307</v>
      </c>
      <c r="K82" s="26" t="s">
        <v>283</v>
      </c>
      <c r="L82" s="26"/>
      <c r="M82" s="26" t="s">
        <v>285</v>
      </c>
      <c r="N82" s="26" t="s">
        <v>456</v>
      </c>
      <c r="O82" s="28">
        <v>38522.5</v>
      </c>
      <c r="P82" s="29">
        <f t="shared" si="3"/>
        <v>0.15</v>
      </c>
      <c r="Q82" s="28">
        <f t="shared" si="4"/>
        <v>5778.375</v>
      </c>
      <c r="R82" s="28">
        <v>44300.875</v>
      </c>
      <c r="S82" s="28">
        <f t="shared" si="5"/>
        <v>0</v>
      </c>
      <c r="T82" s="26" t="s">
        <v>421</v>
      </c>
      <c r="U82" s="26" t="s">
        <v>102</v>
      </c>
      <c r="V82" s="30">
        <v>2025</v>
      </c>
    </row>
    <row r="83" spans="1:22" x14ac:dyDescent="0.25">
      <c r="A83" s="25">
        <v>82</v>
      </c>
      <c r="B83" s="26" t="s">
        <v>30</v>
      </c>
      <c r="C83" s="26" t="s">
        <v>464</v>
      </c>
      <c r="D83" s="26" t="s">
        <v>272</v>
      </c>
      <c r="E83" s="26" t="s">
        <v>286</v>
      </c>
      <c r="F83" s="35">
        <v>45870</v>
      </c>
      <c r="G83" s="26"/>
      <c r="H83" s="26"/>
      <c r="I83" s="26" t="s">
        <v>111</v>
      </c>
      <c r="J83" s="26" t="s">
        <v>112</v>
      </c>
      <c r="K83" s="26" t="s">
        <v>283</v>
      </c>
      <c r="L83" s="26"/>
      <c r="M83" s="26" t="s">
        <v>286</v>
      </c>
      <c r="N83" s="26" t="s">
        <v>465</v>
      </c>
      <c r="O83" s="28">
        <v>732</v>
      </c>
      <c r="P83" s="29">
        <f t="shared" si="3"/>
        <v>0.14999999999999994</v>
      </c>
      <c r="Q83" s="28">
        <f t="shared" si="4"/>
        <v>109.79999999999995</v>
      </c>
      <c r="R83" s="28">
        <v>841.8</v>
      </c>
      <c r="S83" s="28">
        <f t="shared" si="5"/>
        <v>732</v>
      </c>
      <c r="T83" s="26" t="s">
        <v>36</v>
      </c>
      <c r="U83" s="26" t="s">
        <v>102</v>
      </c>
      <c r="V83" s="30">
        <v>2025</v>
      </c>
    </row>
    <row r="84" spans="1:22" x14ac:dyDescent="0.25">
      <c r="A84" s="25">
        <v>83</v>
      </c>
      <c r="B84" s="26" t="s">
        <v>30</v>
      </c>
      <c r="C84" s="26" t="s">
        <v>466</v>
      </c>
      <c r="D84" s="26" t="s">
        <v>272</v>
      </c>
      <c r="E84" s="26" t="s">
        <v>301</v>
      </c>
      <c r="F84" s="35">
        <v>45880</v>
      </c>
      <c r="G84" s="26"/>
      <c r="H84" s="26"/>
      <c r="I84" s="26" t="s">
        <v>34</v>
      </c>
      <c r="J84" s="26" t="s">
        <v>35</v>
      </c>
      <c r="K84" s="26" t="s">
        <v>283</v>
      </c>
      <c r="L84" s="26"/>
      <c r="M84" s="26" t="s">
        <v>301</v>
      </c>
      <c r="N84" s="26" t="s">
        <v>467</v>
      </c>
      <c r="O84" s="28">
        <v>4633</v>
      </c>
      <c r="P84" s="29">
        <f t="shared" si="3"/>
        <v>0.14999999999999997</v>
      </c>
      <c r="Q84" s="28">
        <f t="shared" si="4"/>
        <v>694.94999999999982</v>
      </c>
      <c r="R84" s="28">
        <v>5327.95</v>
      </c>
      <c r="S84" s="28">
        <f t="shared" si="5"/>
        <v>4633</v>
      </c>
      <c r="T84" s="26" t="s">
        <v>36</v>
      </c>
      <c r="U84" s="26" t="s">
        <v>102</v>
      </c>
      <c r="V84" s="30">
        <v>2025</v>
      </c>
    </row>
    <row r="85" spans="1:22" x14ac:dyDescent="0.25">
      <c r="A85" s="25">
        <v>84</v>
      </c>
      <c r="B85" s="26" t="s">
        <v>30</v>
      </c>
      <c r="C85" s="26" t="s">
        <v>468</v>
      </c>
      <c r="D85" s="26" t="s">
        <v>272</v>
      </c>
      <c r="E85" s="26" t="s">
        <v>305</v>
      </c>
      <c r="F85" s="35">
        <v>45880</v>
      </c>
      <c r="G85" s="26"/>
      <c r="H85" s="26"/>
      <c r="I85" s="26" t="s">
        <v>34</v>
      </c>
      <c r="J85" s="26" t="s">
        <v>35</v>
      </c>
      <c r="K85" s="26" t="s">
        <v>283</v>
      </c>
      <c r="L85" s="26"/>
      <c r="M85" s="26" t="s">
        <v>305</v>
      </c>
      <c r="N85" s="26" t="s">
        <v>467</v>
      </c>
      <c r="O85" s="28">
        <v>1204</v>
      </c>
      <c r="P85" s="29">
        <f t="shared" si="3"/>
        <v>0.14999999999999991</v>
      </c>
      <c r="Q85" s="28">
        <f t="shared" si="4"/>
        <v>180.59999999999991</v>
      </c>
      <c r="R85" s="28">
        <v>1384.6</v>
      </c>
      <c r="S85" s="28">
        <f t="shared" si="5"/>
        <v>1204</v>
      </c>
      <c r="T85" s="26" t="s">
        <v>36</v>
      </c>
      <c r="U85" s="26" t="s">
        <v>102</v>
      </c>
      <c r="V85" s="30">
        <v>2025</v>
      </c>
    </row>
    <row r="86" spans="1:22" x14ac:dyDescent="0.25">
      <c r="A86" s="25">
        <v>85</v>
      </c>
      <c r="B86" s="26" t="s">
        <v>30</v>
      </c>
      <c r="C86" s="26" t="s">
        <v>469</v>
      </c>
      <c r="D86" s="26" t="s">
        <v>272</v>
      </c>
      <c r="E86" s="26" t="s">
        <v>305</v>
      </c>
      <c r="F86" s="35">
        <v>45888</v>
      </c>
      <c r="G86" s="26"/>
      <c r="H86" s="26"/>
      <c r="I86" s="26" t="s">
        <v>40</v>
      </c>
      <c r="J86" s="26" t="s">
        <v>201</v>
      </c>
      <c r="K86" s="26" t="s">
        <v>283</v>
      </c>
      <c r="L86" s="26"/>
      <c r="M86" s="26" t="s">
        <v>309</v>
      </c>
      <c r="N86" s="26" t="s">
        <v>470</v>
      </c>
      <c r="O86" s="28">
        <v>1979</v>
      </c>
      <c r="P86" s="29">
        <f t="shared" si="3"/>
        <v>0.14999999999999997</v>
      </c>
      <c r="Q86" s="28">
        <f t="shared" si="4"/>
        <v>296.84999999999991</v>
      </c>
      <c r="R86" s="28">
        <v>2275.85</v>
      </c>
      <c r="S86" s="28">
        <f t="shared" si="5"/>
        <v>1979</v>
      </c>
      <c r="T86" s="26" t="s">
        <v>36</v>
      </c>
      <c r="U86" s="26" t="s">
        <v>102</v>
      </c>
      <c r="V86" s="30">
        <v>2025</v>
      </c>
    </row>
    <row r="87" spans="1:22" x14ac:dyDescent="0.25">
      <c r="A87" s="25">
        <v>86</v>
      </c>
      <c r="B87" s="26" t="s">
        <v>30</v>
      </c>
      <c r="C87" s="26" t="s">
        <v>471</v>
      </c>
      <c r="D87" s="26" t="s">
        <v>272</v>
      </c>
      <c r="E87" s="26" t="s">
        <v>305</v>
      </c>
      <c r="F87" s="35">
        <v>45888</v>
      </c>
      <c r="G87" s="26"/>
      <c r="H87" s="26"/>
      <c r="I87" s="26" t="s">
        <v>40</v>
      </c>
      <c r="J87" s="26" t="s">
        <v>201</v>
      </c>
      <c r="K87" s="26" t="s">
        <v>283</v>
      </c>
      <c r="L87" s="26"/>
      <c r="M87" s="26" t="s">
        <v>506</v>
      </c>
      <c r="N87" s="26" t="s">
        <v>470</v>
      </c>
      <c r="O87" s="28">
        <v>2065.94</v>
      </c>
      <c r="P87" s="29">
        <f t="shared" si="3"/>
        <v>0.15000000000000002</v>
      </c>
      <c r="Q87" s="28">
        <f t="shared" si="4"/>
        <v>309.89100000000008</v>
      </c>
      <c r="R87" s="28">
        <v>2375.8310000000001</v>
      </c>
      <c r="S87" s="28">
        <f t="shared" si="5"/>
        <v>2065.94</v>
      </c>
      <c r="T87" s="26" t="s">
        <v>36</v>
      </c>
      <c r="U87" s="26" t="s">
        <v>102</v>
      </c>
      <c r="V87" s="30">
        <v>2025</v>
      </c>
    </row>
    <row r="88" spans="1:22" x14ac:dyDescent="0.25">
      <c r="A88" s="25">
        <v>87</v>
      </c>
      <c r="B88" s="26" t="s">
        <v>30</v>
      </c>
      <c r="C88" s="26" t="s">
        <v>472</v>
      </c>
      <c r="D88" s="26" t="s">
        <v>272</v>
      </c>
      <c r="E88" s="26" t="s">
        <v>286</v>
      </c>
      <c r="F88" s="35">
        <v>45889</v>
      </c>
      <c r="G88" s="26"/>
      <c r="H88" s="26"/>
      <c r="I88" s="26" t="s">
        <v>111</v>
      </c>
      <c r="J88" s="26" t="s">
        <v>112</v>
      </c>
      <c r="K88" s="26" t="s">
        <v>283</v>
      </c>
      <c r="L88" s="26"/>
      <c r="M88" s="26" t="s">
        <v>306</v>
      </c>
      <c r="N88" s="26" t="s">
        <v>473</v>
      </c>
      <c r="O88" s="28">
        <v>372</v>
      </c>
      <c r="P88" s="29">
        <f t="shared" si="3"/>
        <v>0.15000000000000002</v>
      </c>
      <c r="Q88" s="28">
        <f t="shared" si="4"/>
        <v>55.800000000000011</v>
      </c>
      <c r="R88" s="28">
        <v>427.8</v>
      </c>
      <c r="S88" s="28">
        <f t="shared" si="5"/>
        <v>372</v>
      </c>
      <c r="T88" s="26" t="s">
        <v>36</v>
      </c>
      <c r="U88" s="26" t="s">
        <v>102</v>
      </c>
      <c r="V88" s="30">
        <v>2025</v>
      </c>
    </row>
    <row r="89" spans="1:22" x14ac:dyDescent="0.25">
      <c r="A89" s="25">
        <v>88</v>
      </c>
      <c r="B89" s="26" t="s">
        <v>30</v>
      </c>
      <c r="C89" s="26" t="s">
        <v>474</v>
      </c>
      <c r="D89" s="26" t="s">
        <v>272</v>
      </c>
      <c r="E89" s="26" t="s">
        <v>286</v>
      </c>
      <c r="F89" s="35">
        <v>45915</v>
      </c>
      <c r="G89" s="26"/>
      <c r="H89" s="26"/>
      <c r="I89" s="26" t="s">
        <v>111</v>
      </c>
      <c r="J89" s="26" t="s">
        <v>112</v>
      </c>
      <c r="K89" s="26" t="s">
        <v>283</v>
      </c>
      <c r="L89" s="26"/>
      <c r="M89" s="26" t="s">
        <v>306</v>
      </c>
      <c r="N89" s="26" t="s">
        <v>475</v>
      </c>
      <c r="O89" s="28">
        <v>318</v>
      </c>
      <c r="P89" s="29">
        <f t="shared" si="3"/>
        <v>0.14999999999999997</v>
      </c>
      <c r="Q89" s="28">
        <f t="shared" si="4"/>
        <v>47.699999999999989</v>
      </c>
      <c r="R89" s="28">
        <v>365.7</v>
      </c>
      <c r="S89" s="28">
        <f t="shared" si="5"/>
        <v>318</v>
      </c>
      <c r="T89" s="26" t="s">
        <v>36</v>
      </c>
      <c r="U89" s="26" t="s">
        <v>102</v>
      </c>
      <c r="V89" s="30">
        <v>2025</v>
      </c>
    </row>
    <row r="90" spans="1:22" x14ac:dyDescent="0.25">
      <c r="A90" s="25">
        <v>89</v>
      </c>
      <c r="B90" s="26" t="s">
        <v>30</v>
      </c>
      <c r="C90" s="26" t="s">
        <v>476</v>
      </c>
      <c r="D90" s="26" t="s">
        <v>272</v>
      </c>
      <c r="E90" s="26" t="s">
        <v>301</v>
      </c>
      <c r="F90" s="35">
        <v>45915</v>
      </c>
      <c r="G90" s="26"/>
      <c r="H90" s="26"/>
      <c r="I90" s="26" t="s">
        <v>34</v>
      </c>
      <c r="J90" s="26" t="s">
        <v>35</v>
      </c>
      <c r="K90" s="26" t="s">
        <v>283</v>
      </c>
      <c r="L90" s="26"/>
      <c r="M90" s="26" t="s">
        <v>301</v>
      </c>
      <c r="N90" s="26" t="s">
        <v>477</v>
      </c>
      <c r="O90" s="28">
        <v>4345</v>
      </c>
      <c r="P90" s="29">
        <f t="shared" si="3"/>
        <v>0.15</v>
      </c>
      <c r="Q90" s="28">
        <f t="shared" si="4"/>
        <v>651.75</v>
      </c>
      <c r="R90" s="28">
        <v>4996.75</v>
      </c>
      <c r="S90" s="28">
        <f t="shared" si="5"/>
        <v>4345</v>
      </c>
      <c r="T90" s="26" t="s">
        <v>36</v>
      </c>
      <c r="U90" s="26" t="s">
        <v>102</v>
      </c>
      <c r="V90" s="30">
        <v>2025</v>
      </c>
    </row>
    <row r="91" spans="1:22" x14ac:dyDescent="0.25">
      <c r="A91" s="25">
        <v>90</v>
      </c>
      <c r="B91" s="26" t="s">
        <v>30</v>
      </c>
      <c r="C91" s="26" t="s">
        <v>8</v>
      </c>
      <c r="D91" s="26" t="s">
        <v>272</v>
      </c>
      <c r="E91" s="26" t="s">
        <v>305</v>
      </c>
      <c r="F91" s="35">
        <v>45917</v>
      </c>
      <c r="G91" s="26"/>
      <c r="H91" s="26"/>
      <c r="I91" s="26" t="s">
        <v>34</v>
      </c>
      <c r="J91" s="26" t="s">
        <v>35</v>
      </c>
      <c r="K91" s="26" t="s">
        <v>283</v>
      </c>
      <c r="L91" s="26"/>
      <c r="M91" s="26" t="s">
        <v>305</v>
      </c>
      <c r="N91" s="26" t="s">
        <v>478</v>
      </c>
      <c r="O91" s="28">
        <v>4756</v>
      </c>
      <c r="P91" s="29">
        <f t="shared" si="3"/>
        <v>0.14999999999999991</v>
      </c>
      <c r="Q91" s="28">
        <f t="shared" si="4"/>
        <v>713.39999999999964</v>
      </c>
      <c r="R91" s="28">
        <v>5469.4</v>
      </c>
      <c r="S91" s="28">
        <f t="shared" si="5"/>
        <v>4756</v>
      </c>
      <c r="T91" s="26" t="s">
        <v>36</v>
      </c>
      <c r="U91" s="26" t="s">
        <v>102</v>
      </c>
      <c r="V91" s="30">
        <v>2025</v>
      </c>
    </row>
    <row r="92" spans="1:22" x14ac:dyDescent="0.25">
      <c r="A92" s="25">
        <v>91</v>
      </c>
      <c r="B92" s="26" t="s">
        <v>30</v>
      </c>
      <c r="C92" s="26" t="s">
        <v>479</v>
      </c>
      <c r="D92" s="26" t="s">
        <v>272</v>
      </c>
      <c r="E92" s="26" t="s">
        <v>286</v>
      </c>
      <c r="F92" s="35">
        <v>45931</v>
      </c>
      <c r="G92" s="26"/>
      <c r="H92" s="26"/>
      <c r="I92" s="26" t="s">
        <v>40</v>
      </c>
      <c r="J92" s="26" t="s">
        <v>47</v>
      </c>
      <c r="K92" s="26" t="s">
        <v>283</v>
      </c>
      <c r="L92" s="26"/>
      <c r="M92" s="26" t="s">
        <v>286</v>
      </c>
      <c r="N92" s="26" t="s">
        <v>480</v>
      </c>
      <c r="O92" s="28">
        <v>13153.27</v>
      </c>
      <c r="P92" s="29">
        <f t="shared" si="3"/>
        <v>0.15</v>
      </c>
      <c r="Q92" s="28">
        <f t="shared" si="4"/>
        <v>1972.9904999999999</v>
      </c>
      <c r="R92" s="28">
        <v>15126.2605</v>
      </c>
      <c r="S92" s="28">
        <f t="shared" si="5"/>
        <v>0</v>
      </c>
      <c r="T92" s="26" t="s">
        <v>421</v>
      </c>
      <c r="U92" s="26" t="s">
        <v>130</v>
      </c>
      <c r="V92" s="30">
        <v>2025</v>
      </c>
    </row>
    <row r="93" spans="1:22" x14ac:dyDescent="0.25">
      <c r="A93" s="25">
        <v>92</v>
      </c>
      <c r="B93" s="26" t="s">
        <v>30</v>
      </c>
      <c r="C93" s="26" t="s">
        <v>481</v>
      </c>
      <c r="D93" s="26" t="s">
        <v>272</v>
      </c>
      <c r="E93" s="26" t="s">
        <v>301</v>
      </c>
      <c r="F93" s="35">
        <v>45931</v>
      </c>
      <c r="G93" s="26"/>
      <c r="H93" s="26"/>
      <c r="I93" s="26" t="s">
        <v>40</v>
      </c>
      <c r="J93" s="26" t="s">
        <v>47</v>
      </c>
      <c r="K93" s="26" t="s">
        <v>283</v>
      </c>
      <c r="L93" s="26"/>
      <c r="M93" s="26" t="s">
        <v>301</v>
      </c>
      <c r="N93" s="26" t="s">
        <v>482</v>
      </c>
      <c r="O93" s="28">
        <v>11461.446</v>
      </c>
      <c r="P93" s="29">
        <f t="shared" si="3"/>
        <v>0.14999999999999994</v>
      </c>
      <c r="Q93" s="28">
        <f t="shared" si="4"/>
        <v>1719.2168999999994</v>
      </c>
      <c r="R93" s="28">
        <v>13180.662899999999</v>
      </c>
      <c r="S93" s="28">
        <f t="shared" si="5"/>
        <v>11461.446</v>
      </c>
      <c r="T93" s="26" t="s">
        <v>36</v>
      </c>
      <c r="U93" s="26" t="s">
        <v>130</v>
      </c>
      <c r="V93" s="30">
        <v>2025</v>
      </c>
    </row>
    <row r="94" spans="1:22" x14ac:dyDescent="0.25">
      <c r="A94" s="25">
        <v>93</v>
      </c>
      <c r="B94" s="26" t="s">
        <v>30</v>
      </c>
      <c r="C94" s="26" t="s">
        <v>483</v>
      </c>
      <c r="D94" s="26" t="s">
        <v>272</v>
      </c>
      <c r="E94" s="26" t="s">
        <v>301</v>
      </c>
      <c r="F94" s="35">
        <v>45938</v>
      </c>
      <c r="G94" s="26"/>
      <c r="H94" s="26"/>
      <c r="I94" s="26" t="s">
        <v>66</v>
      </c>
      <c r="J94" s="26" t="s">
        <v>307</v>
      </c>
      <c r="K94" s="26" t="s">
        <v>283</v>
      </c>
      <c r="L94" s="26"/>
      <c r="M94" s="26" t="s">
        <v>301</v>
      </c>
      <c r="N94" s="26" t="s">
        <v>456</v>
      </c>
      <c r="O94" s="28">
        <v>66996.649999999994</v>
      </c>
      <c r="P94" s="29">
        <f t="shared" si="3"/>
        <v>0.15000000000000019</v>
      </c>
      <c r="Q94" s="28">
        <f t="shared" si="4"/>
        <v>10049.497500000012</v>
      </c>
      <c r="R94" s="28">
        <v>77046.147500000006</v>
      </c>
      <c r="S94" s="28">
        <f t="shared" si="5"/>
        <v>66996.649999999994</v>
      </c>
      <c r="T94" s="26" t="s">
        <v>36</v>
      </c>
      <c r="U94" s="26" t="s">
        <v>130</v>
      </c>
      <c r="V94" s="30">
        <v>2025</v>
      </c>
    </row>
    <row r="95" spans="1:22" x14ac:dyDescent="0.25">
      <c r="A95" s="25">
        <v>94</v>
      </c>
      <c r="B95" s="26" t="s">
        <v>30</v>
      </c>
      <c r="C95" s="26" t="s">
        <v>484</v>
      </c>
      <c r="D95" s="26" t="s">
        <v>272</v>
      </c>
      <c r="E95" s="26" t="s">
        <v>286</v>
      </c>
      <c r="F95" s="35">
        <v>45958</v>
      </c>
      <c r="G95" s="26"/>
      <c r="H95" s="26"/>
      <c r="I95" s="26" t="s">
        <v>40</v>
      </c>
      <c r="J95" s="26" t="s">
        <v>47</v>
      </c>
      <c r="K95" s="26" t="s">
        <v>283</v>
      </c>
      <c r="L95" s="26"/>
      <c r="M95" s="26" t="s">
        <v>286</v>
      </c>
      <c r="N95" s="26" t="s">
        <v>485</v>
      </c>
      <c r="O95" s="28">
        <v>15835.39</v>
      </c>
      <c r="P95" s="29">
        <f t="shared" si="3"/>
        <v>0.14999999999999997</v>
      </c>
      <c r="Q95" s="28">
        <f t="shared" si="4"/>
        <v>2375.3084999999992</v>
      </c>
      <c r="R95" s="28">
        <v>18210.698499999999</v>
      </c>
      <c r="S95" s="28">
        <f t="shared" si="5"/>
        <v>0</v>
      </c>
      <c r="T95" s="26" t="s">
        <v>421</v>
      </c>
      <c r="U95" s="26" t="s">
        <v>130</v>
      </c>
      <c r="V95" s="30">
        <v>2025</v>
      </c>
    </row>
    <row r="96" spans="1:22" x14ac:dyDescent="0.25">
      <c r="A96" s="25">
        <v>95</v>
      </c>
      <c r="B96" s="26" t="s">
        <v>30</v>
      </c>
      <c r="C96" s="26" t="s">
        <v>486</v>
      </c>
      <c r="D96" s="26" t="s">
        <v>272</v>
      </c>
      <c r="E96" s="26" t="s">
        <v>305</v>
      </c>
      <c r="F96" s="35">
        <v>45958</v>
      </c>
      <c r="G96" s="26"/>
      <c r="H96" s="26"/>
      <c r="I96" s="26" t="s">
        <v>40</v>
      </c>
      <c r="J96" s="26" t="s">
        <v>47</v>
      </c>
      <c r="K96" s="26" t="s">
        <v>283</v>
      </c>
      <c r="L96" s="26"/>
      <c r="M96" s="26" t="s">
        <v>305</v>
      </c>
      <c r="N96" s="26" t="s">
        <v>420</v>
      </c>
      <c r="O96" s="28">
        <v>13189.05</v>
      </c>
      <c r="P96" s="29">
        <f t="shared" si="3"/>
        <v>0.15000000000000002</v>
      </c>
      <c r="Q96" s="28">
        <f t="shared" si="4"/>
        <v>1978.3575000000001</v>
      </c>
      <c r="R96" s="28">
        <v>15167.407499999999</v>
      </c>
      <c r="S96" s="28">
        <f t="shared" si="5"/>
        <v>0</v>
      </c>
      <c r="T96" s="26" t="s">
        <v>421</v>
      </c>
      <c r="U96" s="26" t="s">
        <v>130</v>
      </c>
      <c r="V96" s="30">
        <v>2025</v>
      </c>
    </row>
    <row r="97" spans="1:22" x14ac:dyDescent="0.25">
      <c r="A97" s="25">
        <v>96</v>
      </c>
      <c r="B97" s="26" t="s">
        <v>30</v>
      </c>
      <c r="C97" s="26" t="s">
        <v>487</v>
      </c>
      <c r="D97" s="26" t="s">
        <v>272</v>
      </c>
      <c r="E97" s="26" t="s">
        <v>305</v>
      </c>
      <c r="F97" s="35">
        <v>45961</v>
      </c>
      <c r="G97" s="26"/>
      <c r="H97" s="26"/>
      <c r="I97" s="26" t="s">
        <v>40</v>
      </c>
      <c r="J97" s="26" t="s">
        <v>201</v>
      </c>
      <c r="K97" s="26" t="s">
        <v>283</v>
      </c>
      <c r="L97" s="26"/>
      <c r="M97" s="26" t="s">
        <v>309</v>
      </c>
      <c r="N97" s="26" t="s">
        <v>488</v>
      </c>
      <c r="O97" s="28">
        <v>4084.78</v>
      </c>
      <c r="P97" s="29">
        <f t="shared" si="3"/>
        <v>0.15000073443367815</v>
      </c>
      <c r="Q97" s="28">
        <f t="shared" si="4"/>
        <v>612.7199999999998</v>
      </c>
      <c r="R97" s="28">
        <v>4697.5</v>
      </c>
      <c r="S97" s="28">
        <f t="shared" si="5"/>
        <v>4084.78</v>
      </c>
      <c r="T97" s="26" t="s">
        <v>36</v>
      </c>
      <c r="U97" s="26" t="s">
        <v>130</v>
      </c>
      <c r="V97" s="30">
        <v>2025</v>
      </c>
    </row>
    <row r="98" spans="1:22" x14ac:dyDescent="0.25">
      <c r="A98" s="25">
        <v>97</v>
      </c>
      <c r="B98" s="26" t="s">
        <v>30</v>
      </c>
      <c r="C98" s="26" t="s">
        <v>489</v>
      </c>
      <c r="D98" s="26" t="s">
        <v>272</v>
      </c>
      <c r="E98" s="26" t="s">
        <v>305</v>
      </c>
      <c r="F98" s="35">
        <v>45961</v>
      </c>
      <c r="G98" s="26"/>
      <c r="H98" s="26"/>
      <c r="I98" s="26" t="s">
        <v>40</v>
      </c>
      <c r="J98" s="26" t="s">
        <v>201</v>
      </c>
      <c r="K98" s="26" t="s">
        <v>283</v>
      </c>
      <c r="L98" s="26"/>
      <c r="M98" s="26" t="s">
        <v>313</v>
      </c>
      <c r="N98" s="26" t="s">
        <v>488</v>
      </c>
      <c r="O98" s="28">
        <v>1415.03</v>
      </c>
      <c r="P98" s="29">
        <f t="shared" si="3"/>
        <v>0.14999681985540944</v>
      </c>
      <c r="Q98" s="28">
        <f t="shared" si="4"/>
        <v>212.25</v>
      </c>
      <c r="R98" s="28">
        <v>1627.28</v>
      </c>
      <c r="S98" s="28">
        <f t="shared" si="5"/>
        <v>0</v>
      </c>
      <c r="T98" s="26" t="s">
        <v>421</v>
      </c>
      <c r="U98" s="26" t="s">
        <v>130</v>
      </c>
      <c r="V98" s="30">
        <v>2025</v>
      </c>
    </row>
    <row r="99" spans="1:22" x14ac:dyDescent="0.25">
      <c r="A99" s="25">
        <v>98</v>
      </c>
      <c r="B99" s="26" t="s">
        <v>30</v>
      </c>
      <c r="C99" s="26" t="s">
        <v>490</v>
      </c>
      <c r="D99" s="26" t="s">
        <v>272</v>
      </c>
      <c r="E99" s="26" t="s">
        <v>289</v>
      </c>
      <c r="F99" s="35">
        <v>45962</v>
      </c>
      <c r="G99" s="26"/>
      <c r="H99" s="26"/>
      <c r="I99" s="26" t="s">
        <v>34</v>
      </c>
      <c r="J99" s="26" t="s">
        <v>315</v>
      </c>
      <c r="K99" s="26" t="s">
        <v>283</v>
      </c>
      <c r="L99" s="26"/>
      <c r="M99" s="26" t="s">
        <v>46</v>
      </c>
      <c r="N99" s="26" t="s">
        <v>491</v>
      </c>
      <c r="O99" s="28">
        <v>13326</v>
      </c>
      <c r="P99" s="29">
        <f t="shared" si="3"/>
        <v>0.14999999999999997</v>
      </c>
      <c r="Q99" s="28">
        <f t="shared" si="4"/>
        <v>1998.8999999999996</v>
      </c>
      <c r="R99" s="28">
        <v>15324.9</v>
      </c>
      <c r="S99" s="28">
        <f t="shared" si="5"/>
        <v>0</v>
      </c>
      <c r="T99" s="26" t="s">
        <v>421</v>
      </c>
      <c r="U99" s="26" t="s">
        <v>130</v>
      </c>
      <c r="V99" s="30">
        <v>2025</v>
      </c>
    </row>
    <row r="100" spans="1:22" x14ac:dyDescent="0.25">
      <c r="A100" s="25">
        <v>99</v>
      </c>
      <c r="B100" s="26" t="s">
        <v>30</v>
      </c>
      <c r="C100" s="26" t="s">
        <v>492</v>
      </c>
      <c r="D100" s="26" t="s">
        <v>272</v>
      </c>
      <c r="E100" s="26" t="s">
        <v>289</v>
      </c>
      <c r="F100" s="35">
        <v>45964</v>
      </c>
      <c r="G100" s="26"/>
      <c r="H100" s="26"/>
      <c r="I100" s="26" t="s">
        <v>66</v>
      </c>
      <c r="J100" s="26" t="s">
        <v>304</v>
      </c>
      <c r="K100" s="26" t="s">
        <v>283</v>
      </c>
      <c r="L100" s="26"/>
      <c r="M100" s="26" t="s">
        <v>46</v>
      </c>
      <c r="N100" s="26" t="s">
        <v>493</v>
      </c>
      <c r="O100" s="28">
        <v>30038.25</v>
      </c>
      <c r="P100" s="29">
        <f t="shared" si="3"/>
        <v>0.15000000000000011</v>
      </c>
      <c r="Q100" s="28">
        <f t="shared" si="4"/>
        <v>4505.7375000000029</v>
      </c>
      <c r="R100" s="28">
        <v>34543.987500000003</v>
      </c>
      <c r="S100" s="28">
        <f t="shared" si="5"/>
        <v>0</v>
      </c>
      <c r="T100" s="26" t="s">
        <v>421</v>
      </c>
      <c r="U100" s="26" t="s">
        <v>130</v>
      </c>
      <c r="V100" s="30">
        <v>2025</v>
      </c>
    </row>
    <row r="101" spans="1:22" x14ac:dyDescent="0.25">
      <c r="A101" s="25">
        <v>100</v>
      </c>
      <c r="B101" s="26" t="s">
        <v>30</v>
      </c>
      <c r="C101" s="26" t="s">
        <v>494</v>
      </c>
      <c r="D101" s="26" t="s">
        <v>272</v>
      </c>
      <c r="E101" s="26" t="s">
        <v>500</v>
      </c>
      <c r="F101" s="35">
        <v>45964</v>
      </c>
      <c r="G101" s="26"/>
      <c r="H101" s="26"/>
      <c r="I101" s="26" t="s">
        <v>66</v>
      </c>
      <c r="J101" s="26" t="s">
        <v>304</v>
      </c>
      <c r="K101" s="26" t="s">
        <v>283</v>
      </c>
      <c r="L101" s="26"/>
      <c r="M101" s="26" t="s">
        <v>500</v>
      </c>
      <c r="N101" s="26" t="s">
        <v>493</v>
      </c>
      <c r="O101" s="28">
        <v>88837.75</v>
      </c>
      <c r="P101" s="29">
        <f t="shared" si="3"/>
        <v>0.15000000000000008</v>
      </c>
      <c r="Q101" s="28">
        <f t="shared" si="4"/>
        <v>13325.662500000006</v>
      </c>
      <c r="R101" s="28">
        <v>102163.41250000001</v>
      </c>
      <c r="S101" s="28">
        <f t="shared" si="5"/>
        <v>0</v>
      </c>
      <c r="T101" s="26" t="s">
        <v>421</v>
      </c>
      <c r="U101" s="26" t="s">
        <v>130</v>
      </c>
      <c r="V101" s="30">
        <v>2025</v>
      </c>
    </row>
    <row r="102" spans="1:22" x14ac:dyDescent="0.25">
      <c r="A102" s="25">
        <v>101</v>
      </c>
      <c r="B102" s="26" t="s">
        <v>30</v>
      </c>
      <c r="C102" s="26" t="s">
        <v>495</v>
      </c>
      <c r="D102" s="26" t="s">
        <v>272</v>
      </c>
      <c r="E102" s="26" t="s">
        <v>273</v>
      </c>
      <c r="F102" s="35">
        <v>45964</v>
      </c>
      <c r="G102" s="26"/>
      <c r="H102" s="26"/>
      <c r="I102" s="26" t="s">
        <v>66</v>
      </c>
      <c r="J102" s="26" t="s">
        <v>304</v>
      </c>
      <c r="K102" s="26" t="s">
        <v>283</v>
      </c>
      <c r="L102" s="26"/>
      <c r="M102" s="26" t="s">
        <v>273</v>
      </c>
      <c r="N102" s="26" t="s">
        <v>493</v>
      </c>
      <c r="O102" s="28">
        <v>1147.75</v>
      </c>
      <c r="P102" s="29">
        <f t="shared" si="3"/>
        <v>0.14999999999999991</v>
      </c>
      <c r="Q102" s="28">
        <f t="shared" si="4"/>
        <v>172.16249999999991</v>
      </c>
      <c r="R102" s="28">
        <v>1319.9124999999999</v>
      </c>
      <c r="S102" s="28">
        <f t="shared" si="5"/>
        <v>0</v>
      </c>
      <c r="T102" s="26" t="s">
        <v>421</v>
      </c>
      <c r="U102" s="26" t="s">
        <v>130</v>
      </c>
      <c r="V102" s="30">
        <v>2025</v>
      </c>
    </row>
    <row r="103" spans="1:22" x14ac:dyDescent="0.25">
      <c r="A103" s="25">
        <v>102</v>
      </c>
      <c r="B103" s="26" t="s">
        <v>30</v>
      </c>
      <c r="C103" s="26" t="s">
        <v>496</v>
      </c>
      <c r="D103" s="26" t="s">
        <v>272</v>
      </c>
      <c r="E103" s="26" t="s">
        <v>286</v>
      </c>
      <c r="F103" s="35">
        <v>45964</v>
      </c>
      <c r="G103" s="26"/>
      <c r="H103" s="26"/>
      <c r="I103" s="26" t="s">
        <v>66</v>
      </c>
      <c r="J103" s="26" t="s">
        <v>304</v>
      </c>
      <c r="K103" s="26" t="s">
        <v>283</v>
      </c>
      <c r="L103" s="26"/>
      <c r="M103" s="26" t="s">
        <v>286</v>
      </c>
      <c r="N103" s="26" t="s">
        <v>493</v>
      </c>
      <c r="O103" s="28">
        <v>19138.25</v>
      </c>
      <c r="P103" s="29">
        <f t="shared" si="3"/>
        <v>0.14999999999999997</v>
      </c>
      <c r="Q103" s="28">
        <f t="shared" si="4"/>
        <v>2870.7374999999993</v>
      </c>
      <c r="R103" s="28">
        <v>22008.987499999999</v>
      </c>
      <c r="S103" s="28">
        <f t="shared" si="5"/>
        <v>0</v>
      </c>
      <c r="T103" s="26" t="s">
        <v>421</v>
      </c>
      <c r="U103" s="26" t="s">
        <v>130</v>
      </c>
      <c r="V103" s="30">
        <v>2025</v>
      </c>
    </row>
    <row r="104" spans="1:22" ht="13" thickBot="1" x14ac:dyDescent="0.3">
      <c r="A104" s="25">
        <v>103</v>
      </c>
      <c r="B104" s="26" t="s">
        <v>30</v>
      </c>
      <c r="C104" s="26" t="s">
        <v>497</v>
      </c>
      <c r="D104" s="26" t="s">
        <v>272</v>
      </c>
      <c r="E104" s="26" t="s">
        <v>301</v>
      </c>
      <c r="F104" s="35">
        <v>45982</v>
      </c>
      <c r="G104" s="26"/>
      <c r="H104" s="26"/>
      <c r="I104" s="26" t="s">
        <v>40</v>
      </c>
      <c r="J104" s="26" t="s">
        <v>47</v>
      </c>
      <c r="K104" s="26" t="s">
        <v>283</v>
      </c>
      <c r="L104" s="26"/>
      <c r="M104" s="26" t="s">
        <v>312</v>
      </c>
      <c r="N104" s="26" t="s">
        <v>498</v>
      </c>
      <c r="O104" s="28">
        <v>8979.59</v>
      </c>
      <c r="P104" s="29">
        <f t="shared" si="3"/>
        <v>0.15000000000000002</v>
      </c>
      <c r="Q104" s="28">
        <f t="shared" si="4"/>
        <v>1346.9385000000002</v>
      </c>
      <c r="R104" s="28">
        <v>10326.5285</v>
      </c>
      <c r="S104" s="28">
        <f t="shared" si="5"/>
        <v>0</v>
      </c>
      <c r="T104" s="26" t="s">
        <v>421</v>
      </c>
      <c r="U104" s="26" t="s">
        <v>130</v>
      </c>
      <c r="V104" s="30">
        <v>2025</v>
      </c>
    </row>
    <row r="105" spans="1:22" ht="13.5" thickBot="1" x14ac:dyDescent="0.35">
      <c r="A105" s="31"/>
      <c r="B105" s="31"/>
      <c r="C105" s="31"/>
      <c r="D105" s="31"/>
      <c r="E105" s="31"/>
      <c r="F105" s="36"/>
      <c r="G105" s="31"/>
      <c r="H105" s="31"/>
      <c r="I105" s="31"/>
      <c r="J105" s="31"/>
      <c r="K105" s="31"/>
      <c r="L105" s="31"/>
      <c r="M105" s="31"/>
      <c r="N105" s="32" t="s">
        <v>318</v>
      </c>
      <c r="O105" s="33">
        <f>SUM(O2:O104)</f>
        <v>2054312.2001400001</v>
      </c>
      <c r="P105" s="31"/>
      <c r="Q105" s="33">
        <f>SUM(Q2:Q104)</f>
        <v>310940.42682099994</v>
      </c>
      <c r="R105" s="33">
        <f>SUM(R2:R104)</f>
        <v>2365252.6269609998</v>
      </c>
      <c r="S105" s="33">
        <f>SUM(S2:S104)</f>
        <v>1748121.94239</v>
      </c>
      <c r="T105" s="31"/>
      <c r="U105" s="31"/>
      <c r="V105" s="31"/>
    </row>
    <row r="106" spans="1:22" ht="13" thickTop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4"/>
  <sheetViews>
    <sheetView tabSelected="1" topLeftCell="N37" zoomScaleNormal="100" workbookViewId="0">
      <selection activeCell="Q48" sqref="Q48"/>
    </sheetView>
  </sheetViews>
  <sheetFormatPr defaultColWidth="8.6328125" defaultRowHeight="12.5" x14ac:dyDescent="0.25"/>
  <cols>
    <col min="1" max="1" width="7" customWidth="1"/>
    <col min="2" max="2" width="14" customWidth="1"/>
    <col min="3" max="3" width="16" customWidth="1"/>
    <col min="4" max="4" width="38" customWidth="1"/>
    <col min="5" max="5" width="17" customWidth="1"/>
    <col min="6" max="6" width="13" customWidth="1"/>
    <col min="7" max="8" width="14" customWidth="1"/>
    <col min="9" max="9" width="16" customWidth="1"/>
    <col min="10" max="10" width="18" customWidth="1"/>
    <col min="11" max="11" width="10" customWidth="1"/>
    <col min="12" max="12" width="8" customWidth="1"/>
    <col min="13" max="13" width="32" customWidth="1"/>
    <col min="14" max="14" width="52" customWidth="1"/>
    <col min="15" max="15" width="16" customWidth="1"/>
    <col min="16" max="16" width="10" customWidth="1"/>
    <col min="17" max="17" width="14" customWidth="1"/>
    <col min="18" max="18" width="17" customWidth="1"/>
    <col min="19" max="19" width="15" customWidth="1"/>
    <col min="20" max="20" width="17" customWidth="1"/>
    <col min="21" max="21" width="9" customWidth="1"/>
    <col min="22" max="22" width="8" customWidth="1"/>
  </cols>
  <sheetData>
    <row r="1" spans="1:22" ht="30" customHeight="1" x14ac:dyDescent="0.25">
      <c r="A1" s="24" t="s">
        <v>9</v>
      </c>
      <c r="B1" s="24" t="s">
        <v>10</v>
      </c>
      <c r="C1" s="24" t="s">
        <v>0</v>
      </c>
      <c r="D1" s="24" t="s">
        <v>11</v>
      </c>
      <c r="E1" s="24" t="s">
        <v>12</v>
      </c>
      <c r="F1" s="24" t="s">
        <v>13</v>
      </c>
      <c r="G1" s="24" t="s">
        <v>14</v>
      </c>
      <c r="H1" s="24" t="s">
        <v>15</v>
      </c>
      <c r="I1" s="24" t="s">
        <v>16</v>
      </c>
      <c r="J1" s="24" t="s">
        <v>17</v>
      </c>
      <c r="K1" s="24" t="s">
        <v>18</v>
      </c>
      <c r="L1" s="24" t="s">
        <v>19</v>
      </c>
      <c r="M1" s="24" t="s">
        <v>20</v>
      </c>
      <c r="N1" s="24" t="s">
        <v>21</v>
      </c>
      <c r="O1" s="24" t="s">
        <v>22</v>
      </c>
      <c r="P1" s="24" t="s">
        <v>23</v>
      </c>
      <c r="Q1" s="24" t="s">
        <v>24</v>
      </c>
      <c r="R1" s="24" t="s">
        <v>25</v>
      </c>
      <c r="S1" s="24" t="s">
        <v>26</v>
      </c>
      <c r="T1" s="24" t="s">
        <v>27</v>
      </c>
      <c r="U1" s="24" t="s">
        <v>28</v>
      </c>
      <c r="V1" s="24" t="s">
        <v>29</v>
      </c>
    </row>
    <row r="2" spans="1:22" x14ac:dyDescent="0.25">
      <c r="A2" s="25">
        <v>1</v>
      </c>
      <c r="B2" s="26" t="s">
        <v>30</v>
      </c>
      <c r="C2" s="26" t="s">
        <v>507</v>
      </c>
      <c r="D2" s="26" t="s">
        <v>308</v>
      </c>
      <c r="E2" s="26" t="s">
        <v>305</v>
      </c>
      <c r="F2" s="27">
        <v>45952</v>
      </c>
      <c r="G2" s="26"/>
      <c r="H2" s="26"/>
      <c r="I2" s="26" t="s">
        <v>34</v>
      </c>
      <c r="J2" s="26" t="s">
        <v>35</v>
      </c>
      <c r="K2" s="26" t="s">
        <v>283</v>
      </c>
      <c r="L2" s="26"/>
      <c r="M2" s="26" t="s">
        <v>305</v>
      </c>
      <c r="N2" s="26" t="s">
        <v>508</v>
      </c>
      <c r="O2" s="28">
        <v>8400</v>
      </c>
      <c r="P2" s="29">
        <f t="shared" ref="P2:P42" si="0">IF(O2=0,"",Q2/O2)</f>
        <v>0.15</v>
      </c>
      <c r="Q2" s="28">
        <f t="shared" ref="Q2:Q42" si="1">R2-O2</f>
        <v>1260</v>
      </c>
      <c r="R2" s="28">
        <v>9660</v>
      </c>
      <c r="S2" s="28">
        <f t="shared" ref="S2:S42" si="2">IF(T2="Cleared",O2,0)</f>
        <v>8400</v>
      </c>
      <c r="T2" s="26" t="s">
        <v>36</v>
      </c>
      <c r="U2" s="26" t="s">
        <v>130</v>
      </c>
      <c r="V2" s="30">
        <v>2025</v>
      </c>
    </row>
    <row r="3" spans="1:22" x14ac:dyDescent="0.25">
      <c r="A3" s="25">
        <v>2</v>
      </c>
      <c r="B3" s="26" t="s">
        <v>30</v>
      </c>
      <c r="C3" s="26" t="s">
        <v>509</v>
      </c>
      <c r="D3" s="26" t="s">
        <v>308</v>
      </c>
      <c r="E3" s="26" t="s">
        <v>301</v>
      </c>
      <c r="F3" s="27">
        <v>45960</v>
      </c>
      <c r="G3" s="26"/>
      <c r="H3" s="26"/>
      <c r="I3" s="26" t="s">
        <v>34</v>
      </c>
      <c r="J3" s="26" t="s">
        <v>35</v>
      </c>
      <c r="K3" s="26" t="s">
        <v>283</v>
      </c>
      <c r="L3" s="26"/>
      <c r="M3" s="26" t="s">
        <v>301</v>
      </c>
      <c r="N3" s="26" t="s">
        <v>508</v>
      </c>
      <c r="O3" s="28">
        <v>9780</v>
      </c>
      <c r="P3" s="29">
        <f t="shared" si="0"/>
        <v>0.15</v>
      </c>
      <c r="Q3" s="28">
        <f t="shared" si="1"/>
        <v>1467</v>
      </c>
      <c r="R3" s="28">
        <v>11247</v>
      </c>
      <c r="S3" s="28">
        <f t="shared" si="2"/>
        <v>9780</v>
      </c>
      <c r="T3" s="26" t="s">
        <v>36</v>
      </c>
      <c r="U3" s="26" t="s">
        <v>130</v>
      </c>
      <c r="V3" s="30">
        <v>2025</v>
      </c>
    </row>
    <row r="4" spans="1:22" x14ac:dyDescent="0.25">
      <c r="A4" s="25">
        <v>3</v>
      </c>
      <c r="B4" s="26" t="s">
        <v>30</v>
      </c>
      <c r="C4" s="26" t="s">
        <v>510</v>
      </c>
      <c r="D4" s="26" t="s">
        <v>308</v>
      </c>
      <c r="E4" s="26" t="s">
        <v>286</v>
      </c>
      <c r="F4" s="27">
        <v>45971</v>
      </c>
      <c r="G4" s="26"/>
      <c r="H4" s="26"/>
      <c r="I4" s="26" t="s">
        <v>111</v>
      </c>
      <c r="J4" s="26" t="s">
        <v>112</v>
      </c>
      <c r="K4" s="26" t="s">
        <v>283</v>
      </c>
      <c r="L4" s="26"/>
      <c r="M4" s="26" t="s">
        <v>286</v>
      </c>
      <c r="N4" s="26" t="s">
        <v>511</v>
      </c>
      <c r="O4" s="28">
        <v>9100</v>
      </c>
      <c r="P4" s="29">
        <f t="shared" si="0"/>
        <v>0.15</v>
      </c>
      <c r="Q4" s="28">
        <f t="shared" si="1"/>
        <v>1365</v>
      </c>
      <c r="R4" s="28">
        <v>10465</v>
      </c>
      <c r="S4" s="28">
        <f t="shared" si="2"/>
        <v>9100</v>
      </c>
      <c r="T4" s="26" t="s">
        <v>36</v>
      </c>
      <c r="U4" s="26" t="s">
        <v>130</v>
      </c>
      <c r="V4" s="30">
        <v>2025</v>
      </c>
    </row>
    <row r="5" spans="1:22" x14ac:dyDescent="0.25">
      <c r="A5" s="25">
        <v>4</v>
      </c>
      <c r="B5" s="26" t="s">
        <v>30</v>
      </c>
      <c r="C5" s="26" t="s">
        <v>512</v>
      </c>
      <c r="D5" s="26" t="s">
        <v>308</v>
      </c>
      <c r="E5" s="26" t="s">
        <v>305</v>
      </c>
      <c r="F5" s="27">
        <v>45973</v>
      </c>
      <c r="G5" s="26"/>
      <c r="H5" s="26"/>
      <c r="I5" s="26" t="s">
        <v>40</v>
      </c>
      <c r="J5" s="26" t="s">
        <v>201</v>
      </c>
      <c r="K5" s="26" t="s">
        <v>283</v>
      </c>
      <c r="L5" s="26"/>
      <c r="M5" s="26" t="s">
        <v>309</v>
      </c>
      <c r="N5" s="26" t="s">
        <v>513</v>
      </c>
      <c r="O5" s="28">
        <v>4000.5586800000001</v>
      </c>
      <c r="P5" s="29">
        <f t="shared" si="0"/>
        <v>0.15000000000000002</v>
      </c>
      <c r="Q5" s="28">
        <f t="shared" si="1"/>
        <v>600.08380200000011</v>
      </c>
      <c r="R5" s="28">
        <v>4600.6424820000002</v>
      </c>
      <c r="S5" s="28">
        <f t="shared" si="2"/>
        <v>4000.5586800000001</v>
      </c>
      <c r="T5" s="26" t="s">
        <v>36</v>
      </c>
      <c r="U5" s="26" t="s">
        <v>130</v>
      </c>
      <c r="V5" s="30">
        <v>2025</v>
      </c>
    </row>
    <row r="6" spans="1:22" x14ac:dyDescent="0.25">
      <c r="A6" s="25">
        <v>5</v>
      </c>
      <c r="B6" s="26" t="s">
        <v>30</v>
      </c>
      <c r="C6" s="26" t="s">
        <v>514</v>
      </c>
      <c r="D6" s="26" t="s">
        <v>308</v>
      </c>
      <c r="E6" s="26" t="s">
        <v>305</v>
      </c>
      <c r="F6" s="27">
        <v>45973</v>
      </c>
      <c r="G6" s="26"/>
      <c r="H6" s="26"/>
      <c r="I6" s="26" t="s">
        <v>40</v>
      </c>
      <c r="J6" s="26" t="s">
        <v>201</v>
      </c>
      <c r="K6" s="26" t="s">
        <v>283</v>
      </c>
      <c r="L6" s="26"/>
      <c r="M6" s="26" t="s">
        <v>310</v>
      </c>
      <c r="N6" s="26" t="s">
        <v>513</v>
      </c>
      <c r="O6" s="28">
        <v>3085.13184</v>
      </c>
      <c r="P6" s="29">
        <f t="shared" si="0"/>
        <v>0.15000000000000002</v>
      </c>
      <c r="Q6" s="28">
        <f t="shared" si="1"/>
        <v>462.76977600000009</v>
      </c>
      <c r="R6" s="28">
        <v>3547.9016160000001</v>
      </c>
      <c r="S6" s="28">
        <f t="shared" si="2"/>
        <v>3085.13184</v>
      </c>
      <c r="T6" s="26" t="s">
        <v>36</v>
      </c>
      <c r="U6" s="26" t="s">
        <v>130</v>
      </c>
      <c r="V6" s="30">
        <v>2025</v>
      </c>
    </row>
    <row r="7" spans="1:22" x14ac:dyDescent="0.25">
      <c r="A7" s="25">
        <v>6</v>
      </c>
      <c r="B7" s="26" t="s">
        <v>30</v>
      </c>
      <c r="C7" s="26" t="s">
        <v>515</v>
      </c>
      <c r="D7" s="26" t="s">
        <v>308</v>
      </c>
      <c r="E7" s="26" t="s">
        <v>305</v>
      </c>
      <c r="F7" s="27">
        <v>45973</v>
      </c>
      <c r="G7" s="26"/>
      <c r="H7" s="26"/>
      <c r="I7" s="26" t="s">
        <v>40</v>
      </c>
      <c r="J7" s="26" t="s">
        <v>201</v>
      </c>
      <c r="K7" s="26" t="s">
        <v>283</v>
      </c>
      <c r="L7" s="26"/>
      <c r="M7" s="26" t="s">
        <v>311</v>
      </c>
      <c r="N7" s="26" t="s">
        <v>513</v>
      </c>
      <c r="O7" s="28">
        <v>2338.5017600000001</v>
      </c>
      <c r="P7" s="29">
        <f t="shared" si="0"/>
        <v>0.14999999999999994</v>
      </c>
      <c r="Q7" s="28">
        <f t="shared" si="1"/>
        <v>350.77526399999988</v>
      </c>
      <c r="R7" s="28">
        <v>2689.277024</v>
      </c>
      <c r="S7" s="28">
        <f t="shared" si="2"/>
        <v>2338.5017600000001</v>
      </c>
      <c r="T7" s="26" t="s">
        <v>36</v>
      </c>
      <c r="U7" s="26" t="s">
        <v>130</v>
      </c>
      <c r="V7" s="30">
        <v>2025</v>
      </c>
    </row>
    <row r="8" spans="1:22" x14ac:dyDescent="0.25">
      <c r="A8" s="25">
        <v>7</v>
      </c>
      <c r="B8" s="26" t="s">
        <v>30</v>
      </c>
      <c r="C8" s="26" t="s">
        <v>516</v>
      </c>
      <c r="D8" s="26" t="s">
        <v>308</v>
      </c>
      <c r="E8" s="26" t="s">
        <v>305</v>
      </c>
      <c r="F8" s="27">
        <v>45973</v>
      </c>
      <c r="G8" s="26"/>
      <c r="H8" s="26"/>
      <c r="I8" s="26" t="s">
        <v>34</v>
      </c>
      <c r="J8" s="26" t="s">
        <v>35</v>
      </c>
      <c r="K8" s="26" t="s">
        <v>283</v>
      </c>
      <c r="L8" s="26"/>
      <c r="M8" s="26" t="s">
        <v>305</v>
      </c>
      <c r="N8" s="26" t="s">
        <v>517</v>
      </c>
      <c r="O8" s="28">
        <v>8952</v>
      </c>
      <c r="P8" s="29">
        <f t="shared" si="0"/>
        <v>0.14999999999999991</v>
      </c>
      <c r="Q8" s="28">
        <f t="shared" si="1"/>
        <v>1342.7999999999993</v>
      </c>
      <c r="R8" s="28">
        <v>10294.799999999999</v>
      </c>
      <c r="S8" s="28">
        <f t="shared" si="2"/>
        <v>8952</v>
      </c>
      <c r="T8" s="26" t="s">
        <v>36</v>
      </c>
      <c r="U8" s="26" t="s">
        <v>130</v>
      </c>
      <c r="V8" s="30">
        <v>2025</v>
      </c>
    </row>
    <row r="9" spans="1:22" x14ac:dyDescent="0.25">
      <c r="A9" s="25">
        <v>8</v>
      </c>
      <c r="B9" s="26" t="s">
        <v>30</v>
      </c>
      <c r="C9" s="26" t="s">
        <v>518</v>
      </c>
      <c r="D9" s="26" t="s">
        <v>308</v>
      </c>
      <c r="E9" s="26" t="s">
        <v>305</v>
      </c>
      <c r="F9" s="27">
        <v>45979</v>
      </c>
      <c r="G9" s="26"/>
      <c r="H9" s="26"/>
      <c r="I9" s="26" t="s">
        <v>40</v>
      </c>
      <c r="J9" s="26" t="s">
        <v>47</v>
      </c>
      <c r="K9" s="26" t="s">
        <v>283</v>
      </c>
      <c r="L9" s="26"/>
      <c r="M9" s="26" t="s">
        <v>305</v>
      </c>
      <c r="N9" s="26" t="s">
        <v>519</v>
      </c>
      <c r="O9" s="28">
        <v>25185.805919999999</v>
      </c>
      <c r="P9" s="29">
        <f t="shared" si="0"/>
        <v>0.15000000000000005</v>
      </c>
      <c r="Q9" s="28">
        <f t="shared" si="1"/>
        <v>3777.8708880000013</v>
      </c>
      <c r="R9" s="28">
        <v>28963.676808</v>
      </c>
      <c r="S9" s="28">
        <f t="shared" si="2"/>
        <v>25185.805919999999</v>
      </c>
      <c r="T9" s="26" t="s">
        <v>36</v>
      </c>
      <c r="U9" s="26" t="s">
        <v>130</v>
      </c>
      <c r="V9" s="30">
        <v>2025</v>
      </c>
    </row>
    <row r="10" spans="1:22" x14ac:dyDescent="0.25">
      <c r="A10" s="25">
        <v>9</v>
      </c>
      <c r="B10" s="26" t="s">
        <v>30</v>
      </c>
      <c r="C10" s="26" t="s">
        <v>520</v>
      </c>
      <c r="D10" s="26" t="s">
        <v>308</v>
      </c>
      <c r="E10" s="26" t="s">
        <v>301</v>
      </c>
      <c r="F10" s="27">
        <v>45980</v>
      </c>
      <c r="G10" s="26"/>
      <c r="H10" s="26"/>
      <c r="I10" s="26" t="s">
        <v>34</v>
      </c>
      <c r="J10" s="26" t="s">
        <v>377</v>
      </c>
      <c r="K10" s="26" t="s">
        <v>283</v>
      </c>
      <c r="L10" s="26"/>
      <c r="M10" s="26" t="s">
        <v>301</v>
      </c>
      <c r="N10" s="26" t="s">
        <v>521</v>
      </c>
      <c r="O10" s="28">
        <v>10642</v>
      </c>
      <c r="P10" s="29">
        <f t="shared" si="0"/>
        <v>0.14999999999999994</v>
      </c>
      <c r="Q10" s="28">
        <f t="shared" si="1"/>
        <v>1596.2999999999993</v>
      </c>
      <c r="R10" s="28">
        <v>12238.3</v>
      </c>
      <c r="S10" s="28">
        <f t="shared" si="2"/>
        <v>10642</v>
      </c>
      <c r="T10" s="26" t="s">
        <v>36</v>
      </c>
      <c r="U10" s="26" t="s">
        <v>130</v>
      </c>
      <c r="V10" s="30">
        <v>2025</v>
      </c>
    </row>
    <row r="11" spans="1:22" x14ac:dyDescent="0.25">
      <c r="A11" s="25">
        <v>10</v>
      </c>
      <c r="B11" s="26" t="s">
        <v>30</v>
      </c>
      <c r="C11" s="26" t="s">
        <v>522</v>
      </c>
      <c r="D11" s="26" t="s">
        <v>308</v>
      </c>
      <c r="E11" s="26" t="s">
        <v>286</v>
      </c>
      <c r="F11" s="27">
        <v>45983</v>
      </c>
      <c r="G11" s="26"/>
      <c r="H11" s="26"/>
      <c r="I11" s="26" t="s">
        <v>40</v>
      </c>
      <c r="J11" s="26" t="s">
        <v>47</v>
      </c>
      <c r="K11" s="26" t="s">
        <v>283</v>
      </c>
      <c r="L11" s="26"/>
      <c r="M11" s="26" t="s">
        <v>286</v>
      </c>
      <c r="N11" s="26" t="s">
        <v>523</v>
      </c>
      <c r="O11" s="28">
        <v>1179.7760000000001</v>
      </c>
      <c r="P11" s="29">
        <f t="shared" si="0"/>
        <v>0.15000000000000002</v>
      </c>
      <c r="Q11" s="28">
        <f t="shared" si="1"/>
        <v>176.96640000000002</v>
      </c>
      <c r="R11" s="28">
        <v>1356.7424000000001</v>
      </c>
      <c r="S11" s="28">
        <f t="shared" si="2"/>
        <v>0</v>
      </c>
      <c r="T11" s="26" t="s">
        <v>421</v>
      </c>
      <c r="U11" s="26" t="s">
        <v>130</v>
      </c>
      <c r="V11" s="30">
        <v>2025</v>
      </c>
    </row>
    <row r="12" spans="1:22" x14ac:dyDescent="0.25">
      <c r="A12" s="25">
        <v>11</v>
      </c>
      <c r="B12" s="26" t="s">
        <v>30</v>
      </c>
      <c r="C12" s="26" t="s">
        <v>524</v>
      </c>
      <c r="D12" s="26" t="s">
        <v>308</v>
      </c>
      <c r="E12" s="26" t="s">
        <v>305</v>
      </c>
      <c r="F12" s="27">
        <v>45999</v>
      </c>
      <c r="G12" s="26"/>
      <c r="H12" s="26"/>
      <c r="I12" s="26" t="s">
        <v>34</v>
      </c>
      <c r="J12" s="26" t="s">
        <v>377</v>
      </c>
      <c r="K12" s="26" t="s">
        <v>283</v>
      </c>
      <c r="L12" s="26"/>
      <c r="M12" s="26" t="s">
        <v>305</v>
      </c>
      <c r="N12" s="26" t="s">
        <v>525</v>
      </c>
      <c r="O12" s="28">
        <v>7780</v>
      </c>
      <c r="P12" s="29">
        <f t="shared" si="0"/>
        <v>0.15</v>
      </c>
      <c r="Q12" s="28">
        <f t="shared" si="1"/>
        <v>1167</v>
      </c>
      <c r="R12" s="28">
        <v>8947</v>
      </c>
      <c r="S12" s="28">
        <f t="shared" si="2"/>
        <v>7780</v>
      </c>
      <c r="T12" s="26" t="s">
        <v>36</v>
      </c>
      <c r="U12" s="26" t="s">
        <v>130</v>
      </c>
      <c r="V12" s="30">
        <v>2025</v>
      </c>
    </row>
    <row r="13" spans="1:22" x14ac:dyDescent="0.25">
      <c r="A13" s="25">
        <v>12</v>
      </c>
      <c r="B13" s="26" t="s">
        <v>30</v>
      </c>
      <c r="C13" s="26" t="s">
        <v>526</v>
      </c>
      <c r="D13" s="26" t="s">
        <v>308</v>
      </c>
      <c r="E13" s="26" t="s">
        <v>305</v>
      </c>
      <c r="F13" s="27">
        <v>46007</v>
      </c>
      <c r="G13" s="26"/>
      <c r="H13" s="26"/>
      <c r="I13" s="26" t="s">
        <v>40</v>
      </c>
      <c r="J13" s="26" t="s">
        <v>201</v>
      </c>
      <c r="K13" s="26" t="s">
        <v>283</v>
      </c>
      <c r="L13" s="26"/>
      <c r="M13" s="26" t="s">
        <v>313</v>
      </c>
      <c r="N13" s="26" t="s">
        <v>527</v>
      </c>
      <c r="O13" s="28">
        <v>13669.14</v>
      </c>
      <c r="P13" s="29">
        <f t="shared" si="0"/>
        <v>0.15000000000000008</v>
      </c>
      <c r="Q13" s="28">
        <f t="shared" si="1"/>
        <v>2050.371000000001</v>
      </c>
      <c r="R13" s="28">
        <v>15719.511</v>
      </c>
      <c r="S13" s="28">
        <f t="shared" si="2"/>
        <v>13669.14</v>
      </c>
      <c r="T13" s="26" t="s">
        <v>36</v>
      </c>
      <c r="U13" s="26" t="s">
        <v>130</v>
      </c>
      <c r="V13" s="30">
        <v>2025</v>
      </c>
    </row>
    <row r="14" spans="1:22" x14ac:dyDescent="0.25">
      <c r="A14" s="25">
        <v>13</v>
      </c>
      <c r="B14" s="26" t="s">
        <v>30</v>
      </c>
      <c r="C14" s="26" t="s">
        <v>528</v>
      </c>
      <c r="D14" s="26" t="s">
        <v>308</v>
      </c>
      <c r="E14" s="26" t="s">
        <v>301</v>
      </c>
      <c r="F14" s="27">
        <v>46007</v>
      </c>
      <c r="G14" s="26"/>
      <c r="H14" s="26"/>
      <c r="I14" s="26" t="s">
        <v>40</v>
      </c>
      <c r="J14" s="26" t="s">
        <v>201</v>
      </c>
      <c r="K14" s="26" t="s">
        <v>283</v>
      </c>
      <c r="L14" s="26"/>
      <c r="M14" s="26" t="s">
        <v>529</v>
      </c>
      <c r="N14" s="26" t="s">
        <v>530</v>
      </c>
      <c r="O14" s="28">
        <v>22504.560000000001</v>
      </c>
      <c r="P14" s="29">
        <f t="shared" si="0"/>
        <v>0.14999999999999988</v>
      </c>
      <c r="Q14" s="28">
        <f t="shared" si="1"/>
        <v>3375.6839999999975</v>
      </c>
      <c r="R14" s="28">
        <v>25880.243999999999</v>
      </c>
      <c r="S14" s="28">
        <f t="shared" si="2"/>
        <v>22504.560000000001</v>
      </c>
      <c r="T14" s="26" t="s">
        <v>36</v>
      </c>
      <c r="U14" s="26" t="s">
        <v>130</v>
      </c>
      <c r="V14" s="30">
        <v>2025</v>
      </c>
    </row>
    <row r="15" spans="1:22" x14ac:dyDescent="0.25">
      <c r="A15" s="25">
        <v>14</v>
      </c>
      <c r="B15" s="26" t="s">
        <v>30</v>
      </c>
      <c r="C15" s="26" t="s">
        <v>531</v>
      </c>
      <c r="D15" s="26" t="s">
        <v>308</v>
      </c>
      <c r="E15" s="26" t="s">
        <v>305</v>
      </c>
      <c r="F15" s="27">
        <v>46007</v>
      </c>
      <c r="G15" s="26"/>
      <c r="H15" s="26"/>
      <c r="I15" s="26" t="s">
        <v>40</v>
      </c>
      <c r="J15" s="26" t="s">
        <v>201</v>
      </c>
      <c r="K15" s="26" t="s">
        <v>283</v>
      </c>
      <c r="L15" s="26"/>
      <c r="M15" s="26" t="s">
        <v>311</v>
      </c>
      <c r="N15" s="26" t="s">
        <v>532</v>
      </c>
      <c r="O15" s="28">
        <v>1972.23</v>
      </c>
      <c r="P15" s="29">
        <f t="shared" si="0"/>
        <v>0.14999999999999997</v>
      </c>
      <c r="Q15" s="28">
        <f t="shared" si="1"/>
        <v>295.83449999999993</v>
      </c>
      <c r="R15" s="28">
        <v>2268.0645</v>
      </c>
      <c r="S15" s="28">
        <f t="shared" si="2"/>
        <v>1972.23</v>
      </c>
      <c r="T15" s="26" t="s">
        <v>36</v>
      </c>
      <c r="U15" s="26" t="s">
        <v>130</v>
      </c>
      <c r="V15" s="30">
        <v>2025</v>
      </c>
    </row>
    <row r="16" spans="1:22" x14ac:dyDescent="0.25">
      <c r="A16" s="25">
        <v>15</v>
      </c>
      <c r="B16" s="26" t="s">
        <v>30</v>
      </c>
      <c r="C16" s="26" t="s">
        <v>533</v>
      </c>
      <c r="D16" s="26" t="s">
        <v>308</v>
      </c>
      <c r="E16" s="26" t="s">
        <v>301</v>
      </c>
      <c r="F16" s="27">
        <v>46009</v>
      </c>
      <c r="G16" s="26"/>
      <c r="H16" s="26"/>
      <c r="I16" s="26" t="s">
        <v>34</v>
      </c>
      <c r="J16" s="26" t="s">
        <v>377</v>
      </c>
      <c r="K16" s="26" t="s">
        <v>283</v>
      </c>
      <c r="L16" s="26"/>
      <c r="M16" s="26" t="s">
        <v>301</v>
      </c>
      <c r="N16" s="26" t="s">
        <v>525</v>
      </c>
      <c r="O16" s="28">
        <v>8748</v>
      </c>
      <c r="P16" s="29">
        <f t="shared" si="0"/>
        <v>0.15000000000000008</v>
      </c>
      <c r="Q16" s="28">
        <f t="shared" si="1"/>
        <v>1312.2000000000007</v>
      </c>
      <c r="R16" s="28">
        <v>10060.200000000001</v>
      </c>
      <c r="S16" s="28">
        <f t="shared" si="2"/>
        <v>8748</v>
      </c>
      <c r="T16" s="26" t="s">
        <v>36</v>
      </c>
      <c r="U16" s="26" t="s">
        <v>130</v>
      </c>
      <c r="V16" s="30">
        <v>2025</v>
      </c>
    </row>
    <row r="17" spans="1:22" x14ac:dyDescent="0.25">
      <c r="A17" s="25">
        <v>16</v>
      </c>
      <c r="B17" s="26" t="s">
        <v>30</v>
      </c>
      <c r="C17" s="26" t="s">
        <v>534</v>
      </c>
      <c r="D17" s="26" t="s">
        <v>308</v>
      </c>
      <c r="E17" s="26" t="s">
        <v>301</v>
      </c>
      <c r="F17" s="27">
        <v>46013</v>
      </c>
      <c r="G17" s="26"/>
      <c r="H17" s="26"/>
      <c r="I17" s="26" t="s">
        <v>66</v>
      </c>
      <c r="J17" s="26" t="s">
        <v>304</v>
      </c>
      <c r="K17" s="26" t="s">
        <v>283</v>
      </c>
      <c r="L17" s="26"/>
      <c r="M17" s="26" t="s">
        <v>301</v>
      </c>
      <c r="N17" s="26" t="s">
        <v>314</v>
      </c>
      <c r="O17" s="28">
        <v>52598.2</v>
      </c>
      <c r="P17" s="29">
        <f t="shared" si="0"/>
        <v>0.15000000000000008</v>
      </c>
      <c r="Q17" s="28">
        <f t="shared" si="1"/>
        <v>7889.7300000000032</v>
      </c>
      <c r="R17" s="28">
        <v>60487.93</v>
      </c>
      <c r="S17" s="28">
        <f t="shared" si="2"/>
        <v>52598.2</v>
      </c>
      <c r="T17" s="26" t="s">
        <v>36</v>
      </c>
      <c r="U17" s="26" t="s">
        <v>130</v>
      </c>
      <c r="V17" s="30">
        <v>2025</v>
      </c>
    </row>
    <row r="18" spans="1:22" x14ac:dyDescent="0.25">
      <c r="A18" s="25">
        <v>17</v>
      </c>
      <c r="B18" s="26" t="s">
        <v>30</v>
      </c>
      <c r="C18" s="26" t="s">
        <v>535</v>
      </c>
      <c r="D18" s="26" t="s">
        <v>308</v>
      </c>
      <c r="E18" s="26" t="s">
        <v>305</v>
      </c>
      <c r="F18" s="27">
        <v>46022</v>
      </c>
      <c r="G18" s="26"/>
      <c r="H18" s="26"/>
      <c r="I18" s="26" t="s">
        <v>40</v>
      </c>
      <c r="J18" s="26" t="s">
        <v>47</v>
      </c>
      <c r="K18" s="26" t="s">
        <v>283</v>
      </c>
      <c r="L18" s="26"/>
      <c r="M18" s="26" t="s">
        <v>305</v>
      </c>
      <c r="N18" s="26" t="s">
        <v>536</v>
      </c>
      <c r="O18" s="28">
        <v>14940.22</v>
      </c>
      <c r="P18" s="29">
        <f t="shared" si="0"/>
        <v>0.15000000000000008</v>
      </c>
      <c r="Q18" s="28">
        <f t="shared" si="1"/>
        <v>2241.0330000000013</v>
      </c>
      <c r="R18" s="28">
        <v>17181.253000000001</v>
      </c>
      <c r="S18" s="28">
        <f t="shared" si="2"/>
        <v>14940.22</v>
      </c>
      <c r="T18" s="26" t="s">
        <v>36</v>
      </c>
      <c r="U18" s="26" t="s">
        <v>130</v>
      </c>
      <c r="V18" s="30">
        <v>2025</v>
      </c>
    </row>
    <row r="19" spans="1:22" x14ac:dyDescent="0.25">
      <c r="A19" s="25">
        <v>18</v>
      </c>
      <c r="B19" s="26" t="s">
        <v>30</v>
      </c>
      <c r="C19" s="26" t="s">
        <v>537</v>
      </c>
      <c r="D19" s="26" t="s">
        <v>308</v>
      </c>
      <c r="E19" s="26" t="s">
        <v>286</v>
      </c>
      <c r="F19" s="27">
        <v>46022</v>
      </c>
      <c r="G19" s="26"/>
      <c r="H19" s="26"/>
      <c r="I19" s="26" t="s">
        <v>40</v>
      </c>
      <c r="J19" s="26" t="s">
        <v>201</v>
      </c>
      <c r="K19" s="26" t="s">
        <v>283</v>
      </c>
      <c r="L19" s="26"/>
      <c r="M19" s="26" t="s">
        <v>502</v>
      </c>
      <c r="N19" s="26" t="s">
        <v>538</v>
      </c>
      <c r="O19" s="28">
        <v>19065.732400000001</v>
      </c>
      <c r="P19" s="29">
        <f t="shared" si="0"/>
        <v>0.15000000000000002</v>
      </c>
      <c r="Q19" s="28">
        <f t="shared" si="1"/>
        <v>2859.8598600000005</v>
      </c>
      <c r="R19" s="28">
        <v>21925.592260000001</v>
      </c>
      <c r="S19" s="28">
        <f t="shared" si="2"/>
        <v>0</v>
      </c>
      <c r="T19" s="26" t="s">
        <v>421</v>
      </c>
      <c r="U19" s="26" t="s">
        <v>130</v>
      </c>
      <c r="V19" s="30">
        <v>2025</v>
      </c>
    </row>
    <row r="20" spans="1:22" x14ac:dyDescent="0.25">
      <c r="A20" s="25">
        <v>19</v>
      </c>
      <c r="B20" s="26" t="s">
        <v>30</v>
      </c>
      <c r="C20" s="26" t="s">
        <v>539</v>
      </c>
      <c r="D20" s="26" t="s">
        <v>308</v>
      </c>
      <c r="E20" s="26" t="s">
        <v>301</v>
      </c>
      <c r="F20" s="27">
        <v>46024</v>
      </c>
      <c r="G20" s="26"/>
      <c r="H20" s="26"/>
      <c r="I20" s="26" t="s">
        <v>40</v>
      </c>
      <c r="J20" s="26" t="s">
        <v>47</v>
      </c>
      <c r="K20" s="26" t="s">
        <v>283</v>
      </c>
      <c r="L20" s="26"/>
      <c r="M20" s="26" t="s">
        <v>301</v>
      </c>
      <c r="N20" s="26" t="s">
        <v>519</v>
      </c>
      <c r="O20" s="28">
        <v>5265.15</v>
      </c>
      <c r="P20" s="29">
        <f t="shared" si="0"/>
        <v>0.15000000000000002</v>
      </c>
      <c r="Q20" s="28">
        <f t="shared" si="1"/>
        <v>789.77250000000004</v>
      </c>
      <c r="R20" s="28">
        <v>6054.9224999999997</v>
      </c>
      <c r="S20" s="28">
        <f t="shared" si="2"/>
        <v>0</v>
      </c>
      <c r="T20" s="26" t="s">
        <v>421</v>
      </c>
      <c r="U20" s="26" t="s">
        <v>152</v>
      </c>
      <c r="V20" s="30">
        <v>2026</v>
      </c>
    </row>
    <row r="21" spans="1:22" x14ac:dyDescent="0.25">
      <c r="A21" s="25">
        <v>20</v>
      </c>
      <c r="B21" s="26" t="s">
        <v>30</v>
      </c>
      <c r="C21" s="26" t="s">
        <v>540</v>
      </c>
      <c r="D21" s="26" t="s">
        <v>308</v>
      </c>
      <c r="E21" s="26" t="s">
        <v>301</v>
      </c>
      <c r="F21" s="27">
        <v>46024</v>
      </c>
      <c r="G21" s="26"/>
      <c r="H21" s="26"/>
      <c r="I21" s="26" t="s">
        <v>40</v>
      </c>
      <c r="J21" s="26" t="s">
        <v>47</v>
      </c>
      <c r="K21" s="26" t="s">
        <v>283</v>
      </c>
      <c r="L21" s="26"/>
      <c r="M21" s="26" t="s">
        <v>301</v>
      </c>
      <c r="N21" s="26" t="s">
        <v>541</v>
      </c>
      <c r="O21" s="28">
        <v>8234.2000000000007</v>
      </c>
      <c r="P21" s="29">
        <f t="shared" si="0"/>
        <v>0.14999999999999988</v>
      </c>
      <c r="Q21" s="28">
        <f t="shared" si="1"/>
        <v>1235.1299999999992</v>
      </c>
      <c r="R21" s="28">
        <v>9469.33</v>
      </c>
      <c r="S21" s="28">
        <f t="shared" si="2"/>
        <v>0</v>
      </c>
      <c r="T21" s="26" t="s">
        <v>421</v>
      </c>
      <c r="U21" s="26" t="s">
        <v>152</v>
      </c>
      <c r="V21" s="30">
        <v>2026</v>
      </c>
    </row>
    <row r="22" spans="1:22" x14ac:dyDescent="0.25">
      <c r="A22" s="25">
        <v>21</v>
      </c>
      <c r="B22" s="26" t="s">
        <v>30</v>
      </c>
      <c r="C22" s="26" t="s">
        <v>542</v>
      </c>
      <c r="D22" s="26" t="s">
        <v>308</v>
      </c>
      <c r="E22" s="26" t="s">
        <v>305</v>
      </c>
      <c r="F22" s="27">
        <v>46036</v>
      </c>
      <c r="G22" s="26"/>
      <c r="H22" s="26"/>
      <c r="I22" s="26" t="s">
        <v>34</v>
      </c>
      <c r="J22" s="26" t="s">
        <v>377</v>
      </c>
      <c r="K22" s="26" t="s">
        <v>283</v>
      </c>
      <c r="L22" s="26"/>
      <c r="M22" s="26" t="s">
        <v>305</v>
      </c>
      <c r="N22" s="26" t="s">
        <v>543</v>
      </c>
      <c r="O22" s="28">
        <v>11630</v>
      </c>
      <c r="P22" s="29">
        <f t="shared" si="0"/>
        <v>0.15</v>
      </c>
      <c r="Q22" s="28">
        <f t="shared" si="1"/>
        <v>1744.5</v>
      </c>
      <c r="R22" s="28">
        <v>13374.5</v>
      </c>
      <c r="S22" s="28">
        <f t="shared" si="2"/>
        <v>0</v>
      </c>
      <c r="T22" s="26" t="s">
        <v>421</v>
      </c>
      <c r="U22" s="26" t="s">
        <v>152</v>
      </c>
      <c r="V22" s="30">
        <v>2026</v>
      </c>
    </row>
    <row r="23" spans="1:22" x14ac:dyDescent="0.25">
      <c r="A23" s="25">
        <v>22</v>
      </c>
      <c r="B23" s="26" t="s">
        <v>30</v>
      </c>
      <c r="C23" s="26" t="s">
        <v>544</v>
      </c>
      <c r="D23" s="26" t="s">
        <v>308</v>
      </c>
      <c r="E23" s="26" t="s">
        <v>301</v>
      </c>
      <c r="F23" s="27">
        <v>46036</v>
      </c>
      <c r="G23" s="26"/>
      <c r="H23" s="26"/>
      <c r="I23" s="26" t="s">
        <v>111</v>
      </c>
      <c r="J23" s="26" t="s">
        <v>112</v>
      </c>
      <c r="K23" s="26" t="s">
        <v>283</v>
      </c>
      <c r="L23" s="26"/>
      <c r="M23" s="26" t="s">
        <v>301</v>
      </c>
      <c r="N23" s="26" t="s">
        <v>545</v>
      </c>
      <c r="O23" s="28">
        <v>980</v>
      </c>
      <c r="P23" s="29">
        <f t="shared" si="0"/>
        <v>0.15</v>
      </c>
      <c r="Q23" s="28">
        <f t="shared" si="1"/>
        <v>147</v>
      </c>
      <c r="R23" s="28">
        <v>1127</v>
      </c>
      <c r="S23" s="28">
        <f t="shared" si="2"/>
        <v>0</v>
      </c>
      <c r="T23" s="26" t="s">
        <v>421</v>
      </c>
      <c r="U23" s="26" t="s">
        <v>152</v>
      </c>
      <c r="V23" s="30">
        <v>2026</v>
      </c>
    </row>
    <row r="24" spans="1:22" x14ac:dyDescent="0.25">
      <c r="A24" s="25">
        <v>23</v>
      </c>
      <c r="B24" s="26" t="s">
        <v>30</v>
      </c>
      <c r="C24" s="26" t="s">
        <v>546</v>
      </c>
      <c r="D24" s="26" t="s">
        <v>308</v>
      </c>
      <c r="E24" s="26" t="s">
        <v>305</v>
      </c>
      <c r="F24" s="27">
        <v>46036</v>
      </c>
      <c r="G24" s="26"/>
      <c r="H24" s="26"/>
      <c r="I24" s="26" t="s">
        <v>40</v>
      </c>
      <c r="J24" s="26" t="s">
        <v>201</v>
      </c>
      <c r="K24" s="26" t="s">
        <v>283</v>
      </c>
      <c r="L24" s="26"/>
      <c r="M24" s="26" t="s">
        <v>310</v>
      </c>
      <c r="N24" s="26" t="s">
        <v>547</v>
      </c>
      <c r="O24" s="28">
        <v>1408.74</v>
      </c>
      <c r="P24" s="29">
        <f t="shared" si="0"/>
        <v>0.14999999999999994</v>
      </c>
      <c r="Q24" s="28">
        <f t="shared" si="1"/>
        <v>211.31099999999992</v>
      </c>
      <c r="R24" s="28">
        <v>1620.0509999999999</v>
      </c>
      <c r="S24" s="28">
        <f t="shared" si="2"/>
        <v>0</v>
      </c>
      <c r="T24" s="26" t="s">
        <v>421</v>
      </c>
      <c r="U24" s="26" t="s">
        <v>152</v>
      </c>
      <c r="V24" s="30">
        <v>2026</v>
      </c>
    </row>
    <row r="25" spans="1:22" x14ac:dyDescent="0.25">
      <c r="A25" s="25">
        <v>24</v>
      </c>
      <c r="B25" s="26" t="s">
        <v>30</v>
      </c>
      <c r="C25" s="26" t="s">
        <v>548</v>
      </c>
      <c r="D25" s="26" t="s">
        <v>308</v>
      </c>
      <c r="E25" s="26" t="s">
        <v>305</v>
      </c>
      <c r="F25" s="27">
        <v>46050</v>
      </c>
      <c r="G25" s="26"/>
      <c r="H25" s="26"/>
      <c r="I25" s="26" t="s">
        <v>40</v>
      </c>
      <c r="J25" s="26" t="s">
        <v>47</v>
      </c>
      <c r="K25" s="26" t="s">
        <v>283</v>
      </c>
      <c r="L25" s="26"/>
      <c r="M25" s="26" t="s">
        <v>305</v>
      </c>
      <c r="N25" s="26" t="s">
        <v>549</v>
      </c>
      <c r="O25" s="28">
        <v>16279.64</v>
      </c>
      <c r="P25" s="29">
        <f t="shared" si="0"/>
        <v>0.15</v>
      </c>
      <c r="Q25" s="28">
        <f t="shared" si="1"/>
        <v>2441.9459999999999</v>
      </c>
      <c r="R25" s="28">
        <v>18721.585999999999</v>
      </c>
      <c r="S25" s="28">
        <f t="shared" si="2"/>
        <v>0</v>
      </c>
      <c r="T25" s="26" t="s">
        <v>421</v>
      </c>
      <c r="U25" s="26" t="s">
        <v>152</v>
      </c>
      <c r="V25" s="30">
        <v>2026</v>
      </c>
    </row>
    <row r="26" spans="1:22" x14ac:dyDescent="0.25">
      <c r="A26" s="25">
        <v>25</v>
      </c>
      <c r="B26" s="26" t="s">
        <v>30</v>
      </c>
      <c r="C26" s="26" t="s">
        <v>550</v>
      </c>
      <c r="D26" s="26" t="s">
        <v>308</v>
      </c>
      <c r="E26" s="26" t="s">
        <v>305</v>
      </c>
      <c r="F26" s="27">
        <v>46078</v>
      </c>
      <c r="G26" s="26"/>
      <c r="H26" s="26"/>
      <c r="I26" s="26" t="s">
        <v>40</v>
      </c>
      <c r="J26" s="26" t="s">
        <v>201</v>
      </c>
      <c r="K26" s="26" t="s">
        <v>283</v>
      </c>
      <c r="L26" s="26"/>
      <c r="M26" s="26" t="s">
        <v>310</v>
      </c>
      <c r="N26" s="26" t="s">
        <v>551</v>
      </c>
      <c r="O26" s="28">
        <v>2676.6</v>
      </c>
      <c r="P26" s="29">
        <f t="shared" si="0"/>
        <v>0.15000000000000011</v>
      </c>
      <c r="Q26" s="28">
        <f t="shared" si="1"/>
        <v>401.49000000000024</v>
      </c>
      <c r="R26" s="28">
        <v>3078.09</v>
      </c>
      <c r="S26" s="28">
        <f t="shared" si="2"/>
        <v>0</v>
      </c>
      <c r="T26" s="26" t="s">
        <v>421</v>
      </c>
      <c r="U26" s="26" t="s">
        <v>152</v>
      </c>
      <c r="V26" s="30">
        <v>2026</v>
      </c>
    </row>
    <row r="27" spans="1:22" x14ac:dyDescent="0.25">
      <c r="A27" s="25">
        <v>26</v>
      </c>
      <c r="B27" s="26" t="s">
        <v>30</v>
      </c>
      <c r="C27" s="26" t="s">
        <v>552</v>
      </c>
      <c r="D27" s="26" t="s">
        <v>308</v>
      </c>
      <c r="E27" s="26" t="s">
        <v>305</v>
      </c>
      <c r="F27" s="27">
        <v>46078</v>
      </c>
      <c r="G27" s="26"/>
      <c r="H27" s="26"/>
      <c r="I27" s="26" t="s">
        <v>34</v>
      </c>
      <c r="J27" s="26" t="s">
        <v>377</v>
      </c>
      <c r="K27" s="26" t="s">
        <v>283</v>
      </c>
      <c r="L27" s="26"/>
      <c r="M27" s="26" t="s">
        <v>305</v>
      </c>
      <c r="N27" s="26" t="s">
        <v>553</v>
      </c>
      <c r="O27" s="28">
        <v>12452</v>
      </c>
      <c r="P27" s="29">
        <f t="shared" si="0"/>
        <v>0.14999999999999994</v>
      </c>
      <c r="Q27" s="28">
        <f t="shared" si="1"/>
        <v>1867.7999999999993</v>
      </c>
      <c r="R27" s="28">
        <v>14319.8</v>
      </c>
      <c r="S27" s="28">
        <f t="shared" si="2"/>
        <v>0</v>
      </c>
      <c r="T27" s="26" t="s">
        <v>421</v>
      </c>
      <c r="U27" s="26" t="s">
        <v>152</v>
      </c>
      <c r="V27" s="30">
        <v>2026</v>
      </c>
    </row>
    <row r="28" spans="1:22" x14ac:dyDescent="0.25">
      <c r="A28" s="25">
        <v>27</v>
      </c>
      <c r="B28" s="26" t="s">
        <v>30</v>
      </c>
      <c r="C28" s="26" t="s">
        <v>554</v>
      </c>
      <c r="D28" s="26" t="s">
        <v>308</v>
      </c>
      <c r="E28" s="26" t="s">
        <v>305</v>
      </c>
      <c r="F28" s="27">
        <v>46078</v>
      </c>
      <c r="G28" s="26"/>
      <c r="H28" s="26"/>
      <c r="I28" s="26" t="s">
        <v>40</v>
      </c>
      <c r="J28" s="26" t="s">
        <v>201</v>
      </c>
      <c r="K28" s="26" t="s">
        <v>283</v>
      </c>
      <c r="L28" s="26"/>
      <c r="M28" s="26" t="s">
        <v>311</v>
      </c>
      <c r="N28" s="26" t="s">
        <v>547</v>
      </c>
      <c r="O28" s="28">
        <v>1972.23</v>
      </c>
      <c r="P28" s="29">
        <f t="shared" si="0"/>
        <v>0.14999999999999997</v>
      </c>
      <c r="Q28" s="28">
        <f t="shared" si="1"/>
        <v>295.83449999999993</v>
      </c>
      <c r="R28" s="28">
        <v>2268.0645</v>
      </c>
      <c r="S28" s="28">
        <f t="shared" si="2"/>
        <v>0</v>
      </c>
      <c r="T28" s="26" t="s">
        <v>421</v>
      </c>
      <c r="U28" s="26" t="s">
        <v>152</v>
      </c>
      <c r="V28" s="30">
        <v>2026</v>
      </c>
    </row>
    <row r="29" spans="1:22" x14ac:dyDescent="0.25">
      <c r="A29" s="25">
        <v>28</v>
      </c>
      <c r="B29" s="26" t="s">
        <v>30</v>
      </c>
      <c r="C29" s="26" t="s">
        <v>555</v>
      </c>
      <c r="D29" s="26" t="s">
        <v>308</v>
      </c>
      <c r="E29" s="26" t="s">
        <v>305</v>
      </c>
      <c r="F29" s="27">
        <v>46078</v>
      </c>
      <c r="G29" s="26"/>
      <c r="H29" s="26"/>
      <c r="I29" s="26" t="s">
        <v>40</v>
      </c>
      <c r="J29" s="26" t="s">
        <v>47</v>
      </c>
      <c r="K29" s="26" t="s">
        <v>283</v>
      </c>
      <c r="L29" s="26"/>
      <c r="M29" s="26" t="s">
        <v>305</v>
      </c>
      <c r="N29" s="26" t="s">
        <v>556</v>
      </c>
      <c r="O29" s="28">
        <v>6611.59</v>
      </c>
      <c r="P29" s="29">
        <f t="shared" si="0"/>
        <v>0.14999999999999991</v>
      </c>
      <c r="Q29" s="28">
        <f t="shared" si="1"/>
        <v>991.73849999999948</v>
      </c>
      <c r="R29" s="28">
        <v>7603.3284999999996</v>
      </c>
      <c r="S29" s="28">
        <f t="shared" si="2"/>
        <v>0</v>
      </c>
      <c r="T29" s="26" t="s">
        <v>421</v>
      </c>
      <c r="U29" s="26" t="s">
        <v>152</v>
      </c>
      <c r="V29" s="30">
        <v>2026</v>
      </c>
    </row>
    <row r="30" spans="1:22" x14ac:dyDescent="0.25">
      <c r="A30" s="25">
        <v>29</v>
      </c>
      <c r="B30" s="26" t="s">
        <v>30</v>
      </c>
      <c r="C30" s="26" t="s">
        <v>557</v>
      </c>
      <c r="D30" s="26" t="s">
        <v>308</v>
      </c>
      <c r="E30" s="26" t="s">
        <v>305</v>
      </c>
      <c r="F30" s="27">
        <v>46106</v>
      </c>
      <c r="G30" s="26"/>
      <c r="H30" s="26"/>
      <c r="I30" s="26" t="s">
        <v>34</v>
      </c>
      <c r="J30" s="26" t="s">
        <v>377</v>
      </c>
      <c r="K30" s="26" t="s">
        <v>283</v>
      </c>
      <c r="L30" s="26"/>
      <c r="M30" s="26" t="s">
        <v>305</v>
      </c>
      <c r="N30" s="26" t="s">
        <v>558</v>
      </c>
      <c r="O30" s="28">
        <v>11456</v>
      </c>
      <c r="P30" s="29">
        <f t="shared" si="0"/>
        <v>0.14999999999999997</v>
      </c>
      <c r="Q30" s="28">
        <f t="shared" si="1"/>
        <v>1718.3999999999996</v>
      </c>
      <c r="R30" s="28">
        <v>13174.4</v>
      </c>
      <c r="S30" s="28">
        <f t="shared" si="2"/>
        <v>0</v>
      </c>
      <c r="T30" s="26" t="s">
        <v>421</v>
      </c>
      <c r="U30" s="26" t="s">
        <v>152</v>
      </c>
      <c r="V30" s="30">
        <v>2026</v>
      </c>
    </row>
    <row r="31" spans="1:22" x14ac:dyDescent="0.25">
      <c r="A31" s="25">
        <v>30</v>
      </c>
      <c r="B31" s="26" t="s">
        <v>30</v>
      </c>
      <c r="C31" s="26" t="s">
        <v>559</v>
      </c>
      <c r="D31" s="26" t="s">
        <v>308</v>
      </c>
      <c r="E31" s="26" t="s">
        <v>316</v>
      </c>
      <c r="F31" s="27">
        <v>46113</v>
      </c>
      <c r="G31" s="26"/>
      <c r="H31" s="26"/>
      <c r="I31" s="26" t="s">
        <v>66</v>
      </c>
      <c r="J31" s="26" t="s">
        <v>67</v>
      </c>
      <c r="K31" s="26" t="s">
        <v>283</v>
      </c>
      <c r="L31" s="26"/>
      <c r="M31" s="26" t="s">
        <v>316</v>
      </c>
      <c r="N31" s="26" t="s">
        <v>560</v>
      </c>
      <c r="O31" s="28">
        <v>320000</v>
      </c>
      <c r="P31" s="29">
        <f t="shared" si="0"/>
        <v>0.15</v>
      </c>
      <c r="Q31" s="28">
        <f t="shared" si="1"/>
        <v>48000</v>
      </c>
      <c r="R31" s="28">
        <v>368000</v>
      </c>
      <c r="S31" s="28">
        <f t="shared" si="2"/>
        <v>0</v>
      </c>
      <c r="T31" s="26" t="s">
        <v>421</v>
      </c>
      <c r="U31" s="26" t="s">
        <v>37</v>
      </c>
      <c r="V31" s="30">
        <v>2026</v>
      </c>
    </row>
    <row r="32" spans="1:22" x14ac:dyDescent="0.25">
      <c r="A32" s="25">
        <v>31</v>
      </c>
      <c r="B32" s="26" t="s">
        <v>30</v>
      </c>
      <c r="C32" s="26" t="s">
        <v>561</v>
      </c>
      <c r="D32" s="26" t="s">
        <v>308</v>
      </c>
      <c r="E32" s="26" t="s">
        <v>305</v>
      </c>
      <c r="F32" s="27">
        <v>46113</v>
      </c>
      <c r="G32" s="26"/>
      <c r="H32" s="26"/>
      <c r="I32" s="26" t="s">
        <v>40</v>
      </c>
      <c r="J32" s="26" t="s">
        <v>47</v>
      </c>
      <c r="K32" s="26" t="s">
        <v>283</v>
      </c>
      <c r="L32" s="26"/>
      <c r="M32" s="26" t="s">
        <v>305</v>
      </c>
      <c r="N32" s="26" t="s">
        <v>562</v>
      </c>
      <c r="O32" s="28">
        <v>15911.35</v>
      </c>
      <c r="P32" s="29">
        <f t="shared" si="0"/>
        <v>0.15000000000000008</v>
      </c>
      <c r="Q32" s="28">
        <f t="shared" si="1"/>
        <v>2386.7025000000012</v>
      </c>
      <c r="R32" s="28">
        <v>18298.052500000002</v>
      </c>
      <c r="S32" s="28">
        <f t="shared" si="2"/>
        <v>0</v>
      </c>
      <c r="T32" s="26" t="s">
        <v>421</v>
      </c>
      <c r="U32" s="26" t="s">
        <v>37</v>
      </c>
      <c r="V32" s="30">
        <v>2026</v>
      </c>
    </row>
    <row r="33" spans="1:22" x14ac:dyDescent="0.25">
      <c r="A33" s="25">
        <v>32</v>
      </c>
      <c r="B33" s="26" t="s">
        <v>30</v>
      </c>
      <c r="C33" s="26" t="s">
        <v>563</v>
      </c>
      <c r="D33" s="26" t="s">
        <v>308</v>
      </c>
      <c r="E33" s="26" t="s">
        <v>301</v>
      </c>
      <c r="F33" s="27">
        <v>46119</v>
      </c>
      <c r="G33" s="26"/>
      <c r="H33" s="26"/>
      <c r="I33" s="26" t="s">
        <v>40</v>
      </c>
      <c r="J33" s="26" t="s">
        <v>47</v>
      </c>
      <c r="K33" s="26" t="s">
        <v>283</v>
      </c>
      <c r="L33" s="26"/>
      <c r="M33" s="26" t="s">
        <v>301</v>
      </c>
      <c r="N33" s="26" t="s">
        <v>564</v>
      </c>
      <c r="O33" s="28">
        <v>683.05</v>
      </c>
      <c r="P33" s="29">
        <f t="shared" si="0"/>
        <v>0.15000000000000016</v>
      </c>
      <c r="Q33" s="28">
        <f t="shared" si="1"/>
        <v>102.4575000000001</v>
      </c>
      <c r="R33" s="28">
        <v>785.50750000000005</v>
      </c>
      <c r="S33" s="28">
        <f t="shared" si="2"/>
        <v>0</v>
      </c>
      <c r="T33" s="26" t="s">
        <v>421</v>
      </c>
      <c r="U33" s="26" t="s">
        <v>37</v>
      </c>
      <c r="V33" s="30">
        <v>2026</v>
      </c>
    </row>
    <row r="34" spans="1:22" x14ac:dyDescent="0.25">
      <c r="A34" s="25">
        <v>33</v>
      </c>
      <c r="B34" s="26" t="s">
        <v>30</v>
      </c>
      <c r="C34" s="26" t="s">
        <v>565</v>
      </c>
      <c r="D34" s="26" t="s">
        <v>308</v>
      </c>
      <c r="E34" s="26" t="s">
        <v>305</v>
      </c>
      <c r="F34" s="27">
        <v>46127</v>
      </c>
      <c r="G34" s="26"/>
      <c r="H34" s="26"/>
      <c r="I34" s="26" t="s">
        <v>34</v>
      </c>
      <c r="J34" s="26" t="s">
        <v>377</v>
      </c>
      <c r="K34" s="26" t="s">
        <v>283</v>
      </c>
      <c r="L34" s="26"/>
      <c r="M34" s="26" t="s">
        <v>305</v>
      </c>
      <c r="N34" s="26" t="s">
        <v>566</v>
      </c>
      <c r="O34" s="28">
        <v>11510</v>
      </c>
      <c r="P34" s="29">
        <f t="shared" si="0"/>
        <v>0.15</v>
      </c>
      <c r="Q34" s="28">
        <f t="shared" si="1"/>
        <v>1726.5</v>
      </c>
      <c r="R34" s="28">
        <v>13236.5</v>
      </c>
      <c r="S34" s="28">
        <f t="shared" si="2"/>
        <v>0</v>
      </c>
      <c r="T34" s="26" t="s">
        <v>421</v>
      </c>
      <c r="U34" s="26" t="s">
        <v>37</v>
      </c>
      <c r="V34" s="30">
        <v>2026</v>
      </c>
    </row>
    <row r="35" spans="1:22" x14ac:dyDescent="0.25">
      <c r="A35" s="25">
        <v>34</v>
      </c>
      <c r="B35" s="26" t="s">
        <v>30</v>
      </c>
      <c r="C35" s="26" t="s">
        <v>567</v>
      </c>
      <c r="D35" s="26" t="s">
        <v>308</v>
      </c>
      <c r="E35" s="26" t="s">
        <v>301</v>
      </c>
      <c r="F35" s="27">
        <v>46151</v>
      </c>
      <c r="G35" s="26"/>
      <c r="H35" s="26"/>
      <c r="I35" s="26" t="s">
        <v>40</v>
      </c>
      <c r="J35" s="26" t="s">
        <v>47</v>
      </c>
      <c r="K35" s="26" t="s">
        <v>283</v>
      </c>
      <c r="L35" s="26"/>
      <c r="M35" s="26" t="s">
        <v>301</v>
      </c>
      <c r="N35" s="26" t="s">
        <v>568</v>
      </c>
      <c r="O35" s="28">
        <v>637.79999999999995</v>
      </c>
      <c r="P35" s="29">
        <f t="shared" si="0"/>
        <v>0.15000000000000013</v>
      </c>
      <c r="Q35" s="28">
        <f t="shared" si="1"/>
        <v>95.670000000000073</v>
      </c>
      <c r="R35" s="28">
        <v>733.47</v>
      </c>
      <c r="S35" s="28">
        <f t="shared" si="2"/>
        <v>0</v>
      </c>
      <c r="T35" s="26" t="s">
        <v>421</v>
      </c>
      <c r="U35" s="26" t="s">
        <v>37</v>
      </c>
      <c r="V35" s="30">
        <v>2026</v>
      </c>
    </row>
    <row r="36" spans="1:22" x14ac:dyDescent="0.25">
      <c r="A36" s="25">
        <v>35</v>
      </c>
      <c r="B36" s="26" t="s">
        <v>30</v>
      </c>
      <c r="C36" s="26" t="s">
        <v>569</v>
      </c>
      <c r="D36" s="26" t="s">
        <v>308</v>
      </c>
      <c r="E36" s="26" t="s">
        <v>305</v>
      </c>
      <c r="F36" s="27">
        <v>46156</v>
      </c>
      <c r="G36" s="26"/>
      <c r="H36" s="26"/>
      <c r="I36" s="26" t="s">
        <v>34</v>
      </c>
      <c r="J36" s="26" t="s">
        <v>377</v>
      </c>
      <c r="K36" s="26" t="s">
        <v>283</v>
      </c>
      <c r="L36" s="26"/>
      <c r="M36" s="26" t="s">
        <v>305</v>
      </c>
      <c r="N36" s="26" t="s">
        <v>570</v>
      </c>
      <c r="O36" s="28">
        <v>11280</v>
      </c>
      <c r="P36" s="29">
        <f t="shared" si="0"/>
        <v>0.15</v>
      </c>
      <c r="Q36" s="28">
        <f t="shared" si="1"/>
        <v>1692</v>
      </c>
      <c r="R36" s="28">
        <v>12972</v>
      </c>
      <c r="S36" s="28">
        <f t="shared" si="2"/>
        <v>0</v>
      </c>
      <c r="T36" s="26" t="s">
        <v>421</v>
      </c>
      <c r="U36" s="26" t="s">
        <v>37</v>
      </c>
      <c r="V36" s="30">
        <v>2026</v>
      </c>
    </row>
    <row r="37" spans="1:22" x14ac:dyDescent="0.25">
      <c r="A37" s="25">
        <v>36</v>
      </c>
      <c r="B37" s="26" t="s">
        <v>30</v>
      </c>
      <c r="C37" s="26" t="s">
        <v>571</v>
      </c>
      <c r="D37" s="26" t="s">
        <v>308</v>
      </c>
      <c r="E37" s="26" t="s">
        <v>286</v>
      </c>
      <c r="F37" s="27">
        <v>46161</v>
      </c>
      <c r="G37" s="26"/>
      <c r="H37" s="26"/>
      <c r="I37" s="26" t="s">
        <v>66</v>
      </c>
      <c r="J37" s="26" t="s">
        <v>317</v>
      </c>
      <c r="K37" s="26" t="s">
        <v>283</v>
      </c>
      <c r="L37" s="26"/>
      <c r="M37" s="26" t="s">
        <v>303</v>
      </c>
      <c r="N37" s="26" t="s">
        <v>572</v>
      </c>
      <c r="O37" s="28">
        <v>4601.25</v>
      </c>
      <c r="P37" s="29">
        <f t="shared" si="0"/>
        <v>0.15</v>
      </c>
      <c r="Q37" s="28">
        <f t="shared" si="1"/>
        <v>690.1875</v>
      </c>
      <c r="R37" s="28">
        <v>5291.4375</v>
      </c>
      <c r="S37" s="28">
        <f t="shared" si="2"/>
        <v>0</v>
      </c>
      <c r="T37" s="26" t="s">
        <v>421</v>
      </c>
      <c r="U37" s="26" t="s">
        <v>37</v>
      </c>
      <c r="V37" s="30">
        <v>2026</v>
      </c>
    </row>
    <row r="38" spans="1:22" x14ac:dyDescent="0.25">
      <c r="A38" s="25">
        <v>37</v>
      </c>
      <c r="B38" s="26" t="s">
        <v>30</v>
      </c>
      <c r="C38" s="26" t="s">
        <v>573</v>
      </c>
      <c r="D38" s="26" t="s">
        <v>308</v>
      </c>
      <c r="E38" s="26" t="s">
        <v>305</v>
      </c>
      <c r="F38" s="27">
        <v>46161</v>
      </c>
      <c r="G38" s="26"/>
      <c r="H38" s="26"/>
      <c r="I38" s="26" t="s">
        <v>66</v>
      </c>
      <c r="J38" s="26" t="s">
        <v>317</v>
      </c>
      <c r="K38" s="26" t="s">
        <v>283</v>
      </c>
      <c r="L38" s="26"/>
      <c r="M38" s="26" t="s">
        <v>305</v>
      </c>
      <c r="N38" s="26" t="s">
        <v>572</v>
      </c>
      <c r="O38" s="28">
        <v>153962.75</v>
      </c>
      <c r="P38" s="29">
        <f t="shared" si="0"/>
        <v>0.15000000000000005</v>
      </c>
      <c r="Q38" s="28">
        <f t="shared" si="1"/>
        <v>23094.412500000006</v>
      </c>
      <c r="R38" s="28">
        <v>177057.16250000001</v>
      </c>
      <c r="S38" s="28">
        <f t="shared" si="2"/>
        <v>0</v>
      </c>
      <c r="T38" s="26" t="s">
        <v>421</v>
      </c>
      <c r="U38" s="26" t="s">
        <v>37</v>
      </c>
      <c r="V38" s="30">
        <v>2026</v>
      </c>
    </row>
    <row r="39" spans="1:22" x14ac:dyDescent="0.25">
      <c r="A39" s="25">
        <v>38</v>
      </c>
      <c r="B39" s="26" t="s">
        <v>30</v>
      </c>
      <c r="C39" s="26" t="s">
        <v>574</v>
      </c>
      <c r="D39" s="26" t="s">
        <v>308</v>
      </c>
      <c r="E39" s="26" t="s">
        <v>301</v>
      </c>
      <c r="F39" s="27">
        <v>46161</v>
      </c>
      <c r="G39" s="26"/>
      <c r="H39" s="26"/>
      <c r="I39" s="26" t="s">
        <v>66</v>
      </c>
      <c r="J39" s="26" t="s">
        <v>317</v>
      </c>
      <c r="K39" s="26" t="s">
        <v>283</v>
      </c>
      <c r="L39" s="26"/>
      <c r="M39" s="26" t="s">
        <v>575</v>
      </c>
      <c r="N39" s="26" t="s">
        <v>572</v>
      </c>
      <c r="O39" s="28">
        <v>93412.25</v>
      </c>
      <c r="P39" s="29">
        <f t="shared" si="0"/>
        <v>0.14999999999999994</v>
      </c>
      <c r="Q39" s="28">
        <f t="shared" si="1"/>
        <v>14011.837499999994</v>
      </c>
      <c r="R39" s="28">
        <v>107424.08749999999</v>
      </c>
      <c r="S39" s="28">
        <f t="shared" si="2"/>
        <v>0</v>
      </c>
      <c r="T39" s="26" t="s">
        <v>421</v>
      </c>
      <c r="U39" s="26" t="s">
        <v>37</v>
      </c>
      <c r="V39" s="30">
        <v>2026</v>
      </c>
    </row>
    <row r="40" spans="1:22" x14ac:dyDescent="0.25">
      <c r="A40" s="25">
        <v>39</v>
      </c>
      <c r="B40" s="26" t="s">
        <v>30</v>
      </c>
      <c r="C40" s="26" t="s">
        <v>576</v>
      </c>
      <c r="D40" s="26" t="s">
        <v>308</v>
      </c>
      <c r="E40" s="26" t="s">
        <v>305</v>
      </c>
      <c r="F40" s="27">
        <v>46183</v>
      </c>
      <c r="G40" s="26"/>
      <c r="H40" s="26"/>
      <c r="I40" s="26" t="s">
        <v>34</v>
      </c>
      <c r="J40" s="26" t="s">
        <v>377</v>
      </c>
      <c r="K40" s="26" t="s">
        <v>283</v>
      </c>
      <c r="L40" s="26"/>
      <c r="M40" s="26" t="s">
        <v>305</v>
      </c>
      <c r="N40" s="26" t="s">
        <v>577</v>
      </c>
      <c r="O40" s="28">
        <v>12332</v>
      </c>
      <c r="P40" s="29">
        <f t="shared" si="0"/>
        <v>0.14999999999999994</v>
      </c>
      <c r="Q40" s="28">
        <f t="shared" si="1"/>
        <v>1849.7999999999993</v>
      </c>
      <c r="R40" s="28">
        <v>14181.8</v>
      </c>
      <c r="S40" s="28">
        <f t="shared" si="2"/>
        <v>0</v>
      </c>
      <c r="T40" s="26" t="s">
        <v>421</v>
      </c>
      <c r="U40" s="26" t="s">
        <v>37</v>
      </c>
      <c r="V40" s="30">
        <v>2026</v>
      </c>
    </row>
    <row r="41" spans="1:22" x14ac:dyDescent="0.25">
      <c r="A41" s="25">
        <v>40</v>
      </c>
      <c r="B41" s="26" t="s">
        <v>30</v>
      </c>
      <c r="C41" s="26" t="s">
        <v>578</v>
      </c>
      <c r="D41" s="26" t="s">
        <v>308</v>
      </c>
      <c r="E41" s="26" t="s">
        <v>305</v>
      </c>
      <c r="F41" s="27">
        <v>46184</v>
      </c>
      <c r="G41" s="26"/>
      <c r="H41" s="26"/>
      <c r="I41" s="26" t="s">
        <v>40</v>
      </c>
      <c r="J41" s="26" t="s">
        <v>201</v>
      </c>
      <c r="K41" s="26" t="s">
        <v>283</v>
      </c>
      <c r="L41" s="26"/>
      <c r="M41" s="26" t="s">
        <v>311</v>
      </c>
      <c r="N41" s="26" t="s">
        <v>579</v>
      </c>
      <c r="O41" s="28">
        <v>1690.48</v>
      </c>
      <c r="P41" s="29">
        <f t="shared" si="0"/>
        <v>0.14999999999999994</v>
      </c>
      <c r="Q41" s="28">
        <f t="shared" si="1"/>
        <v>253.57199999999989</v>
      </c>
      <c r="R41" s="28">
        <v>1944.0519999999999</v>
      </c>
      <c r="S41" s="28">
        <f t="shared" si="2"/>
        <v>0</v>
      </c>
      <c r="T41" s="26" t="s">
        <v>421</v>
      </c>
      <c r="U41" s="26" t="s">
        <v>37</v>
      </c>
      <c r="V41" s="30">
        <v>2026</v>
      </c>
    </row>
    <row r="42" spans="1:22" ht="13" thickBot="1" x14ac:dyDescent="0.3">
      <c r="A42" s="25">
        <v>41</v>
      </c>
      <c r="B42" s="26" t="s">
        <v>30</v>
      </c>
      <c r="C42" s="26" t="s">
        <v>580</v>
      </c>
      <c r="D42" s="26" t="s">
        <v>308</v>
      </c>
      <c r="E42" s="26" t="s">
        <v>305</v>
      </c>
      <c r="F42" s="27">
        <v>46184</v>
      </c>
      <c r="G42" s="26"/>
      <c r="H42" s="26"/>
      <c r="I42" s="26" t="s">
        <v>40</v>
      </c>
      <c r="J42" s="26" t="s">
        <v>47</v>
      </c>
      <c r="K42" s="26" t="s">
        <v>283</v>
      </c>
      <c r="L42" s="26"/>
      <c r="M42" s="26" t="s">
        <v>305</v>
      </c>
      <c r="N42" s="26" t="s">
        <v>581</v>
      </c>
      <c r="O42" s="28">
        <v>4879.5600000000004</v>
      </c>
      <c r="P42" s="29">
        <f t="shared" si="0"/>
        <v>0.14999999999999983</v>
      </c>
      <c r="Q42" s="28">
        <f t="shared" si="1"/>
        <v>731.93399999999929</v>
      </c>
      <c r="R42" s="28">
        <v>5611.4939999999997</v>
      </c>
      <c r="S42" s="28">
        <f t="shared" si="2"/>
        <v>0</v>
      </c>
      <c r="T42" s="26" t="s">
        <v>421</v>
      </c>
      <c r="U42" s="26" t="s">
        <v>37</v>
      </c>
      <c r="V42" s="30">
        <v>2026</v>
      </c>
    </row>
    <row r="43" spans="1:22" ht="13.5" thickBot="1" x14ac:dyDescent="0.3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 t="s">
        <v>318</v>
      </c>
      <c r="O43" s="33">
        <f>SUM(O2:O42)</f>
        <v>933808.49660000007</v>
      </c>
      <c r="P43" s="31"/>
      <c r="Q43" s="33">
        <f>SUM(Q2:Q42)</f>
        <v>140071.27448999998</v>
      </c>
      <c r="R43" s="33">
        <f>SUM(R2:R42)</f>
        <v>1073879.7710899997</v>
      </c>
      <c r="S43" s="33">
        <f>SUM(S2:S42)</f>
        <v>203696.34819999998</v>
      </c>
      <c r="T43" s="31"/>
      <c r="U43" s="31"/>
      <c r="V43" s="31"/>
    </row>
    <row r="44" spans="1:22" ht="13" thickTop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 2021-2023 (WS-4950)</vt:lpstr>
      <vt:lpstr>Contract 2023-2025 (4600000272)</vt:lpstr>
      <vt:lpstr>Contract 2025-2026 (4600001124)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Sidra Ishaque</cp:lastModifiedBy>
  <cp:revision>0</cp:revision>
  <dcterms:created xsi:type="dcterms:W3CDTF">2026-08-05T09:05:32Z</dcterms:created>
  <dcterms:modified xsi:type="dcterms:W3CDTF">2026-08-19T05:52:36Z</dcterms:modified>
  <dc:language>en-US</dc:language>
</cp:coreProperties>
</file>