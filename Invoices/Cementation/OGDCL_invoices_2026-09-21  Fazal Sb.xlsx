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fiqBukhariSrChemi\Documents\Zeeshan SE\"/>
    </mc:Choice>
  </mc:AlternateContent>
  <xr:revisionPtr revIDLastSave="0" documentId="13_ncr:1_{262C19B4-40FB-461D-B012-8A3C6E4E0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s" sheetId="1" r:id="rId1"/>
  </sheets>
  <definedNames>
    <definedName name="_xlnm._FilterDatabase" localSheetId="0" hidden="1">Invoices!$A$1:$W$316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R18" i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R29" i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2" i="1"/>
  <c r="S62" i="1" s="1"/>
  <c r="R63" i="1"/>
  <c r="S63" i="1" s="1"/>
  <c r="R64" i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R76" i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R101" i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R112" i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R125" i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R149" i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R160" i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R173" i="1"/>
  <c r="S173" i="1" s="1"/>
  <c r="R174" i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R185" i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R208" i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R221" i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R281" i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R293" i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R61" i="1"/>
  <c r="S61" i="1" s="1"/>
  <c r="S17" i="1"/>
  <c r="S18" i="1"/>
  <c r="S28" i="1"/>
  <c r="S29" i="1"/>
  <c r="S41" i="1"/>
  <c r="S53" i="1"/>
  <c r="S64" i="1"/>
  <c r="S75" i="1"/>
  <c r="S76" i="1"/>
  <c r="S88" i="1"/>
  <c r="S100" i="1"/>
  <c r="S101" i="1"/>
  <c r="S111" i="1"/>
  <c r="S112" i="1"/>
  <c r="S124" i="1"/>
  <c r="S125" i="1"/>
  <c r="S136" i="1"/>
  <c r="S148" i="1"/>
  <c r="S149" i="1"/>
  <c r="S159" i="1"/>
  <c r="S160" i="1"/>
  <c r="S172" i="1"/>
  <c r="S174" i="1"/>
  <c r="S184" i="1"/>
  <c r="S185" i="1"/>
  <c r="S196" i="1"/>
  <c r="S207" i="1"/>
  <c r="S208" i="1"/>
  <c r="S220" i="1"/>
  <c r="S221" i="1"/>
  <c r="S232" i="1"/>
  <c r="S244" i="1"/>
  <c r="S256" i="1"/>
  <c r="S268" i="1"/>
  <c r="S280" i="1"/>
  <c r="S281" i="1"/>
  <c r="S292" i="1"/>
  <c r="S293" i="1"/>
  <c r="S304" i="1"/>
  <c r="S316" i="1"/>
  <c r="V25" i="1" l="1"/>
  <c r="V124" i="1"/>
  <c r="V96" i="1"/>
  <c r="V126" i="1"/>
  <c r="V21" i="1"/>
  <c r="V22" i="1"/>
  <c r="V164" i="1"/>
  <c r="V97" i="1"/>
  <c r="V165" i="1"/>
  <c r="V24" i="1"/>
  <c r="V98" i="1"/>
  <c r="V99" i="1"/>
  <c r="V127" i="1"/>
  <c r="V37" i="1"/>
  <c r="V166" i="1"/>
  <c r="V100" i="1"/>
  <c r="V23" i="1"/>
  <c r="V26" i="1"/>
  <c r="V101" i="1"/>
  <c r="V137" i="1"/>
  <c r="V125" i="1"/>
  <c r="V167" i="1"/>
  <c r="V29" i="1"/>
  <c r="V138" i="1"/>
  <c r="V169" i="1"/>
  <c r="V31" i="1"/>
  <c r="V139" i="1"/>
  <c r="V35" i="1"/>
  <c r="V168" i="1"/>
  <c r="V140" i="1"/>
  <c r="V33" i="1"/>
  <c r="V170" i="1"/>
  <c r="V34" i="1"/>
  <c r="V142" i="1"/>
  <c r="V191" i="1"/>
  <c r="V143" i="1"/>
  <c r="V32" i="1"/>
  <c r="V192" i="1"/>
  <c r="V146" i="1"/>
  <c r="V193" i="1"/>
  <c r="V36" i="1"/>
  <c r="V123" i="1"/>
  <c r="V218" i="1"/>
  <c r="V27" i="1"/>
  <c r="V40" i="1"/>
  <c r="V147" i="1"/>
  <c r="V172" i="1"/>
  <c r="V30" i="1"/>
  <c r="V173" i="1"/>
  <c r="V41" i="1"/>
  <c r="V195" i="1"/>
  <c r="V219" i="1"/>
  <c r="V148" i="1"/>
  <c r="V174" i="1"/>
  <c r="V38" i="1"/>
  <c r="V43" i="1"/>
  <c r="V233" i="1"/>
  <c r="V194" i="1"/>
  <c r="V234" i="1"/>
  <c r="V149" i="1"/>
  <c r="V39" i="1"/>
  <c r="V175" i="1"/>
  <c r="V145" i="1"/>
  <c r="V42" i="1"/>
  <c r="V28" i="1"/>
  <c r="V245" i="1"/>
  <c r="V217" i="1"/>
  <c r="V141" i="1"/>
  <c r="V44" i="1"/>
  <c r="V150" i="1"/>
  <c r="V246" i="1"/>
  <c r="V199" i="1"/>
  <c r="V45" i="1"/>
  <c r="V247" i="1"/>
  <c r="V46" i="1"/>
  <c r="V248" i="1"/>
  <c r="V144" i="1"/>
  <c r="V222" i="1"/>
  <c r="V272" i="1"/>
  <c r="V47" i="1"/>
  <c r="V48" i="1"/>
  <c r="V223" i="1"/>
  <c r="V273" i="1"/>
  <c r="V284" i="1"/>
  <c r="V49" i="1"/>
  <c r="V204" i="1"/>
  <c r="V50" i="1"/>
  <c r="V200" i="1"/>
  <c r="V285" i="1"/>
  <c r="V51" i="1"/>
  <c r="V203" i="1"/>
  <c r="V300" i="1"/>
  <c r="V72" i="1"/>
  <c r="V52" i="1"/>
  <c r="V228" i="1"/>
  <c r="V56" i="1"/>
  <c r="V71" i="1"/>
  <c r="V231" i="1"/>
  <c r="V77" i="1"/>
  <c r="V229" i="1"/>
  <c r="V54" i="1"/>
  <c r="V55" i="1"/>
  <c r="V76" i="1"/>
  <c r="V232" i="1"/>
  <c r="V57" i="1"/>
  <c r="V236" i="1"/>
  <c r="V128" i="1"/>
  <c r="V130" i="1"/>
  <c r="V58" i="1"/>
  <c r="V230" i="1"/>
  <c r="V226" i="1"/>
  <c r="V59" i="1"/>
  <c r="V129" i="1"/>
  <c r="V60" i="1"/>
  <c r="V133" i="1"/>
  <c r="V202" i="1"/>
  <c r="V61" i="1"/>
  <c r="V134" i="1"/>
  <c r="V224" i="1"/>
  <c r="V62" i="1"/>
  <c r="V132" i="1"/>
  <c r="V225" i="1"/>
  <c r="V64" i="1"/>
  <c r="V171" i="1"/>
  <c r="V238" i="1"/>
  <c r="V131" i="1"/>
  <c r="V63" i="1"/>
  <c r="V239" i="1"/>
  <c r="V53" i="1"/>
  <c r="V205" i="1"/>
  <c r="V196" i="1"/>
  <c r="V237" i="1"/>
  <c r="V198" i="1"/>
  <c r="V69" i="1"/>
  <c r="V197" i="1"/>
  <c r="V68" i="1"/>
  <c r="V255" i="1"/>
  <c r="V220" i="1"/>
  <c r="V66" i="1"/>
  <c r="V256" i="1"/>
  <c r="V70" i="1"/>
  <c r="V221" i="1"/>
  <c r="V257" i="1"/>
  <c r="V258" i="1"/>
  <c r="V65" i="1"/>
  <c r="V235" i="1"/>
  <c r="V67" i="1"/>
  <c r="V249" i="1"/>
  <c r="V259" i="1"/>
  <c r="V260" i="1"/>
  <c r="V250" i="1"/>
  <c r="V251" i="1"/>
  <c r="V201" i="1"/>
  <c r="V252" i="1"/>
  <c r="V254" i="1"/>
  <c r="V253" i="1"/>
  <c r="V261" i="1"/>
  <c r="V274" i="1"/>
  <c r="V262" i="1"/>
  <c r="V263" i="1"/>
  <c r="V275" i="1"/>
  <c r="V286" i="1"/>
  <c r="V264" i="1"/>
  <c r="V302" i="1"/>
  <c r="V265" i="1"/>
  <c r="V266" i="1"/>
  <c r="V303" i="1"/>
  <c r="V304" i="1"/>
  <c r="V267" i="1"/>
  <c r="V268" i="1"/>
  <c r="V305" i="1"/>
  <c r="V301" i="1"/>
  <c r="V269" i="1"/>
  <c r="V306" i="1"/>
  <c r="V270" i="1"/>
  <c r="V73" i="1"/>
  <c r="V271" i="1"/>
  <c r="V276" i="1"/>
  <c r="V74" i="1"/>
  <c r="V277" i="1"/>
  <c r="V78" i="1"/>
  <c r="V79" i="1"/>
  <c r="V278" i="1"/>
  <c r="V93" i="1"/>
  <c r="V281" i="1"/>
  <c r="V282" i="1"/>
  <c r="V94" i="1"/>
  <c r="V135" i="1"/>
  <c r="V283" i="1"/>
  <c r="V279" i="1"/>
  <c r="V136" i="1"/>
  <c r="V289" i="1"/>
  <c r="V2" i="1"/>
  <c r="V296" i="1"/>
  <c r="V290" i="1"/>
  <c r="V297" i="1"/>
  <c r="V299" i="1"/>
  <c r="V294" i="1"/>
  <c r="V293" i="1"/>
  <c r="V292" i="1"/>
  <c r="V227" i="1"/>
  <c r="V287" i="1"/>
  <c r="V291" i="1"/>
  <c r="V298" i="1"/>
  <c r="V295" i="1"/>
  <c r="V288" i="1"/>
  <c r="V280" i="1"/>
  <c r="V307" i="1"/>
  <c r="V308" i="1"/>
  <c r="V310" i="1"/>
  <c r="V311" i="1"/>
  <c r="V312" i="1"/>
  <c r="V313" i="1"/>
  <c r="V314" i="1"/>
  <c r="V315" i="1"/>
  <c r="V316" i="1"/>
  <c r="V75" i="1"/>
  <c r="V309" i="1"/>
  <c r="V80" i="1"/>
  <c r="V81" i="1"/>
  <c r="V82" i="1"/>
  <c r="V83" i="1"/>
  <c r="V84" i="1"/>
  <c r="V85" i="1"/>
  <c r="V87" i="1"/>
  <c r="V86" i="1"/>
  <c r="V88" i="1"/>
  <c r="V89" i="1"/>
  <c r="V90" i="1"/>
  <c r="V103" i="1"/>
  <c r="V108" i="1"/>
  <c r="V112" i="1"/>
  <c r="V107" i="1"/>
  <c r="V104" i="1"/>
  <c r="V113" i="1"/>
  <c r="V114" i="1"/>
  <c r="V115" i="1"/>
  <c r="V116" i="1"/>
  <c r="V117" i="1"/>
  <c r="V118" i="1"/>
  <c r="V120" i="1"/>
  <c r="V121" i="1"/>
  <c r="V122" i="1"/>
  <c r="V119" i="1"/>
  <c r="V151" i="1"/>
  <c r="V152" i="1"/>
  <c r="V153" i="1"/>
  <c r="V105" i="1"/>
  <c r="V106" i="1"/>
  <c r="V109" i="1"/>
  <c r="V110" i="1"/>
  <c r="V111" i="1"/>
  <c r="V240" i="1"/>
  <c r="V160" i="1"/>
  <c r="V162" i="1"/>
  <c r="V155" i="1"/>
  <c r="V161" i="1"/>
  <c r="V159" i="1"/>
  <c r="V216" i="1"/>
  <c r="V163" i="1"/>
  <c r="V157" i="1"/>
  <c r="V156" i="1"/>
  <c r="V102" i="1"/>
  <c r="V244" i="1"/>
  <c r="V178" i="1"/>
  <c r="V177" i="1"/>
  <c r="V154" i="1"/>
  <c r="V158" i="1"/>
  <c r="V181" i="1"/>
  <c r="V182" i="1"/>
  <c r="V183" i="1"/>
  <c r="V176" i="1"/>
  <c r="V185" i="1"/>
  <c r="V186" i="1"/>
  <c r="V188" i="1"/>
  <c r="V179" i="1"/>
  <c r="V190" i="1"/>
  <c r="V187" i="1"/>
  <c r="V207" i="1"/>
  <c r="V208" i="1"/>
  <c r="V209" i="1"/>
  <c r="V210" i="1"/>
  <c r="V211" i="1"/>
  <c r="V206" i="1"/>
  <c r="V212" i="1"/>
  <c r="V213" i="1"/>
  <c r="V215" i="1"/>
  <c r="V180" i="1"/>
  <c r="V214" i="1"/>
  <c r="V3" i="1"/>
  <c r="V4" i="1"/>
  <c r="V5" i="1"/>
  <c r="V6" i="1"/>
  <c r="V7" i="1"/>
  <c r="V8" i="1"/>
  <c r="V241" i="1"/>
  <c r="V9" i="1"/>
  <c r="V242" i="1"/>
  <c r="V10" i="1"/>
  <c r="V11" i="1"/>
  <c r="V12" i="1"/>
  <c r="V13" i="1"/>
  <c r="V243" i="1"/>
  <c r="V14" i="1"/>
  <c r="V15" i="1"/>
  <c r="V189" i="1"/>
  <c r="V16" i="1"/>
  <c r="V17" i="1"/>
  <c r="V18" i="1"/>
  <c r="V184" i="1"/>
  <c r="V19" i="1"/>
  <c r="V20" i="1"/>
  <c r="V91" i="1"/>
  <c r="V92" i="1"/>
  <c r="V95" i="1"/>
</calcChain>
</file>

<file path=xl/sharedStrings.xml><?xml version="1.0" encoding="utf-8"?>
<sst xmlns="http://schemas.openxmlformats.org/spreadsheetml/2006/main" count="5056" uniqueCount="783">
  <si>
    <t>Sr No</t>
  </si>
  <si>
    <t>Vendor</t>
  </si>
  <si>
    <t>Invoice No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</si>
  <si>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</si>
  <si>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</si>
  <si>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</si>
  <si>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</si>
  <si>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</si>
  <si>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</si>
  <si>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</si>
  <si>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Department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</si>
  <si>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</si>
  <si>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</si>
  <si>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</si>
  <si>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</si>
  <si>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</si>
  <si>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</si>
  <si>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</si>
  <si>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</si>
  <si>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</si>
  <si>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</si>
  <si>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</si>
  <si>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</si>
  <si>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Sprint Oil &amp; Gas Services FZ-Pakistan</t>
  </si>
  <si>
    <t>CMT-PK-0325-008</t>
  </si>
  <si>
    <t>OGDCL-SCM-SERVICES-CB-CEM-265732025-4600000803-2025</t>
  </si>
  <si>
    <t>DHAMACH-1</t>
  </si>
  <si>
    <t>2025-01-21</t>
  </si>
  <si>
    <t/>
  </si>
  <si>
    <t>Cementation/Stim</t>
  </si>
  <si>
    <t>Slurry &amp; Spacer Charges Squeeze Cement Plug-3</t>
  </si>
  <si>
    <t>Under Process</t>
  </si>
  <si>
    <t>2025</t>
  </si>
  <si>
    <t>Dowell Schlumberger (Western) SA</t>
  </si>
  <si>
    <t>994859574</t>
  </si>
  <si>
    <t>OGDCL-SCM-SERVICES-CB-CEM-278762293-4600000959-2025</t>
  </si>
  <si>
    <t>GURGALOT X-1</t>
  </si>
  <si>
    <t>2025-08-28</t>
  </si>
  <si>
    <t>Mob of cementing package (Returned to vendor as 16 % PST applied intead of 15% old invice num is 994859501) [RO# 4700017534] [SES# 1000063669]</t>
  </si>
  <si>
    <t>CMT-PK-0413-002</t>
  </si>
  <si>
    <t>PROC-FD/CB/WS-299-767298 /2013</t>
  </si>
  <si>
    <t>CNG SOUTH-2</t>
  </si>
  <si>
    <t>2013-05-28</t>
  </si>
  <si>
    <t>2013</t>
  </si>
  <si>
    <t>CMT-PK-0325-009</t>
  </si>
  <si>
    <t>2025-01-25</t>
  </si>
  <si>
    <t>Slurry &amp; Spacer Charges Squeeze Cement Plug-4</t>
  </si>
  <si>
    <t>CMT-PK-0413-004</t>
  </si>
  <si>
    <t>RAJIAN-07</t>
  </si>
  <si>
    <t>994859502</t>
  </si>
  <si>
    <t>BARAGZAI X-1</t>
  </si>
  <si>
    <t>Mob of additional Eqp [RO# 4700017529] [SES# 1000063662]</t>
  </si>
  <si>
    <t>994859510</t>
  </si>
  <si>
    <t>11 3/4" liner job [RO# 4700017572] [SES# 1000063844]</t>
  </si>
  <si>
    <t>CMT-PK-0513-001</t>
  </si>
  <si>
    <t>CMT-PK-0325-010</t>
  </si>
  <si>
    <t>FAAKIR-1</t>
  </si>
  <si>
    <t>2025-01-30</t>
  </si>
  <si>
    <t>Slurry &amp; Spacer Charges Loss Circulation Plug-4</t>
  </si>
  <si>
    <t>CMT-PK-0513-002</t>
  </si>
  <si>
    <t>KURRAM-01</t>
  </si>
  <si>
    <t>994859557</t>
  </si>
  <si>
    <t>2025-08-29</t>
  </si>
  <si>
    <t>Additional Eqp(unit &amp; Batch mixer) Charges [RO# 4700017621] [SES# 1000063997]</t>
  </si>
  <si>
    <t>CMT-PK-0325-011</t>
  </si>
  <si>
    <t>2025-02-10</t>
  </si>
  <si>
    <t>Slurry &amp; Spacer Charges Loss Circulation Plug-8</t>
  </si>
  <si>
    <t>CMT-PK-0325-012</t>
  </si>
  <si>
    <t>2025-02-16</t>
  </si>
  <si>
    <t>Slurry &amp; Spacer Charges Loss Circulation Plug-9</t>
  </si>
  <si>
    <t>CMT-PK-0413-005</t>
  </si>
  <si>
    <t>NASHPA-04</t>
  </si>
  <si>
    <t>2013-06-06</t>
  </si>
  <si>
    <t>994859735</t>
  </si>
  <si>
    <t>(Returned to vendor as 16 % PST applied intead of 15%old invice num is 994859558) [RO# 4700017579] [SES# 1000063858]</t>
  </si>
  <si>
    <t>CMT-PK-0513-003</t>
  </si>
  <si>
    <t>CMT-PK-0325-013</t>
  </si>
  <si>
    <t>KUNNAR-2</t>
  </si>
  <si>
    <t>2025-02-07</t>
  </si>
  <si>
    <t>Slurry &amp; Spacer Charges Squeeze Cement Plug</t>
  </si>
  <si>
    <t>994859544</t>
  </si>
  <si>
    <t>Toot Deep-1</t>
  </si>
  <si>
    <t>2025-09-17</t>
  </si>
  <si>
    <t>Squeez Plug (08.07.2025) [RO# 4700017916] [SES# 1000065650]</t>
  </si>
  <si>
    <t>994859637</t>
  </si>
  <si>
    <t>2025-09-23</t>
  </si>
  <si>
    <t>9 5/8" job (19.08.2025) [RO# 4700017939] [SES# 1000066037]</t>
  </si>
  <si>
    <t>CMT-PK-0325-014</t>
  </si>
  <si>
    <t>CHAK 2-2(S/T)</t>
  </si>
  <si>
    <t>2025-02-20</t>
  </si>
  <si>
    <t>Slurry &amp; Spacer Charges 7" Csg Job</t>
  </si>
  <si>
    <t>CMT-PK-0425-001</t>
  </si>
  <si>
    <t>KUNNAR-8</t>
  </si>
  <si>
    <t>2025-03-14</t>
  </si>
  <si>
    <t>Slurry &amp; Spacer Charges Squeeze Cement Plug-1</t>
  </si>
  <si>
    <t>CMT-PK-0413-003</t>
  </si>
  <si>
    <t>2013-06-14</t>
  </si>
  <si>
    <t>CMT-PK-0513-004</t>
  </si>
  <si>
    <t>2013-06-25</t>
  </si>
  <si>
    <t>994859648</t>
  </si>
  <si>
    <t>Additives for 24 1/2" Job [RO# 4700017938] [SES# 1000066041]</t>
  </si>
  <si>
    <t>CMT-PK-0425-002</t>
  </si>
  <si>
    <t>2025-03-17</t>
  </si>
  <si>
    <t>Slurry &amp; Spacer Charges Squeeze Cement Plug-2</t>
  </si>
  <si>
    <t>CMT-PK-0513-006</t>
  </si>
  <si>
    <t>994859676</t>
  </si>
  <si>
    <t>2025-10-15</t>
  </si>
  <si>
    <t>Squeez Plug 1 (04.09.2025) [RO# 4700018445] [SES# 1000067588]</t>
  </si>
  <si>
    <t>CMT-PK-0425-003</t>
  </si>
  <si>
    <t>994859701</t>
  </si>
  <si>
    <t>2025-10-31</t>
  </si>
  <si>
    <t>Squeez Plug 2 (08.09.2025) [RO# 4700018803] [SES# 1000069144]</t>
  </si>
  <si>
    <t>CMT-PK-0513-005</t>
  </si>
  <si>
    <t>2013-06-26</t>
  </si>
  <si>
    <t>CMT-PK-0425-004</t>
  </si>
  <si>
    <t>2025-03-21</t>
  </si>
  <si>
    <t>Slurry &amp; Spacer Charges Cement Plug</t>
  </si>
  <si>
    <t>994859699</t>
  </si>
  <si>
    <t>Squeez Plug 3 (14.09.2025) [RO# 4700018814] [SES# 1000069152]</t>
  </si>
  <si>
    <t>CMT-PK-0513-007</t>
  </si>
  <si>
    <t>994859700</t>
  </si>
  <si>
    <t>Squeez Plug 4 (20.09.2025) [RO# 4700018815] [SES# 1000069155]</t>
  </si>
  <si>
    <t>CMT-PK-0425-006</t>
  </si>
  <si>
    <t>2025-01-17</t>
  </si>
  <si>
    <t>Monthly Equipment Rental+ Crew Charges</t>
  </si>
  <si>
    <t>CMT-PK-0613-001</t>
  </si>
  <si>
    <t>2013-02-07</t>
  </si>
  <si>
    <t>CMT-PK-0425-007</t>
  </si>
  <si>
    <t>994859698</t>
  </si>
  <si>
    <t>2025-11-05</t>
  </si>
  <si>
    <t>Additional Eqp(Frac Tank) Charges [RO# 4700018915] [SES# 1000069622]</t>
  </si>
  <si>
    <t>CMT-PK-0613-002</t>
  </si>
  <si>
    <t>SOHNIWALA-01</t>
  </si>
  <si>
    <t>CMT-PK-0425-012</t>
  </si>
  <si>
    <t>2025-02-01</t>
  </si>
  <si>
    <t>CMT-PK-0613-003</t>
  </si>
  <si>
    <t>994859702</t>
  </si>
  <si>
    <t>2025-11-13</t>
  </si>
  <si>
    <t>18 5/8" Casing [RO# 4700019048] [SES# 1000070334]</t>
  </si>
  <si>
    <t>CMT-PK-0413-001</t>
  </si>
  <si>
    <t>BAHU -08</t>
  </si>
  <si>
    <t>2013-11-07</t>
  </si>
  <si>
    <t>CMT-PK-0713-012</t>
  </si>
  <si>
    <t>2013-04-09</t>
  </si>
  <si>
    <t>994859638</t>
  </si>
  <si>
    <t>BETTANI DEEP-1</t>
  </si>
  <si>
    <t>2025-11-25</t>
  </si>
  <si>
    <t>5" LINER JOB [RO# 4700019304] [SES# 1000071154]</t>
  </si>
  <si>
    <t>994859843</t>
  </si>
  <si>
    <t>2025-12-11</t>
  </si>
  <si>
    <t>5" LINER JOB [RO# 4700019494] [SES# 1000072260]</t>
  </si>
  <si>
    <t>CMT-PK-0425-017</t>
  </si>
  <si>
    <t>KUNNAR-3</t>
  </si>
  <si>
    <t>2025-04-02</t>
  </si>
  <si>
    <t>CMT-PK-0525-001</t>
  </si>
  <si>
    <t>2025-04-27</t>
  </si>
  <si>
    <t>994859672</t>
  </si>
  <si>
    <t>7" Tie back liner [RO# 4700019264] [SES# 1000071018]</t>
  </si>
  <si>
    <t>CMT-PK-0525-002</t>
  </si>
  <si>
    <t>2025-03-01</t>
  </si>
  <si>
    <t>Equipment Demob+ Monthly Crew Charges</t>
  </si>
  <si>
    <t>994859847</t>
  </si>
  <si>
    <t>RAJIAN-09</t>
  </si>
  <si>
    <t>Isolation/Squeee plug [RO# 4700019516] [SES# 1000072316]</t>
  </si>
  <si>
    <t>CMT-PK-0613-006</t>
  </si>
  <si>
    <t>2013-07-19</t>
  </si>
  <si>
    <t>CMT-PK-0713-021</t>
  </si>
  <si>
    <t>2013-09-18</t>
  </si>
  <si>
    <t>CMT-PK-0425-018</t>
  </si>
  <si>
    <t>2025-04-07</t>
  </si>
  <si>
    <t>Slurry &amp; Spacer Charges 9-5/8" Csg Job</t>
  </si>
  <si>
    <t>CMT-PK-0525-003</t>
  </si>
  <si>
    <t>2025-04-10</t>
  </si>
  <si>
    <t>994859785</t>
  </si>
  <si>
    <t>2025-11-26</t>
  </si>
  <si>
    <t>De Mob of Cementing Pacakge [RO# 4700019310] [SES# 1000071182]</t>
  </si>
  <si>
    <t>994859871</t>
  </si>
  <si>
    <t>Mob/Demob of add silos [RO# 4700019564] [SES# 1000072468]</t>
  </si>
  <si>
    <t>CMT-PK-0813-015</t>
  </si>
  <si>
    <t>2013-10-31</t>
  </si>
  <si>
    <t>CMT-PK-0613-005</t>
  </si>
  <si>
    <t>2013-08-26</t>
  </si>
  <si>
    <t>CMT-PK-0813-016</t>
  </si>
  <si>
    <t>CMT-PK-0425-019</t>
  </si>
  <si>
    <t>994859842</t>
  </si>
  <si>
    <t>2025-12-12</t>
  </si>
  <si>
    <t>7" Liner Job (29.09.2025) [RO# 4700019504] [SES# 1000072280]</t>
  </si>
  <si>
    <t>CMT-PK-0525-004</t>
  </si>
  <si>
    <t>2025-05-09</t>
  </si>
  <si>
    <t>CMT-PK-0425-011</t>
  </si>
  <si>
    <t>Monthly Crew Charges</t>
  </si>
  <si>
    <t>994859863</t>
  </si>
  <si>
    <t>RAJIAN-02</t>
  </si>
  <si>
    <t>2025-12-19</t>
  </si>
  <si>
    <t>Mob of Cmt Pkg [RO# 4700019669] [SES# 1000073134]</t>
  </si>
  <si>
    <t>994859647</t>
  </si>
  <si>
    <t>Additional Eqp DeMob [RO# 4700018563] [SES# 1000068333]</t>
  </si>
  <si>
    <t>CMT-PK-0913-002</t>
  </si>
  <si>
    <t>SOGHRI-01</t>
  </si>
  <si>
    <t>CMT-PK-0713-011</t>
  </si>
  <si>
    <t>JAND-01</t>
  </si>
  <si>
    <t>CMT-PK-0425-005</t>
  </si>
  <si>
    <t>Monthly Crew + Technical Engr Charges</t>
  </si>
  <si>
    <t>994859872</t>
  </si>
  <si>
    <t>Mob of Cmt Pkg [RO# 47000019677] [SES# 1000073154]</t>
  </si>
  <si>
    <t>CMT-PK-0425-020</t>
  </si>
  <si>
    <t>CMT-PK-0913-003</t>
  </si>
  <si>
    <t>CMT-PK-0625-001</t>
  </si>
  <si>
    <t>2025-05-27</t>
  </si>
  <si>
    <t>994859893</t>
  </si>
  <si>
    <t>2025-12-31</t>
  </si>
  <si>
    <t>Isolation/Squeee plug [RO# 4700019885] [SES# 1000073942]</t>
  </si>
  <si>
    <t>CMT-PK-0913-004</t>
  </si>
  <si>
    <t>MELA-04</t>
  </si>
  <si>
    <t>994859894</t>
  </si>
  <si>
    <t>Isolation/Squeee plug 2 [RO# 4700019886] [SES# 1000073944]</t>
  </si>
  <si>
    <t>CMT-PK-0913-005</t>
  </si>
  <si>
    <t>CMT-PK-0425-010</t>
  </si>
  <si>
    <t>CMT-PK-0725-001</t>
  </si>
  <si>
    <t>2025-06-17</t>
  </si>
  <si>
    <t>CMT-PK-1013-009</t>
  </si>
  <si>
    <t>2013-02-12</t>
  </si>
  <si>
    <t>994859921</t>
  </si>
  <si>
    <t>Isolation/Squeee plug 3 [RO# 4700019887] [SES# 1000073951]</t>
  </si>
  <si>
    <t>994859954</t>
  </si>
  <si>
    <t>2026-03-03</t>
  </si>
  <si>
    <t>13 3/8" Casing [RO# 4700020173] [SES# 1000075059]</t>
  </si>
  <si>
    <t>2026</t>
  </si>
  <si>
    <t>CMT-PK-0725-002</t>
  </si>
  <si>
    <t>2025-06-16</t>
  </si>
  <si>
    <t>CMT-PK-1013-017</t>
  </si>
  <si>
    <t>2013-05-12</t>
  </si>
  <si>
    <t>CMT-PK-1113-004</t>
  </si>
  <si>
    <t>RAJIAN-08</t>
  </si>
  <si>
    <t>2013-12-13</t>
  </si>
  <si>
    <t>994860010</t>
  </si>
  <si>
    <t>KAL-03</t>
  </si>
  <si>
    <t>2026-03-16</t>
  </si>
  <si>
    <t>Isolation plug [RO# 4700021276] [SES# 1000079748]</t>
  </si>
  <si>
    <t>CMT-PK-0625-006</t>
  </si>
  <si>
    <t>2025-05-01</t>
  </si>
  <si>
    <t>994860011</t>
  </si>
  <si>
    <t>Demob of additional eqp [RO# 4700021279] [SES# 1000079767]</t>
  </si>
  <si>
    <t>CMT-PK-0625-002</t>
  </si>
  <si>
    <t>2025-04-01</t>
  </si>
  <si>
    <t>CMT-PK-1113-007</t>
  </si>
  <si>
    <t>2014-01-17</t>
  </si>
  <si>
    <t>2014</t>
  </si>
  <si>
    <t>994860039</t>
  </si>
  <si>
    <t>2026-03-17</t>
  </si>
  <si>
    <t>P &amp; A (Surface) [RO# 4700021367] [SES# 1000080097]</t>
  </si>
  <si>
    <t>CMT-PK-0625-005</t>
  </si>
  <si>
    <t>CMT-PK-1213-004</t>
  </si>
  <si>
    <t>2014-06-02</t>
  </si>
  <si>
    <t>CMT-PK-0114-006</t>
  </si>
  <si>
    <t>2014-11-02</t>
  </si>
  <si>
    <t>994860040</t>
  </si>
  <si>
    <t>2026-04-14</t>
  </si>
  <si>
    <t>P &amp; A (Bottom) [RO# 4700021859] [SES# 1000081815]</t>
  </si>
  <si>
    <t>CMT-PK-0725-013</t>
  </si>
  <si>
    <t>QP-64</t>
  </si>
  <si>
    <t>2025-06-23</t>
  </si>
  <si>
    <t>Equipment mob+ Monthly Crew Charges</t>
  </si>
  <si>
    <t>994860195</t>
  </si>
  <si>
    <t>2026-04-30</t>
  </si>
  <si>
    <t>Demob of Cementing Package [RO# 4700022146] [SES# 1000082905]</t>
  </si>
  <si>
    <t>CMT-PK-0114-005</t>
  </si>
  <si>
    <t>RAJIAN-2</t>
  </si>
  <si>
    <t>2014-01-23</t>
  </si>
  <si>
    <t>CMT-PK-0725-016</t>
  </si>
  <si>
    <t>JHAKRO NORTH-1</t>
  </si>
  <si>
    <t>2025-06-29</t>
  </si>
  <si>
    <t>CMT-PK-0214-004</t>
  </si>
  <si>
    <t>MELA-4</t>
  </si>
  <si>
    <t>2014-02-28</t>
  </si>
  <si>
    <t>CMT-PK-0725-014</t>
  </si>
  <si>
    <t>DARS DEEP-1</t>
  </si>
  <si>
    <t>2025-07-12</t>
  </si>
  <si>
    <t>Slurry Charges for Cement Plug</t>
  </si>
  <si>
    <t>994860151</t>
  </si>
  <si>
    <t>2026-05-04</t>
  </si>
  <si>
    <t>moB/dEmob of Cmt Package [RO# 4700022234] [SES# 1000083164]</t>
  </si>
  <si>
    <t>994860152</t>
  </si>
  <si>
    <t>2026-05-20</t>
  </si>
  <si>
    <t>9 5/8" Casing [RO# 4700022531] [SES# 1000084434]</t>
  </si>
  <si>
    <t>CMT-PK-0214-003</t>
  </si>
  <si>
    <t>2014-02-19</t>
  </si>
  <si>
    <t>CMT-PK-0725-021</t>
  </si>
  <si>
    <t>2025-07-02</t>
  </si>
  <si>
    <t>Slurry Charges for 13-3/8" Csg Job</t>
  </si>
  <si>
    <t>994860199</t>
  </si>
  <si>
    <t>CHAK 203-1</t>
  </si>
  <si>
    <t>13 3/8" Casing [RO# 4700022517] [SES# 1000084381]</t>
  </si>
  <si>
    <t>CMT-PK-0825-001</t>
  </si>
  <si>
    <t>CHAKAR-1</t>
  </si>
  <si>
    <t>Slurry &amp; Spacer Charges Plug back Job</t>
  </si>
  <si>
    <t>CMT-PK-0414-001</t>
  </si>
  <si>
    <t>2014-03-31</t>
  </si>
  <si>
    <t>CMT-PK-0414-012</t>
  </si>
  <si>
    <t>SOGHRI-1</t>
  </si>
  <si>
    <t>2014-04-20</t>
  </si>
  <si>
    <t>994860226</t>
  </si>
  <si>
    <t>9 5/8" Casing [RO# 4700022550] [SES# 1000084527]</t>
  </si>
  <si>
    <t>CMT-PK-0725-015</t>
  </si>
  <si>
    <t>KHATIAN-1</t>
  </si>
  <si>
    <t>2025-06-25</t>
  </si>
  <si>
    <t>CMT-PK-0725-011</t>
  </si>
  <si>
    <t>2025-06-08</t>
  </si>
  <si>
    <t>Solution Tank MOB+per day Charges</t>
  </si>
  <si>
    <t>994860264</t>
  </si>
  <si>
    <t>P&amp;A (Bottom) [RO# 4700022551] [SES# 1000084530]</t>
  </si>
  <si>
    <t>CMT-PK-0414-008</t>
  </si>
  <si>
    <t>2014-10-03</t>
  </si>
  <si>
    <t>994860265</t>
  </si>
  <si>
    <t>P&amp;A (Surface) [RO# 4700022552] [SES# 1000084532]</t>
  </si>
  <si>
    <t>CMT-PK-0414-015</t>
  </si>
  <si>
    <t>RAJIAN-8</t>
  </si>
  <si>
    <t>2014-04-23</t>
  </si>
  <si>
    <t>CMT-PK-0625-004</t>
  </si>
  <si>
    <t>LALA JAMALI-2</t>
  </si>
  <si>
    <t>994860291</t>
  </si>
  <si>
    <t>Humwala-1</t>
  </si>
  <si>
    <t>2026-06-02</t>
  </si>
  <si>
    <t>2026-06-16</t>
  </si>
  <si>
    <t>Transportation</t>
  </si>
  <si>
    <t>Batch-07</t>
  </si>
  <si>
    <t>Mobilization of Cementing Package [RO# 4700022555] [SES# 1000084565]</t>
  </si>
  <si>
    <t>Cleared</t>
  </si>
  <si>
    <t>CMT-PK-0414-016</t>
  </si>
  <si>
    <t>CMT-PK-0725-009</t>
  </si>
  <si>
    <t>ARADIN-01</t>
  </si>
  <si>
    <t>2025-06-01</t>
  </si>
  <si>
    <t>994860292</t>
  </si>
  <si>
    <t>Mobilization of Silo [RO# 4700022720] [SES# 1000085295]</t>
  </si>
  <si>
    <t>CMT-PK-0414-014</t>
  </si>
  <si>
    <t>JAND-1</t>
  </si>
  <si>
    <t>2014-04-21</t>
  </si>
  <si>
    <t>CMT-PK-0725-010</t>
  </si>
  <si>
    <t>994860361</t>
  </si>
  <si>
    <t>2026-06-15</t>
  </si>
  <si>
    <t>2026-06-24</t>
  </si>
  <si>
    <t>Mobilization of 2000Silo, 1000silo, Air Compressor [RO# 4700023248] [SES# 1000087375]</t>
  </si>
  <si>
    <t>CMT-PK-0514-001</t>
  </si>
  <si>
    <t>2014-04-30</t>
  </si>
  <si>
    <t>CMT-PK-0825-003</t>
  </si>
  <si>
    <t>2025-07-01</t>
  </si>
  <si>
    <t>CMT-PK-0414-013</t>
  </si>
  <si>
    <t>994860317</t>
  </si>
  <si>
    <t>20in Casing Job [RO# 4700023253] [SES# 1000087388]</t>
  </si>
  <si>
    <t>CMT-PK-0825-004</t>
  </si>
  <si>
    <t>994860146</t>
  </si>
  <si>
    <t>2026-06-30</t>
  </si>
  <si>
    <t>2026-07-06</t>
  </si>
  <si>
    <t>Mob Demob of additional eqpt [RO# 4700023511] [SES# 1000088486]</t>
  </si>
  <si>
    <t>CMT-PK-0625-007</t>
  </si>
  <si>
    <t>2025-05-17</t>
  </si>
  <si>
    <t>CMT-PK-0614-001</t>
  </si>
  <si>
    <t>2014-05-24</t>
  </si>
  <si>
    <t>CMT-PK-0825-002</t>
  </si>
  <si>
    <t>PASAKHI-14</t>
  </si>
  <si>
    <t>CMT-PK-0614-004</t>
  </si>
  <si>
    <t>2014-05-31</t>
  </si>
  <si>
    <t>994860414</t>
  </si>
  <si>
    <t>Fimkasar-4</t>
  </si>
  <si>
    <t>2026-07-17</t>
  </si>
  <si>
    <t>Mob of pakg rajian-8 to fmksr-4 [RO# 4700023549] [SES# 1000088496]</t>
  </si>
  <si>
    <t>CMT-PK-0614-002</t>
  </si>
  <si>
    <t>2014-05-30</t>
  </si>
  <si>
    <t>994860413</t>
  </si>
  <si>
    <t>Demob of solution tank [RO# 4700023554] [SES# 1000088510]</t>
  </si>
  <si>
    <t>CMT-PK-0925-002</t>
  </si>
  <si>
    <t>2025-08-15</t>
  </si>
  <si>
    <t>Slurry Charges Repeat Squeeze Cement Plug</t>
  </si>
  <si>
    <t>CMT-PK-0714-003</t>
  </si>
  <si>
    <t>2014-02-07</t>
  </si>
  <si>
    <t>994860411</t>
  </si>
  <si>
    <t>2026-08-19</t>
  </si>
  <si>
    <t>Bottom Cement Plug P&amp;A [RO# 4700023552] [SES# 1000088507]</t>
  </si>
  <si>
    <t>CMT-PK-0925-003</t>
  </si>
  <si>
    <t>2025-08-12</t>
  </si>
  <si>
    <t>Slurry Charges Squeeze Cement Plug</t>
  </si>
  <si>
    <t>994860415</t>
  </si>
  <si>
    <t>Garhi X2</t>
  </si>
  <si>
    <t>Mob of pkg to Garhi from isb [RO# 4700023556] [SES# 1000088511]</t>
  </si>
  <si>
    <t>CMT-PK-0714-008</t>
  </si>
  <si>
    <t>2014-06-30</t>
  </si>
  <si>
    <t>CMT-PK-0925-004</t>
  </si>
  <si>
    <t>2025-08-02</t>
  </si>
  <si>
    <t>Slurry &amp; Spacer Charges KOP</t>
  </si>
  <si>
    <t>CMT-PK-0925-005</t>
  </si>
  <si>
    <t>BITRISM EAST-1</t>
  </si>
  <si>
    <t>2025-08-04</t>
  </si>
  <si>
    <t>Slurry &amp; Spacer Charges for 13-3/8" Csg Job</t>
  </si>
  <si>
    <t>994860410</t>
  </si>
  <si>
    <t>13-3/8" Casing Job at Humwala-1 [RO# 4700023560] [SES# 1000088515]</t>
  </si>
  <si>
    <t>CMT-PK-0814-007</t>
  </si>
  <si>
    <t>2014-07-26</t>
  </si>
  <si>
    <t>994860412</t>
  </si>
  <si>
    <t>2026-08-21</t>
  </si>
  <si>
    <t>Stimulation Services</t>
  </si>
  <si>
    <t>Centre</t>
  </si>
  <si>
    <t>Top Cement Plug P&amp;A [RO# 4700023591] [SES# 1000088710]</t>
  </si>
  <si>
    <t>CMT-PK-0914-001</t>
  </si>
  <si>
    <t>2014-07-31</t>
  </si>
  <si>
    <t>CMT-PK-0925-006</t>
  </si>
  <si>
    <t>2025-07-26</t>
  </si>
  <si>
    <t>CMT-PK-0925-007</t>
  </si>
  <si>
    <t>2025-08-21</t>
  </si>
  <si>
    <t>Slurry &amp; Dispersant Charges Cement Plug</t>
  </si>
  <si>
    <t>CMT-PK-0914-002</t>
  </si>
  <si>
    <t>2014-08-23</t>
  </si>
  <si>
    <t>CMT-PK-0914-008</t>
  </si>
  <si>
    <t>2014-07-27</t>
  </si>
  <si>
    <t>CMT-PK-0625-003</t>
  </si>
  <si>
    <t>Equipment Demob+ Monthly Crew Charges+Tech Engr Charges</t>
  </si>
  <si>
    <t>CMT-PK-0914-017</t>
  </si>
  <si>
    <t>2014-09-23</t>
  </si>
  <si>
    <t>CMT-PK-0925-001</t>
  </si>
  <si>
    <t>CMT-PK-0914-018</t>
  </si>
  <si>
    <t>2014-08-31</t>
  </si>
  <si>
    <t>CMT-PK-0925-008</t>
  </si>
  <si>
    <t>2025-06-27</t>
  </si>
  <si>
    <t>CMT-PK-1014-003</t>
  </si>
  <si>
    <t>2014-09-30</t>
  </si>
  <si>
    <t>CMT-PK-0925-015</t>
  </si>
  <si>
    <t>2025-09-19</t>
  </si>
  <si>
    <t>CMT-PK-0925-016</t>
  </si>
  <si>
    <t>2025-09-07</t>
  </si>
  <si>
    <t>Slurry &amp; Spacer Charges for 9-5/8" Csg Job</t>
  </si>
  <si>
    <t>CMT-PK-1014-009</t>
  </si>
  <si>
    <t>2014-05-10</t>
  </si>
  <si>
    <t>CMT-PK-1114-001</t>
  </si>
  <si>
    <t>2014-10-30</t>
  </si>
  <si>
    <t>CMT-PK-0925-017</t>
  </si>
  <si>
    <t>2025-08-01</t>
  </si>
  <si>
    <t>CMT-PK-1214-008</t>
  </si>
  <si>
    <t>2014-11-13</t>
  </si>
  <si>
    <t>CMT-PK-0925-018</t>
  </si>
  <si>
    <t>CMT-PK-0925-019</t>
  </si>
  <si>
    <t>CMT-PK-1214-009</t>
  </si>
  <si>
    <t>NASHPA-5</t>
  </si>
  <si>
    <t>2014-11-30</t>
  </si>
  <si>
    <t>CMT-PK-1214-012</t>
  </si>
  <si>
    <t>2014-12-18</t>
  </si>
  <si>
    <t>CMT-PK-0925-020</t>
  </si>
  <si>
    <t>CMT-PK-0925-021</t>
  </si>
  <si>
    <t>CMT-PK-1214-013</t>
  </si>
  <si>
    <t>DAKHNI DEEP-5</t>
  </si>
  <si>
    <t>2014-12-13</t>
  </si>
  <si>
    <t>CMT-PK-1214-007</t>
  </si>
  <si>
    <t>2015-12-09</t>
  </si>
  <si>
    <t>2015</t>
  </si>
  <si>
    <t>CMT-PK-0925-022</t>
  </si>
  <si>
    <t>Spacer+Addtives Charges 9-5/8" Csg job</t>
  </si>
  <si>
    <t>CMT-PK-1214-015</t>
  </si>
  <si>
    <t>2014-12-31</t>
  </si>
  <si>
    <t>CMT-PK-0925-023</t>
  </si>
  <si>
    <t>2025-08-18</t>
  </si>
  <si>
    <t>Spacer+Addtives Charges 13-3/8" Csg job</t>
  </si>
  <si>
    <t>CMT-PK-0115-005</t>
  </si>
  <si>
    <t>2015-01-15</t>
  </si>
  <si>
    <t>CMT-PK-0925-024</t>
  </si>
  <si>
    <t>2025-08-25</t>
  </si>
  <si>
    <t>CMT-PK-1025-002</t>
  </si>
  <si>
    <t>2025-09-11</t>
  </si>
  <si>
    <t>Slurry,Additives &amp; Spacer T Charges 7" Liner Job</t>
  </si>
  <si>
    <t>CMT-PK-0115-009</t>
  </si>
  <si>
    <t>NASHPA-6</t>
  </si>
  <si>
    <t>2015-01-27</t>
  </si>
  <si>
    <t>CMT-PK-1025-003</t>
  </si>
  <si>
    <t>2025-07-25</t>
  </si>
  <si>
    <t>Slurry &amp; Spacer Charges Thixotropic LCP</t>
  </si>
  <si>
    <t>CMT-PK-0215-004</t>
  </si>
  <si>
    <t>2015-01-31</t>
  </si>
  <si>
    <t>CMT-PK-0215-009</t>
  </si>
  <si>
    <t>CMT-PK-1025-005</t>
  </si>
  <si>
    <t>2025-08-17</t>
  </si>
  <si>
    <t>CMT-PK-0315-003</t>
  </si>
  <si>
    <t>2015-02-28</t>
  </si>
  <si>
    <t>CMT-PK-1025-008</t>
  </si>
  <si>
    <t>2025-07-05</t>
  </si>
  <si>
    <t>CMT-PK-1025-009</t>
  </si>
  <si>
    <t>2025-09-04</t>
  </si>
  <si>
    <t>CMT-PK-0315-004</t>
  </si>
  <si>
    <t>CMT-PK-0415-005</t>
  </si>
  <si>
    <t>2015-03-14</t>
  </si>
  <si>
    <t>CMT-PK-1025-010</t>
  </si>
  <si>
    <t>Tank mob+ Monthly Crew Charges</t>
  </si>
  <si>
    <t>CMT-PK-1025-006</t>
  </si>
  <si>
    <t>Slurry,Additives &amp; Spacer Charges 9-5/8" Csg Job</t>
  </si>
  <si>
    <t>CMT-PK-0415-006</t>
  </si>
  <si>
    <t>2015-03-20</t>
  </si>
  <si>
    <t>CMT-PK-1125-005</t>
  </si>
  <si>
    <t>2025-09-01</t>
  </si>
  <si>
    <t>CMT-PK-1125-012</t>
  </si>
  <si>
    <t>CMT-PK-1125-006</t>
  </si>
  <si>
    <t>Solution Tank DEMOB+per day Charges</t>
  </si>
  <si>
    <t>CMT-PK-1125-013</t>
  </si>
  <si>
    <t>CMT-PK-1125-015</t>
  </si>
  <si>
    <t>CMT-PK-1125-010</t>
  </si>
  <si>
    <t>2025-10-03</t>
  </si>
  <si>
    <t>Slurry &amp; Spacer Charges Bottom PNA Job</t>
  </si>
  <si>
    <t>CMT-PK-1125-009</t>
  </si>
  <si>
    <t>2025-10-05</t>
  </si>
  <si>
    <t>Additives Charges Intermediate &amp; Top PNA Job</t>
  </si>
  <si>
    <t>CMT-PK-1125-008</t>
  </si>
  <si>
    <t>DARS DEEP-1A</t>
  </si>
  <si>
    <t>2025-09-30</t>
  </si>
  <si>
    <t>Slurry &amp; Spacer Charges KOP Job</t>
  </si>
  <si>
    <t>CMT-PK-0725-012</t>
  </si>
  <si>
    <t>2025-06-04</t>
  </si>
  <si>
    <t>CMT-PK-1125-003</t>
  </si>
  <si>
    <t>2025-10-10</t>
  </si>
  <si>
    <t>Slurry,Well Wash,HCS Agent &amp; Spacer T Charges 5" Liner Job</t>
  </si>
  <si>
    <t>CMT-PK-1125-007</t>
  </si>
  <si>
    <t>2025-09-18</t>
  </si>
  <si>
    <t>Slurry,HCS Agent &amp; Spacer T Charges 7" Liner Job</t>
  </si>
  <si>
    <t>CMT-PK-1125-014</t>
  </si>
  <si>
    <t>OGDCL RIGS</t>
  </si>
  <si>
    <t>Additives Charges</t>
  </si>
  <si>
    <t>CMT-PK-1125-011</t>
  </si>
  <si>
    <t>UCH-1</t>
  </si>
  <si>
    <t>2025-10-18</t>
  </si>
  <si>
    <t>Batch Treatment Charges</t>
  </si>
  <si>
    <t>CMT-PK-1125-004</t>
  </si>
  <si>
    <t>JHAL MAGSI-2</t>
  </si>
  <si>
    <t>2025-10-25</t>
  </si>
  <si>
    <t>CMT-PK-1025-007</t>
  </si>
  <si>
    <t>2025-09-13</t>
  </si>
  <si>
    <t>CMT-PK-1225-005</t>
  </si>
  <si>
    <t>CHANDIO-1</t>
  </si>
  <si>
    <t>Slurry &amp; Spacer Charges Cement Base Plug</t>
  </si>
  <si>
    <t>CMT-PK-1225-006</t>
  </si>
  <si>
    <t>2025-10-01</t>
  </si>
  <si>
    <t>CMT-PK-1225-008</t>
  </si>
  <si>
    <t>2025-11-16</t>
  </si>
  <si>
    <t>CMT-PK-1225-009</t>
  </si>
  <si>
    <t>GAJA WAH-1</t>
  </si>
  <si>
    <t>2025-11-28</t>
  </si>
  <si>
    <t>CMT-PK-1225-010</t>
  </si>
  <si>
    <t>2025-11-29</t>
  </si>
  <si>
    <t>Additives Charges Top PNA Job</t>
  </si>
  <si>
    <t>CMT-PK-1225-011</t>
  </si>
  <si>
    <t>2025-10-08</t>
  </si>
  <si>
    <t>Slurry,HCS Agent &amp; Spacer Charges Remedial Job</t>
  </si>
  <si>
    <t>CMT-PK-1225-012</t>
  </si>
  <si>
    <t>CMT-PK-1225-013</t>
  </si>
  <si>
    <t>Solution Tank Charges</t>
  </si>
  <si>
    <t>CMT-PK-1225-014</t>
  </si>
  <si>
    <t>2025-11-14</t>
  </si>
  <si>
    <t>CMT-PK-0126-001</t>
  </si>
  <si>
    <t>MOOLAN-1</t>
  </si>
  <si>
    <t>CMT-PK-1225-007</t>
  </si>
  <si>
    <t>2025-11-03</t>
  </si>
  <si>
    <t>Batch Mixer +Monthly Personnel+mob Charges</t>
  </si>
  <si>
    <t>CMT-PK-0226-007</t>
  </si>
  <si>
    <t>2025-11-06</t>
  </si>
  <si>
    <t>CMT-PK-0226-008</t>
  </si>
  <si>
    <t>CMT-PK-0226-009</t>
  </si>
  <si>
    <t>2025-11-01</t>
  </si>
  <si>
    <t>CMT-PK-0226-010</t>
  </si>
  <si>
    <t>2025-12-10</t>
  </si>
  <si>
    <t>Slurry Charges Top Cement Plug</t>
  </si>
  <si>
    <t>CMT-PK-0226-011</t>
  </si>
  <si>
    <t>KATIAR-1</t>
  </si>
  <si>
    <t>2025-12-23</t>
  </si>
  <si>
    <t>Equipment Mob+ Monthly Crew Charges</t>
  </si>
  <si>
    <t>CMT-PK-0226-012</t>
  </si>
  <si>
    <t>THAL WEST-1A</t>
  </si>
  <si>
    <t>2025-12-26</t>
  </si>
  <si>
    <t>CMT-PK-0226-014</t>
  </si>
  <si>
    <t>DARS WEST-3</t>
  </si>
  <si>
    <t>2025-12-28</t>
  </si>
  <si>
    <t>CMT-PK-0226-013</t>
  </si>
  <si>
    <t>CMT-PK-0226-015</t>
  </si>
  <si>
    <t>2025-12-07</t>
  </si>
  <si>
    <t>CMT-PK-0226-024</t>
  </si>
  <si>
    <t>2025-10-20</t>
  </si>
  <si>
    <t>CMT-PK-0226-025</t>
  </si>
  <si>
    <t>CMT-PK-0326-002</t>
  </si>
  <si>
    <t>2025-12-08</t>
  </si>
  <si>
    <t>Slurry &amp; Spacer Charges Intermediate Cement Plug [RO# 1000080476]</t>
  </si>
  <si>
    <t>CMT-PK-0326-007</t>
  </si>
  <si>
    <t>2026-01-06</t>
  </si>
  <si>
    <t>Slurry Charges for 13-3/8" Csg +Top Job [RO# 1000080478]</t>
  </si>
  <si>
    <t>CMT-PK-0326-011</t>
  </si>
  <si>
    <t>SAHITO-1</t>
  </si>
  <si>
    <t>2025-12-27</t>
  </si>
  <si>
    <t>Slurry Charges for 20" Csg Job [RO# 1000080487]</t>
  </si>
  <si>
    <t>CMT-PK-0326-006</t>
  </si>
  <si>
    <t>2026-01-03</t>
  </si>
  <si>
    <t>Lead Tail Slurry+Spacer Charges for 13-3/8" Csg [RO# 1000080488]</t>
  </si>
  <si>
    <t>CMT-PK-0326-003</t>
  </si>
  <si>
    <t>PASAKHI-13</t>
  </si>
  <si>
    <t>2025-12-05</t>
  </si>
  <si>
    <t>Additives &amp; Spacer Charges for 13-3/8" Csg Job [RO# 1000080538]</t>
  </si>
  <si>
    <t>CMT-PK-0326-012</t>
  </si>
  <si>
    <t>Equipment Demob+ Monthly Crew Charges [RO# 1000081202]</t>
  </si>
  <si>
    <t>CMT-PK-0326-013</t>
  </si>
  <si>
    <t>2025-12-01</t>
  </si>
  <si>
    <t>Equipment Demob+ Monthly Crew Charges [RO# 1000081201]</t>
  </si>
  <si>
    <t>CMT-PK-0326-014</t>
  </si>
  <si>
    <t>Equipment Demob+ Monthly Crew Charges [RO# 1000081130]</t>
  </si>
  <si>
    <t>CMT-PK-0326-015</t>
  </si>
  <si>
    <t>2026-01-01</t>
  </si>
  <si>
    <t>Monthly Crew Charges [RO# 1000081132]</t>
  </si>
  <si>
    <t>CMT-PK-0326-016</t>
  </si>
  <si>
    <t>Equipment Mob/Demob+ Monthly Crew Charges [RO# 1000081149]</t>
  </si>
  <si>
    <t>CMT-PK-0326-017</t>
  </si>
  <si>
    <t>Batch Mixer Demob [RO# 1000081158]</t>
  </si>
  <si>
    <t>CMT-PK-0326-019</t>
  </si>
  <si>
    <t>Slurry &amp; Spacer Charges Bottom PNA Job [RO# 1000081183]</t>
  </si>
  <si>
    <t>CMT-PK-0326-020</t>
  </si>
  <si>
    <t>Slurry &amp; Spacer Charges Squeeze Plug [RO# 1000081172]</t>
  </si>
  <si>
    <t>CMT-PK-0326-021</t>
  </si>
  <si>
    <t>2026-01-19</t>
  </si>
  <si>
    <t>Slurry &amp; Spacer Charges 9-5/8" Csg Job [RO# 1000081195]</t>
  </si>
  <si>
    <t>CMT-PK-0326-018</t>
  </si>
  <si>
    <t>2025-12-15</t>
  </si>
  <si>
    <t>Equipment+Silo Mob/Demob+ Monthly Crew Charges [RO# 1000081143]</t>
  </si>
  <si>
    <t>CMT-PK-0426-001</t>
  </si>
  <si>
    <t>PASAKHI NE-2</t>
  </si>
  <si>
    <t>2026-02-18</t>
  </si>
  <si>
    <t>Equipment Mob+ Monthly Crew Charges [RO# 1000082745]</t>
  </si>
  <si>
    <t>CMT-PK-0426-002</t>
  </si>
  <si>
    <t>2026-02-26</t>
  </si>
  <si>
    <t>Slurry &amp; Spacer Charges Cement Plug [RO# 1000082748]</t>
  </si>
  <si>
    <t>CMT-PK-0426-003</t>
  </si>
  <si>
    <t>Monthly Crew Charges [RO# 1000081238]</t>
  </si>
  <si>
    <t>CMT-PK-0326-004</t>
  </si>
  <si>
    <t>KUNNAR WIW-1</t>
  </si>
  <si>
    <t>2026-02-08</t>
  </si>
  <si>
    <t>Slurry,Microblock &amp; Spacer T Charges 7" Liner Job [RO# 1000083351/1000083359]</t>
  </si>
  <si>
    <t>CMT-PK-0326-005</t>
  </si>
  <si>
    <t>2026-02-01</t>
  </si>
  <si>
    <t>Cemmax Slurry+Microblock+Spacer Charges Squeeze Plug [RO# 1000083376/1000083379]</t>
  </si>
  <si>
    <t>CMT-PK-0326-008</t>
  </si>
  <si>
    <t>2026-02-09</t>
  </si>
  <si>
    <t>Cemmax Slurry+Spacer Charges 7" Liner [RO# 1000083386/1000083387]</t>
  </si>
  <si>
    <t>CMT-PK-0326-009</t>
  </si>
  <si>
    <t>2026-01-26</t>
  </si>
  <si>
    <t>Cemmax Slurry+Spacer Charges 7" Liner [RO# 1000083406/1000083408]</t>
  </si>
  <si>
    <t>CMT-PK-0326-010</t>
  </si>
  <si>
    <t>2026-01-27</t>
  </si>
  <si>
    <t>Slurry,Additives &amp; Spacer T Charges 7" Liner Job [RO# 1000083412/1000083416]</t>
  </si>
  <si>
    <t>CMT-PK-0426-009</t>
  </si>
  <si>
    <t>SONO-8</t>
  </si>
  <si>
    <t>2026-02-27</t>
  </si>
  <si>
    <t>Slurry &amp; Spacer Charges Squeeze Cement Plug [RO# 1000081246]</t>
  </si>
  <si>
    <t>CMT-PK-0426-012</t>
  </si>
  <si>
    <t>Monthly Crew Charges [RO# 1000083425]</t>
  </si>
  <si>
    <t>CMT-PK-0426-014</t>
  </si>
  <si>
    <t>2026-03-04</t>
  </si>
  <si>
    <t>Slurry &amp; Spacer Charges Squeeze Cement Plug [RO# 1000083430]</t>
  </si>
  <si>
    <t>CMT-PK-0426-006</t>
  </si>
  <si>
    <t>2026-01-17</t>
  </si>
  <si>
    <t>Slurry &amp; Spacer Charges 9-5/8" Csg Job [RO# 1000081224]</t>
  </si>
  <si>
    <t>CMT-PK-0426-013</t>
  </si>
  <si>
    <t>Equipment Demob+ Monthly Crew Charges [RO# 1000081225]</t>
  </si>
  <si>
    <t>CMT-PK-0426-011</t>
  </si>
  <si>
    <t>Monthly Crew Charges [RO# 1000084025]</t>
  </si>
  <si>
    <t>CMT-PK-0426-005</t>
  </si>
  <si>
    <t>2026-01-14</t>
  </si>
  <si>
    <t>Slurry &amp; Spacer Charges Squeeze Cement Plug [RO# 1000081233]</t>
  </si>
  <si>
    <t>CMT-PK-0426-015</t>
  </si>
  <si>
    <t>Slurry &amp; Spacer Charges Retainer Plug [RO# 1000084049]</t>
  </si>
  <si>
    <t>CMT-PK-0426-008</t>
  </si>
  <si>
    <t>Equipment Demob+ Monthly Crew Charges [RO# 1000084700]</t>
  </si>
  <si>
    <t>CMT-PK-0426-007</t>
  </si>
  <si>
    <t>Equipment Mob/Demob+ Monthly Crew Charges [RO# 1000084051]</t>
  </si>
  <si>
    <t>CMT-PK-0326-001</t>
  </si>
  <si>
    <t>2025-12-18</t>
  </si>
  <si>
    <t>Slurry,Additives, HCS Agent,Microblock &amp; Spacer Charges 9-5-8 Csg Job [RO# 1000084732] [SES# 1000084734]</t>
  </si>
  <si>
    <t>CMT-PK-0526-002</t>
  </si>
  <si>
    <t>Slurry &amp; Spacer Charges Squeeze Cement Plug [RO# 1000084867]</t>
  </si>
  <si>
    <t>CMT-PK-0526-004</t>
  </si>
  <si>
    <t>SAIDPUR-1</t>
  </si>
  <si>
    <t>2026-03-27</t>
  </si>
  <si>
    <t>Slurry &amp; Spacer Charges 9-5/8" Csg Job [RO# 1000084879]</t>
  </si>
  <si>
    <t>CMT-PK-0526-003</t>
  </si>
  <si>
    <t>Slurry &amp; Spacer Charges 9-5/8" Csg Job [RO# 1000085096]</t>
  </si>
  <si>
    <t>CMT-PK-0526-005</t>
  </si>
  <si>
    <t>SONO-10</t>
  </si>
  <si>
    <t>2026-03-15</t>
  </si>
  <si>
    <t>Equipment Mob+ Monthly Crew Charges+Solution Tank mob+per day [RO# 1000085130]</t>
  </si>
  <si>
    <t>CMT-PK-0526-006</t>
  </si>
  <si>
    <t>2026-03-26</t>
  </si>
  <si>
    <t>Slurry Charges for 20" Csg Job [RO# 1000086092]</t>
  </si>
  <si>
    <t>CMT-PK-0526-007</t>
  </si>
  <si>
    <t>2026-03-13</t>
  </si>
  <si>
    <t>Slurry Charges Remedial Cement Job [RO# 1000086098]</t>
  </si>
  <si>
    <t>CMT-PK-0526-008</t>
  </si>
  <si>
    <t>2026-03-01</t>
  </si>
  <si>
    <t>Monthly Crew Charges [RO# 1000086106]</t>
  </si>
  <si>
    <t>CMT-PK-0526-009</t>
  </si>
  <si>
    <t>Equipment Demob+ Monthly Crew Charges [RO# 1000086118]</t>
  </si>
  <si>
    <t>CMT-PK-0526-010</t>
  </si>
  <si>
    <t>2026-04-20</t>
  </si>
  <si>
    <t>Slurry &amp; Spacer Charges 9-5/8" Csg Job [RO# 1000086122]</t>
  </si>
  <si>
    <t>CMT-PK-0526-011</t>
  </si>
  <si>
    <t>CHAK 63-5</t>
  </si>
  <si>
    <t>2026-04-26</t>
  </si>
  <si>
    <t>Slurry &amp; Spacer Charges 20" Csg Job [RO# 1000086127]</t>
  </si>
  <si>
    <t>CMT-PK-0526-012</t>
  </si>
  <si>
    <t>2026-04-01</t>
  </si>
  <si>
    <t>Monthly Crew+Solution Tank Charges/Demob [RO# 1000086135]</t>
  </si>
  <si>
    <t>CMT-PK-0526-014</t>
  </si>
  <si>
    <t>2026-04-13</t>
  </si>
  <si>
    <t>Equipment Mob+ Monthly Crew Charges+Solution Tank mob+per day [RO# 1000086139]</t>
  </si>
  <si>
    <t>CMT-PK-0526-015</t>
  </si>
  <si>
    <t>Monthly Crew Charges+Solution Tank Demob+per day [RO# 1000086140]</t>
  </si>
  <si>
    <t>CMT-PK-0526-016</t>
  </si>
  <si>
    <t>Equipment Demob+ Monthly Crew Charges [RO# 1000086142]</t>
  </si>
  <si>
    <t>CMT-PK-0526-013</t>
  </si>
  <si>
    <t>WAHID BAKHSH-1</t>
  </si>
  <si>
    <t>2026-04-05</t>
  </si>
  <si>
    <t>Equipment Mob+ Monthly Crew Charges [RO# 1000086544]</t>
  </si>
  <si>
    <t>CMT-PK-0626-002</t>
  </si>
  <si>
    <t>2026-04-15</t>
  </si>
  <si>
    <t>Slurry Charges Top Cement Plug Job [RO# 1000086705]</t>
  </si>
  <si>
    <t>CMT-PK-0626-003</t>
  </si>
  <si>
    <t>Slurry Charges Intermediate Cement Plug Job [RO# 1000087100]</t>
  </si>
  <si>
    <t>CMT-PK-0626-004</t>
  </si>
  <si>
    <t>2026-04-12</t>
  </si>
  <si>
    <t>Slurry &amp; Spacer Charges Bottom PNA Job [RO# 1000087778]</t>
  </si>
  <si>
    <t>CMT-PK-0626-005</t>
  </si>
  <si>
    <t>Monthly Crew+Solution Tank Charges/Mob [RO# 1000087798]</t>
  </si>
  <si>
    <t>CMT-PK-0626-006</t>
  </si>
  <si>
    <t>Monthly Crew Charges [RO# 1000087814]</t>
  </si>
  <si>
    <t>CMT-PK-0626-001</t>
  </si>
  <si>
    <t>2026-03-18</t>
  </si>
  <si>
    <t>Slurry,HCS Agent,Microblock &amp; Spacer Charges Squeeze Plug Job [RO# 1000087841] [SES# 1000087864]</t>
  </si>
  <si>
    <t>CMT-PK-0626-007</t>
  </si>
  <si>
    <t>2026-05-17</t>
  </si>
  <si>
    <t>Slurry Charges Top Cement Plug Job [RO# 1000088054]</t>
  </si>
  <si>
    <t>CMT-PK-0626-008</t>
  </si>
  <si>
    <t>2026-05-14</t>
  </si>
  <si>
    <t>Slurry &amp; Spacer Charges Bottom Plug Job [RO# 1000088063]</t>
  </si>
  <si>
    <t>CMT-PK-0626-010</t>
  </si>
  <si>
    <t>BOBI DEEP-1</t>
  </si>
  <si>
    <t>Slurry &amp; Spacer Charges Plug Back Job [RO# 1000088081]</t>
  </si>
  <si>
    <t>CMT-PK-0626-011</t>
  </si>
  <si>
    <t>2026-04-09</t>
  </si>
  <si>
    <t>Slurry+Additives &amp; Spacer Charges for 13-3/8" Csg Job [RO# 1000088236]</t>
  </si>
  <si>
    <t>CMT-PK-0626-009</t>
  </si>
  <si>
    <t>2026-05-11</t>
  </si>
  <si>
    <t>Slurry+Additives &amp; Spacer Charges for 13-3/8" Csg Job [RO# 1000088261]</t>
  </si>
  <si>
    <t>BOBI-11</t>
  </si>
  <si>
    <t>UCH WDW-1</t>
  </si>
  <si>
    <t>MARU-3</t>
  </si>
  <si>
    <t>CMT-PK-0826-006</t>
  </si>
  <si>
    <t>2026-08-20</t>
  </si>
  <si>
    <t>2026-08-31</t>
  </si>
  <si>
    <t>2026-09-01</t>
  </si>
  <si>
    <t>South</t>
  </si>
  <si>
    <t>N-2</t>
  </si>
  <si>
    <t>CMT-PK-0826-007</t>
  </si>
  <si>
    <t>CCDC-27</t>
  </si>
  <si>
    <t>Slurry+Additives &amp; Spacer Charges for 9-5/8" Csg Job [RO# 1000088743]</t>
  </si>
  <si>
    <t>CMT-PK-0826-008</t>
  </si>
  <si>
    <t>HL-5</t>
  </si>
  <si>
    <t>CMT-PK-0826-009</t>
  </si>
  <si>
    <t>2026-08-27</t>
  </si>
  <si>
    <t>Services</t>
  </si>
  <si>
    <t>CCDC-31</t>
  </si>
  <si>
    <t>SUJAWAL SOUTH X-1</t>
  </si>
  <si>
    <t>Slurry+Additives &amp; Spacer Charges for 7" Liner Job [RO# 1000088730]</t>
  </si>
  <si>
    <t>CMT-PK-0826-004</t>
  </si>
  <si>
    <t>SUJAWAL+CHAKAR+
HAKEEM DAHU</t>
  </si>
  <si>
    <t>CMT-PK-0296-019</t>
  </si>
  <si>
    <t>Chakkar Deep-1</t>
  </si>
  <si>
    <t>2026-09-07</t>
  </si>
  <si>
    <t>2026-09-18</t>
  </si>
  <si>
    <t xml:space="preserve">Charges of Crew per day </t>
  </si>
  <si>
    <t>CMT-PK-0926-009</t>
  </si>
  <si>
    <t>CMT-PK-0826-005</t>
  </si>
  <si>
    <t>Slurry Charges for 20" Csg Job</t>
  </si>
  <si>
    <t xml:space="preserve"> Monthly Crew Charges+Solution Tank mob+per day</t>
  </si>
  <si>
    <t>CMT-PK-0926-004</t>
  </si>
  <si>
    <t>Slurry Charges for 9-5/8" Csg Job</t>
  </si>
  <si>
    <t>CMT-PK-0926-006</t>
  </si>
  <si>
    <t>CMT-PK-0926-00</t>
  </si>
  <si>
    <t>Crew Standby Charges+Solution Tank mob+per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</si>
</sst>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 style="thin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thin">
        <color auto="1"/>
      </left>
      <right style="dashDot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dashDot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E77ADE-B469-44B9-BE77-9B52593203FF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6"/>
  <sheetViews>
    <sheetView tabSelected="1" workbookViewId="0">
      <selection activeCell="E10" sqref="E10"/>
    </sheetView>
  </sheetViews>
  <sheetFormatPr defaultRowHeight="22.5" customHeight="1" x14ac:dyDescent="0.25"/>
  <cols>
    <col min="2" max="2" width="33.75" customWidth="1"/>
    <col min="3" max="3" width="22.375" customWidth="1"/>
    <col min="4" max="4" width="60.125" customWidth="1"/>
    <col min="5" max="5" width="14.25" customWidth="1"/>
    <col min="6" max="6" width="15.125" style="17" customWidth="1"/>
    <col min="7" max="10" width="5.625" customWidth="1"/>
    <col min="11" max="11" width="16.375" customWidth="1"/>
    <col min="12" max="14" width="5.125" customWidth="1"/>
    <col min="15" max="15" width="27.75" customWidth="1"/>
    <col min="19" max="19" width="16.125" customWidth="1"/>
    <col min="21" max="21" width="13.125" customWidth="1"/>
  </cols>
  <sheetData>
    <row r="1" spans="1:23" ht="22.5" customHeight="1" x14ac:dyDescent="0.2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22.5" customHeight="1" x14ac:dyDescent="0.25">
      <c r="A2">
        <v>1184</v>
      </c>
      <c r="B2" t="s">
        <v>23</v>
      </c>
      <c r="C2" s="4" t="s">
        <v>28</v>
      </c>
      <c r="D2" s="5" t="s">
        <v>40</v>
      </c>
      <c r="E2" s="5" t="s">
        <v>28</v>
      </c>
      <c r="F2" s="18" t="s">
        <v>28</v>
      </c>
      <c r="G2" s="5" t="s">
        <v>28</v>
      </c>
      <c r="H2" s="5" t="s">
        <v>28</v>
      </c>
      <c r="I2" s="5" t="s">
        <v>28</v>
      </c>
      <c r="J2" s="5" t="s">
        <v>28</v>
      </c>
      <c r="K2" s="5" t="s">
        <v>29</v>
      </c>
      <c r="L2" s="5" t="s">
        <v>28</v>
      </c>
      <c r="M2" s="5" t="s">
        <v>28</v>
      </c>
      <c r="N2" s="5" t="s">
        <v>28</v>
      </c>
      <c r="O2" s="5" t="s">
        <v>28</v>
      </c>
      <c r="P2" s="5">
        <v>50</v>
      </c>
      <c r="Q2" s="5">
        <v>0</v>
      </c>
      <c r="R2" s="5">
        <f t="shared" ref="R2:R60" si="0">P2/100*Q2</f>
        <v>0</v>
      </c>
      <c r="S2" s="5">
        <f>P2+R2</f>
        <v>50</v>
      </c>
      <c r="T2" s="5">
        <v>0</v>
      </c>
      <c r="U2" s="5" t="s">
        <v>31</v>
      </c>
      <c r="V2" s="5" t="str">
        <f t="shared" ref="V2:V65" si="1">IF(F2="","",CHOOSE(INT(MOD(MONTH(S9)-7,12)/3)+1,"Q1","Q2","Q3","Q4"))</f>
        <v/>
      </c>
      <c r="W2" s="6" t="s">
        <v>227</v>
      </c>
    </row>
    <row r="3" spans="1:23" ht="15.75" x14ac:dyDescent="0.25">
      <c r="A3">
        <v>1281</v>
      </c>
      <c r="B3" t="s">
        <v>23</v>
      </c>
      <c r="C3" t="s">
        <v>759</v>
      </c>
      <c r="D3" t="s">
        <v>25</v>
      </c>
      <c r="E3" t="s">
        <v>747</v>
      </c>
      <c r="F3" s="19">
        <v>46273</v>
      </c>
      <c r="G3" t="s">
        <v>28</v>
      </c>
      <c r="H3" t="s">
        <v>28</v>
      </c>
      <c r="I3" t="s">
        <v>28</v>
      </c>
      <c r="J3" t="s">
        <v>28</v>
      </c>
      <c r="K3" t="s">
        <v>29</v>
      </c>
      <c r="L3" t="s">
        <v>28</v>
      </c>
      <c r="M3" t="s">
        <v>28</v>
      </c>
      <c r="N3" t="s">
        <v>28</v>
      </c>
      <c r="O3" t="s">
        <v>776</v>
      </c>
      <c r="P3">
        <v>40000</v>
      </c>
      <c r="Q3">
        <v>0</v>
      </c>
      <c r="R3" s="5">
        <f t="shared" si="0"/>
        <v>0</v>
      </c>
      <c r="S3" s="5">
        <f t="shared" ref="S3:S66" si="2">P3+R3</f>
        <v>40000</v>
      </c>
      <c r="T3">
        <v>0</v>
      </c>
      <c r="U3" t="s">
        <v>31</v>
      </c>
      <c r="V3" t="str">
        <f t="shared" si="1"/>
        <v>Q2</v>
      </c>
      <c r="W3" t="s">
        <v>227</v>
      </c>
    </row>
    <row r="4" spans="1:23" ht="22.5" customHeight="1" x14ac:dyDescent="0.25">
      <c r="A4">
        <v>1282</v>
      </c>
      <c r="B4" t="s">
        <v>23</v>
      </c>
      <c r="C4" s="1" t="s">
        <v>28</v>
      </c>
      <c r="D4" s="2" t="s">
        <v>25</v>
      </c>
      <c r="E4" s="2" t="s">
        <v>682</v>
      </c>
      <c r="F4" s="20" t="s">
        <v>28</v>
      </c>
      <c r="G4" s="2" t="s">
        <v>28</v>
      </c>
      <c r="H4" s="2" t="s">
        <v>28</v>
      </c>
      <c r="I4" s="2" t="s">
        <v>28</v>
      </c>
      <c r="J4" s="2" t="s">
        <v>28</v>
      </c>
      <c r="K4" s="2" t="s">
        <v>29</v>
      </c>
      <c r="L4" s="2" t="s">
        <v>28</v>
      </c>
      <c r="M4" s="2" t="s">
        <v>28</v>
      </c>
      <c r="N4" s="2" t="s">
        <v>28</v>
      </c>
      <c r="O4" s="2" t="s">
        <v>28</v>
      </c>
      <c r="P4" s="2">
        <v>11235</v>
      </c>
      <c r="Q4" s="2">
        <v>0</v>
      </c>
      <c r="R4" s="5">
        <f t="shared" si="0"/>
        <v>0</v>
      </c>
      <c r="S4" s="5">
        <f t="shared" si="2"/>
        <v>11235</v>
      </c>
      <c r="T4" s="2">
        <v>0</v>
      </c>
      <c r="U4" s="2" t="s">
        <v>31</v>
      </c>
      <c r="V4" s="2" t="str">
        <f>IF(F4="","",CHOOSE(INT(MOD(MONTH(S11)-7,12)/3)+1,"Q1","Q2","Q3","Q4"))</f>
        <v/>
      </c>
      <c r="W4" s="3" t="s">
        <v>227</v>
      </c>
    </row>
    <row r="5" spans="1:23" ht="22.5" customHeight="1" x14ac:dyDescent="0.25">
      <c r="A5">
        <v>1283</v>
      </c>
      <c r="B5" t="s">
        <v>23</v>
      </c>
      <c r="C5" s="7" t="s">
        <v>780</v>
      </c>
      <c r="D5" s="8" t="s">
        <v>25</v>
      </c>
      <c r="E5" s="8" t="s">
        <v>748</v>
      </c>
      <c r="F5" s="21">
        <v>46273</v>
      </c>
      <c r="G5" s="8" t="s">
        <v>28</v>
      </c>
      <c r="H5" s="8" t="s">
        <v>28</v>
      </c>
      <c r="I5" s="8" t="s">
        <v>28</v>
      </c>
      <c r="J5" s="8" t="s">
        <v>28</v>
      </c>
      <c r="K5" s="8" t="s">
        <v>29</v>
      </c>
      <c r="L5" s="8" t="s">
        <v>28</v>
      </c>
      <c r="M5" s="8" t="s">
        <v>28</v>
      </c>
      <c r="N5" s="8" t="s">
        <v>28</v>
      </c>
      <c r="O5" s="8" t="s">
        <v>28</v>
      </c>
      <c r="P5" s="8">
        <v>5800</v>
      </c>
      <c r="Q5" s="8">
        <v>18</v>
      </c>
      <c r="R5" s="5">
        <f t="shared" si="0"/>
        <v>1044</v>
      </c>
      <c r="S5" s="5">
        <f t="shared" si="2"/>
        <v>6844</v>
      </c>
      <c r="T5" s="8">
        <v>0</v>
      </c>
      <c r="U5" s="8" t="s">
        <v>31</v>
      </c>
      <c r="V5" s="8" t="str">
        <f>IF(F5="","",CHOOSE(INT(MOD(MONTH(S12)-7,12)/3)+1,"Q1","Q2","Q3","Q4"))</f>
        <v>Q2</v>
      </c>
      <c r="W5" s="9" t="s">
        <v>227</v>
      </c>
    </row>
    <row r="6" spans="1:23" ht="22.5" customHeight="1" x14ac:dyDescent="0.25">
      <c r="A6">
        <v>1284</v>
      </c>
      <c r="B6" t="s">
        <v>23</v>
      </c>
      <c r="C6" s="4" t="s">
        <v>778</v>
      </c>
      <c r="D6" s="5" t="s">
        <v>25</v>
      </c>
      <c r="E6" s="5" t="s">
        <v>749</v>
      </c>
      <c r="F6" s="18">
        <v>46273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29</v>
      </c>
      <c r="L6" s="5" t="s">
        <v>28</v>
      </c>
      <c r="M6" s="5" t="s">
        <v>28</v>
      </c>
      <c r="N6" s="5" t="s">
        <v>28</v>
      </c>
      <c r="O6" s="5" t="s">
        <v>779</v>
      </c>
      <c r="P6" s="5">
        <v>1800</v>
      </c>
      <c r="Q6" s="5">
        <v>18</v>
      </c>
      <c r="R6" s="5">
        <f t="shared" si="0"/>
        <v>324</v>
      </c>
      <c r="S6" s="5">
        <f t="shared" si="2"/>
        <v>2124</v>
      </c>
      <c r="T6" s="5">
        <v>0</v>
      </c>
      <c r="U6" s="5" t="s">
        <v>31</v>
      </c>
      <c r="V6" s="5" t="str">
        <f>IF(F6="","",CHOOSE(INT(MOD(MONTH(S13)-7,12)/3)+1,"Q1","Q2","Q3","Q4"))</f>
        <v>Q4</v>
      </c>
      <c r="W6" s="6" t="s">
        <v>227</v>
      </c>
    </row>
    <row r="7" spans="1:23" ht="15.75" x14ac:dyDescent="0.25">
      <c r="A7">
        <v>1285</v>
      </c>
      <c r="B7" t="s">
        <v>23</v>
      </c>
      <c r="C7" t="s">
        <v>28</v>
      </c>
      <c r="D7" t="s">
        <v>25</v>
      </c>
      <c r="E7" t="s">
        <v>682</v>
      </c>
      <c r="F7" s="19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29</v>
      </c>
      <c r="L7" t="s">
        <v>28</v>
      </c>
      <c r="M7" t="s">
        <v>28</v>
      </c>
      <c r="N7" t="s">
        <v>28</v>
      </c>
      <c r="O7" t="s">
        <v>28</v>
      </c>
      <c r="P7">
        <v>9400</v>
      </c>
      <c r="Q7">
        <v>0</v>
      </c>
      <c r="R7" s="5">
        <f t="shared" si="0"/>
        <v>0</v>
      </c>
      <c r="S7" s="5">
        <f t="shared" si="2"/>
        <v>9400</v>
      </c>
      <c r="T7">
        <v>0</v>
      </c>
      <c r="U7" t="s">
        <v>31</v>
      </c>
      <c r="V7" t="str">
        <f>IF(F7="","",CHOOSE(INT(MOD(MONTH(S14)-7,12)/3)+1,"Q1","Q2","Q3","Q4"))</f>
        <v/>
      </c>
      <c r="W7" t="s">
        <v>227</v>
      </c>
    </row>
    <row r="8" spans="1:23" ht="15.75" x14ac:dyDescent="0.25">
      <c r="A8">
        <v>1286</v>
      </c>
      <c r="B8" t="s">
        <v>23</v>
      </c>
      <c r="C8" t="s">
        <v>28</v>
      </c>
      <c r="D8" t="s">
        <v>25</v>
      </c>
      <c r="E8" t="s">
        <v>748</v>
      </c>
      <c r="F8" s="19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28</v>
      </c>
      <c r="O8" t="s">
        <v>28</v>
      </c>
      <c r="P8">
        <v>20450</v>
      </c>
      <c r="Q8">
        <v>0</v>
      </c>
      <c r="R8" s="5">
        <f t="shared" si="0"/>
        <v>0</v>
      </c>
      <c r="S8" s="5">
        <f t="shared" si="2"/>
        <v>20450</v>
      </c>
      <c r="T8">
        <v>0</v>
      </c>
      <c r="U8" t="s">
        <v>31</v>
      </c>
      <c r="V8" t="str">
        <f>IF(F8="","",CHOOSE(INT(MOD(MONTH(S15)-7,12)/3)+1,"Q1","Q2","Q3","Q4"))</f>
        <v/>
      </c>
      <c r="W8" t="s">
        <v>227</v>
      </c>
    </row>
    <row r="9" spans="1:23" ht="22.5" customHeight="1" x14ac:dyDescent="0.25">
      <c r="A9">
        <v>1288</v>
      </c>
      <c r="B9" t="s">
        <v>23</v>
      </c>
      <c r="C9" s="1" t="s">
        <v>28</v>
      </c>
      <c r="D9" s="2" t="s">
        <v>25</v>
      </c>
      <c r="E9" s="2" t="s">
        <v>739</v>
      </c>
      <c r="F9" s="20" t="s">
        <v>28</v>
      </c>
      <c r="G9" s="2" t="s">
        <v>28</v>
      </c>
      <c r="H9" s="2" t="s">
        <v>28</v>
      </c>
      <c r="I9" s="2" t="s">
        <v>28</v>
      </c>
      <c r="J9" s="2" t="s">
        <v>28</v>
      </c>
      <c r="K9" s="2" t="s">
        <v>29</v>
      </c>
      <c r="L9" s="2" t="s">
        <v>28</v>
      </c>
      <c r="M9" s="2" t="s">
        <v>28</v>
      </c>
      <c r="N9" s="2" t="s">
        <v>28</v>
      </c>
      <c r="O9" s="2" t="s">
        <v>28</v>
      </c>
      <c r="P9" s="2">
        <v>8518</v>
      </c>
      <c r="Q9" s="2">
        <v>0</v>
      </c>
      <c r="R9" s="5">
        <f t="shared" si="0"/>
        <v>0</v>
      </c>
      <c r="S9" s="5">
        <f t="shared" si="2"/>
        <v>8518</v>
      </c>
      <c r="T9" s="2">
        <v>0</v>
      </c>
      <c r="U9" s="2" t="s">
        <v>31</v>
      </c>
      <c r="V9" s="2" t="str">
        <f>IF(F9="","",CHOOSE(INT(MOD(MONTH(S16)-7,12)/3)+1,"Q1","Q2","Q3","Q4"))</f>
        <v/>
      </c>
      <c r="W9" s="3" t="s">
        <v>227</v>
      </c>
    </row>
    <row r="10" spans="1:23" ht="22.5" customHeight="1" x14ac:dyDescent="0.25">
      <c r="A10">
        <v>1290</v>
      </c>
      <c r="B10" t="s">
        <v>23</v>
      </c>
      <c r="C10" s="7" t="s">
        <v>28</v>
      </c>
      <c r="D10" s="8" t="s">
        <v>25</v>
      </c>
      <c r="E10" s="8" t="s">
        <v>682</v>
      </c>
      <c r="F10" s="21" t="s">
        <v>28</v>
      </c>
      <c r="G10" s="8" t="s">
        <v>28</v>
      </c>
      <c r="H10" s="8" t="s">
        <v>28</v>
      </c>
      <c r="I10" s="8" t="s">
        <v>28</v>
      </c>
      <c r="J10" s="8" t="s">
        <v>28</v>
      </c>
      <c r="K10" s="8" t="s">
        <v>29</v>
      </c>
      <c r="L10" s="8" t="s">
        <v>28</v>
      </c>
      <c r="M10" s="8" t="s">
        <v>28</v>
      </c>
      <c r="N10" s="8" t="s">
        <v>28</v>
      </c>
      <c r="O10" s="8" t="s">
        <v>28</v>
      </c>
      <c r="P10" s="8">
        <v>31728.45</v>
      </c>
      <c r="Q10" s="8">
        <v>0</v>
      </c>
      <c r="R10" s="5">
        <f t="shared" si="0"/>
        <v>0</v>
      </c>
      <c r="S10" s="5">
        <f t="shared" si="2"/>
        <v>31728.45</v>
      </c>
      <c r="T10" s="8">
        <v>0</v>
      </c>
      <c r="U10" s="8" t="s">
        <v>31</v>
      </c>
      <c r="V10" s="8" t="str">
        <f>IF(F10="","",CHOOSE(INT(MOD(MONTH(S17)-7,12)/3)+1,"Q1","Q2","Q3","Q4"))</f>
        <v/>
      </c>
      <c r="W10" s="9" t="s">
        <v>227</v>
      </c>
    </row>
    <row r="11" spans="1:23" ht="22.5" customHeight="1" x14ac:dyDescent="0.25">
      <c r="A11">
        <v>1291</v>
      </c>
      <c r="B11" t="s">
        <v>23</v>
      </c>
      <c r="C11" s="4" t="s">
        <v>28</v>
      </c>
      <c r="D11" s="5" t="s">
        <v>25</v>
      </c>
      <c r="E11" s="5" t="s">
        <v>747</v>
      </c>
      <c r="F11" s="18" t="s">
        <v>28</v>
      </c>
      <c r="G11" s="5" t="s">
        <v>28</v>
      </c>
      <c r="H11" s="5" t="s">
        <v>28</v>
      </c>
      <c r="I11" s="5" t="s">
        <v>28</v>
      </c>
      <c r="J11" s="5" t="s">
        <v>28</v>
      </c>
      <c r="K11" s="5" t="s">
        <v>29</v>
      </c>
      <c r="L11" s="5" t="s">
        <v>28</v>
      </c>
      <c r="M11" s="5" t="s">
        <v>28</v>
      </c>
      <c r="N11" s="5" t="s">
        <v>28</v>
      </c>
      <c r="O11" s="5" t="s">
        <v>28</v>
      </c>
      <c r="P11" s="5">
        <v>5554.74</v>
      </c>
      <c r="Q11" s="5">
        <v>0</v>
      </c>
      <c r="R11" s="5">
        <f t="shared" si="0"/>
        <v>0</v>
      </c>
      <c r="S11" s="5">
        <f t="shared" si="2"/>
        <v>5554.74</v>
      </c>
      <c r="T11" s="5">
        <v>0</v>
      </c>
      <c r="U11" s="5" t="s">
        <v>31</v>
      </c>
      <c r="V11" s="5" t="str">
        <f>IF(F11="","",CHOOSE(INT(MOD(MONTH(S18)-7,12)/3)+1,"Q1","Q2","Q3","Q4"))</f>
        <v/>
      </c>
      <c r="W11" s="6" t="s">
        <v>227</v>
      </c>
    </row>
    <row r="12" spans="1:23" ht="15.75" x14ac:dyDescent="0.25">
      <c r="A12">
        <v>1292</v>
      </c>
      <c r="B12" t="s">
        <v>23</v>
      </c>
      <c r="C12" t="s">
        <v>28</v>
      </c>
      <c r="D12" t="s">
        <v>25</v>
      </c>
      <c r="E12" t="s">
        <v>749</v>
      </c>
      <c r="F12" s="19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29</v>
      </c>
      <c r="L12" t="s">
        <v>28</v>
      </c>
      <c r="M12" t="s">
        <v>28</v>
      </c>
      <c r="N12" t="s">
        <v>28</v>
      </c>
      <c r="O12" t="s">
        <v>28</v>
      </c>
      <c r="P12">
        <v>7648</v>
      </c>
      <c r="Q12">
        <v>0</v>
      </c>
      <c r="R12" s="5">
        <f t="shared" si="0"/>
        <v>0</v>
      </c>
      <c r="S12" s="5">
        <f t="shared" si="2"/>
        <v>7648</v>
      </c>
      <c r="T12">
        <v>0</v>
      </c>
      <c r="U12" t="s">
        <v>31</v>
      </c>
      <c r="V12" t="str">
        <f>IF(F12="","",CHOOSE(INT(MOD(MONTH(S19)-7,12)/3)+1,"Q1","Q2","Q3","Q4"))</f>
        <v/>
      </c>
      <c r="W12" t="s">
        <v>227</v>
      </c>
    </row>
    <row r="13" spans="1:23" ht="22.5" customHeight="1" x14ac:dyDescent="0.25">
      <c r="A13">
        <v>1293</v>
      </c>
      <c r="B13" t="s">
        <v>23</v>
      </c>
      <c r="C13" s="7" t="s">
        <v>720</v>
      </c>
      <c r="D13" s="2" t="s">
        <v>25</v>
      </c>
      <c r="E13" s="2" t="s">
        <v>739</v>
      </c>
      <c r="F13" s="20">
        <v>46168</v>
      </c>
      <c r="G13" s="2" t="s">
        <v>28</v>
      </c>
      <c r="H13" s="2" t="s">
        <v>28</v>
      </c>
      <c r="I13" s="2" t="s">
        <v>28</v>
      </c>
      <c r="J13" s="2" t="s">
        <v>28</v>
      </c>
      <c r="K13" s="2" t="s">
        <v>29</v>
      </c>
      <c r="L13" s="2" t="s">
        <v>28</v>
      </c>
      <c r="M13" s="2" t="s">
        <v>28</v>
      </c>
      <c r="N13" s="2" t="s">
        <v>28</v>
      </c>
      <c r="O13" s="2" t="s">
        <v>28</v>
      </c>
      <c r="P13" s="2">
        <v>118.7</v>
      </c>
      <c r="Q13" s="2">
        <v>15</v>
      </c>
      <c r="R13" s="5">
        <f t="shared" si="0"/>
        <v>17.805</v>
      </c>
      <c r="S13" s="5">
        <f t="shared" si="2"/>
        <v>136.505</v>
      </c>
      <c r="T13" s="2">
        <v>0</v>
      </c>
      <c r="U13" s="2" t="s">
        <v>31</v>
      </c>
      <c r="V13" s="2" t="str">
        <f>IF(F13="","",CHOOSE(INT(MOD(MONTH(S20)-7,12)/3)+1,"Q1","Q2","Q3","Q4"))</f>
        <v>Q2</v>
      </c>
      <c r="W13" s="3" t="s">
        <v>227</v>
      </c>
    </row>
    <row r="14" spans="1:23" ht="22.5" customHeight="1" x14ac:dyDescent="0.25">
      <c r="A14">
        <v>1295</v>
      </c>
      <c r="B14" t="s">
        <v>23</v>
      </c>
      <c r="C14" s="7" t="s">
        <v>28</v>
      </c>
      <c r="D14" s="8" t="s">
        <v>25</v>
      </c>
      <c r="E14" s="8" t="s">
        <v>682</v>
      </c>
      <c r="F14" s="21" t="s">
        <v>28</v>
      </c>
      <c r="G14" s="8" t="s">
        <v>28</v>
      </c>
      <c r="H14" s="8" t="s">
        <v>28</v>
      </c>
      <c r="I14" s="8" t="s">
        <v>28</v>
      </c>
      <c r="J14" s="8" t="s">
        <v>28</v>
      </c>
      <c r="K14" s="8" t="s">
        <v>29</v>
      </c>
      <c r="L14" s="8" t="s">
        <v>28</v>
      </c>
      <c r="M14" s="8" t="s">
        <v>28</v>
      </c>
      <c r="N14" s="8" t="s">
        <v>28</v>
      </c>
      <c r="O14" s="8" t="s">
        <v>28</v>
      </c>
      <c r="P14" s="8">
        <v>83.3</v>
      </c>
      <c r="Q14" s="8">
        <v>0</v>
      </c>
      <c r="R14" s="5">
        <f t="shared" si="0"/>
        <v>0</v>
      </c>
      <c r="S14" s="5">
        <f t="shared" si="2"/>
        <v>83.3</v>
      </c>
      <c r="T14" s="8">
        <v>0</v>
      </c>
      <c r="U14" s="8" t="s">
        <v>31</v>
      </c>
      <c r="V14" s="8" t="str">
        <f>IF(F14="","",CHOOSE(INT(MOD(MONTH(S21)-7,12)/3)+1,"Q1","Q2","Q3","Q4"))</f>
        <v/>
      </c>
      <c r="W14" s="9" t="s">
        <v>227</v>
      </c>
    </row>
    <row r="15" spans="1:23" ht="22.5" customHeight="1" x14ac:dyDescent="0.25">
      <c r="A15">
        <v>1296</v>
      </c>
      <c r="B15" t="s">
        <v>23</v>
      </c>
      <c r="C15" s="4" t="s">
        <v>28</v>
      </c>
      <c r="D15" s="5" t="s">
        <v>25</v>
      </c>
      <c r="E15" s="5" t="s">
        <v>749</v>
      </c>
      <c r="F15" s="18" t="s">
        <v>28</v>
      </c>
      <c r="G15" s="5" t="s">
        <v>28</v>
      </c>
      <c r="H15" s="5" t="s">
        <v>28</v>
      </c>
      <c r="I15" s="5" t="s">
        <v>28</v>
      </c>
      <c r="J15" s="5" t="s">
        <v>28</v>
      </c>
      <c r="K15" s="5" t="s">
        <v>29</v>
      </c>
      <c r="L15" s="5" t="s">
        <v>28</v>
      </c>
      <c r="M15" s="5" t="s">
        <v>28</v>
      </c>
      <c r="N15" s="5" t="s">
        <v>28</v>
      </c>
      <c r="O15" s="5" t="s">
        <v>28</v>
      </c>
      <c r="P15" s="5">
        <v>7375</v>
      </c>
      <c r="Q15" s="5">
        <v>0</v>
      </c>
      <c r="R15" s="5">
        <f t="shared" si="0"/>
        <v>0</v>
      </c>
      <c r="S15" s="5">
        <f t="shared" si="2"/>
        <v>7375</v>
      </c>
      <c r="T15" s="5">
        <v>0</v>
      </c>
      <c r="U15" s="5" t="s">
        <v>31</v>
      </c>
      <c r="V15" s="5" t="str">
        <f>IF(F15="","",CHOOSE(INT(MOD(MONTH(S22)-7,12)/3)+1,"Q1","Q2","Q3","Q4"))</f>
        <v/>
      </c>
      <c r="W15" s="6" t="s">
        <v>227</v>
      </c>
    </row>
    <row r="16" spans="1:23" ht="15.75" x14ac:dyDescent="0.25">
      <c r="A16">
        <v>1298</v>
      </c>
      <c r="B16" t="s">
        <v>23</v>
      </c>
      <c r="C16" t="s">
        <v>781</v>
      </c>
      <c r="D16" t="s">
        <v>25</v>
      </c>
      <c r="E16" t="s">
        <v>765</v>
      </c>
      <c r="F16" s="19">
        <v>46291</v>
      </c>
      <c r="G16" t="s">
        <v>28</v>
      </c>
      <c r="H16" t="s">
        <v>28</v>
      </c>
      <c r="I16" t="s">
        <v>28</v>
      </c>
      <c r="J16" t="s">
        <v>28</v>
      </c>
      <c r="K16" t="s">
        <v>29</v>
      </c>
      <c r="L16" t="s">
        <v>28</v>
      </c>
      <c r="M16" t="s">
        <v>28</v>
      </c>
      <c r="N16" t="s">
        <v>28</v>
      </c>
      <c r="O16" t="s">
        <v>782</v>
      </c>
      <c r="P16">
        <v>8525</v>
      </c>
      <c r="Q16">
        <v>15</v>
      </c>
      <c r="R16" s="5">
        <f t="shared" si="0"/>
        <v>1278.75</v>
      </c>
      <c r="S16" s="5">
        <f t="shared" si="2"/>
        <v>9803.75</v>
      </c>
      <c r="T16">
        <v>0</v>
      </c>
      <c r="U16" t="s">
        <v>31</v>
      </c>
      <c r="V16" t="str">
        <f>IF(F16="","",CHOOSE(INT(MOD(MONTH(S23)-7,12)/3)+1,"Q1","Q2","Q3","Q4"))</f>
        <v>Q2</v>
      </c>
      <c r="W16" t="s">
        <v>227</v>
      </c>
    </row>
    <row r="17" spans="1:23" ht="22.5" customHeight="1" x14ac:dyDescent="0.25">
      <c r="A17">
        <v>1299</v>
      </c>
      <c r="B17" t="s">
        <v>23</v>
      </c>
      <c r="C17" s="1" t="s">
        <v>774</v>
      </c>
      <c r="D17" s="2" t="s">
        <v>25</v>
      </c>
      <c r="E17" s="2" t="s">
        <v>748</v>
      </c>
      <c r="F17" s="20">
        <v>46273</v>
      </c>
      <c r="G17" s="2" t="s">
        <v>28</v>
      </c>
      <c r="H17" s="2" t="s">
        <v>28</v>
      </c>
      <c r="I17" s="2" t="s">
        <v>28</v>
      </c>
      <c r="J17" s="2" t="s">
        <v>28</v>
      </c>
      <c r="K17" s="2" t="s">
        <v>29</v>
      </c>
      <c r="L17" s="2" t="s">
        <v>28</v>
      </c>
      <c r="M17" s="2" t="s">
        <v>28</v>
      </c>
      <c r="N17" s="2" t="s">
        <v>28</v>
      </c>
      <c r="O17" s="2" t="s">
        <v>28</v>
      </c>
      <c r="P17" s="2">
        <v>70</v>
      </c>
      <c r="Q17" s="2">
        <v>15</v>
      </c>
      <c r="R17" s="5">
        <f t="shared" si="0"/>
        <v>10.5</v>
      </c>
      <c r="S17" s="5">
        <f t="shared" si="2"/>
        <v>80.5</v>
      </c>
      <c r="T17" s="2">
        <v>0</v>
      </c>
      <c r="U17" s="2" t="s">
        <v>31</v>
      </c>
      <c r="V17" s="2" t="str">
        <f>IF(F17="","",CHOOSE(INT(MOD(MONTH(S24)-7,12)/3)+1,"Q1","Q2","Q3","Q4"))</f>
        <v>Q1</v>
      </c>
      <c r="W17" s="3" t="s">
        <v>227</v>
      </c>
    </row>
    <row r="18" spans="1:23" ht="22.5" customHeight="1" x14ac:dyDescent="0.25">
      <c r="A18">
        <v>1300</v>
      </c>
      <c r="B18" t="s">
        <v>23</v>
      </c>
      <c r="C18" s="4" t="s">
        <v>28</v>
      </c>
      <c r="D18" s="5" t="s">
        <v>25</v>
      </c>
      <c r="E18" s="5" t="s">
        <v>700</v>
      </c>
      <c r="F18" s="18" t="s">
        <v>28</v>
      </c>
      <c r="G18" s="5" t="s">
        <v>28</v>
      </c>
      <c r="H18" s="5" t="s">
        <v>28</v>
      </c>
      <c r="I18" s="5" t="s">
        <v>28</v>
      </c>
      <c r="J18" s="5" t="s">
        <v>28</v>
      </c>
      <c r="K18" s="5" t="s">
        <v>29</v>
      </c>
      <c r="L18" s="5" t="s">
        <v>28</v>
      </c>
      <c r="M18" s="5" t="s">
        <v>28</v>
      </c>
      <c r="N18" s="5" t="s">
        <v>28</v>
      </c>
      <c r="O18" s="5" t="s">
        <v>766</v>
      </c>
      <c r="P18" s="5">
        <v>4520</v>
      </c>
      <c r="Q18" s="5">
        <v>0</v>
      </c>
      <c r="R18" s="5">
        <f t="shared" si="0"/>
        <v>0</v>
      </c>
      <c r="S18" s="5">
        <f t="shared" si="2"/>
        <v>4520</v>
      </c>
      <c r="T18" s="5">
        <v>0</v>
      </c>
      <c r="U18" s="5" t="s">
        <v>31</v>
      </c>
      <c r="V18" s="5" t="str">
        <f>IF(F18="","",CHOOSE(INT(MOD(MONTH(S25)-7,12)/3)+1,"Q1","Q2","Q3","Q4"))</f>
        <v/>
      </c>
      <c r="W18" s="6" t="s">
        <v>227</v>
      </c>
    </row>
    <row r="19" spans="1:23" ht="15.75" x14ac:dyDescent="0.25">
      <c r="A19">
        <v>1302</v>
      </c>
      <c r="B19" t="s">
        <v>23</v>
      </c>
      <c r="C19" t="s">
        <v>28</v>
      </c>
      <c r="D19" t="s">
        <v>25</v>
      </c>
      <c r="E19" t="s">
        <v>700</v>
      </c>
      <c r="F19" s="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29</v>
      </c>
      <c r="L19" t="s">
        <v>28</v>
      </c>
      <c r="M19" t="s">
        <v>28</v>
      </c>
      <c r="N19" t="s">
        <v>28</v>
      </c>
      <c r="O19" t="s">
        <v>28</v>
      </c>
      <c r="P19">
        <v>876.4</v>
      </c>
      <c r="Q19">
        <v>0</v>
      </c>
      <c r="R19" s="5">
        <f t="shared" si="0"/>
        <v>0</v>
      </c>
      <c r="S19" s="5">
        <f t="shared" si="2"/>
        <v>876.4</v>
      </c>
      <c r="T19">
        <v>0</v>
      </c>
      <c r="U19" t="s">
        <v>31</v>
      </c>
      <c r="V19" t="str">
        <f>IF(F19="","",CHOOSE(INT(MOD(MONTH(S26)-7,12)/3)+1,"Q1","Q2","Q3","Q4"))</f>
        <v/>
      </c>
      <c r="W19" t="s">
        <v>227</v>
      </c>
    </row>
    <row r="20" spans="1:23" ht="15.75" x14ac:dyDescent="0.25">
      <c r="A20">
        <v>1303</v>
      </c>
      <c r="B20" t="s">
        <v>23</v>
      </c>
      <c r="C20" t="s">
        <v>28</v>
      </c>
      <c r="D20" t="s">
        <v>25</v>
      </c>
      <c r="E20" t="s">
        <v>768</v>
      </c>
      <c r="F20" s="19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29</v>
      </c>
      <c r="L20" t="s">
        <v>28</v>
      </c>
      <c r="M20" t="s">
        <v>28</v>
      </c>
      <c r="N20" t="s">
        <v>28</v>
      </c>
      <c r="O20" t="s">
        <v>28</v>
      </c>
      <c r="P20">
        <v>104760</v>
      </c>
      <c r="Q20">
        <v>0</v>
      </c>
      <c r="R20" s="5">
        <f t="shared" si="0"/>
        <v>0</v>
      </c>
      <c r="S20" s="5">
        <f t="shared" si="2"/>
        <v>104760</v>
      </c>
      <c r="T20">
        <v>0</v>
      </c>
      <c r="U20" t="s">
        <v>31</v>
      </c>
      <c r="V20" t="str">
        <f>IF(F20="","",CHOOSE(INT(MOD(MONTH(S27)-7,12)/3)+1,"Q1","Q2","Q3","Q4"))</f>
        <v/>
      </c>
      <c r="W20" t="s">
        <v>227</v>
      </c>
    </row>
    <row r="21" spans="1:23" ht="22.5" customHeight="1" x14ac:dyDescent="0.25">
      <c r="A21">
        <v>59</v>
      </c>
      <c r="B21" t="s">
        <v>33</v>
      </c>
      <c r="C21" s="1" t="s">
        <v>49</v>
      </c>
      <c r="D21" s="2" t="s">
        <v>35</v>
      </c>
      <c r="E21" s="2" t="s">
        <v>50</v>
      </c>
      <c r="F21" s="2" t="s">
        <v>37</v>
      </c>
      <c r="G21" s="2" t="s">
        <v>28</v>
      </c>
      <c r="H21" s="2" t="s">
        <v>28</v>
      </c>
      <c r="I21" s="2" t="s">
        <v>28</v>
      </c>
      <c r="J21" s="2" t="s">
        <v>28</v>
      </c>
      <c r="K21" s="2" t="s">
        <v>29</v>
      </c>
      <c r="L21" s="2" t="s">
        <v>28</v>
      </c>
      <c r="M21" s="2" t="s">
        <v>28</v>
      </c>
      <c r="N21" s="2" t="s">
        <v>28</v>
      </c>
      <c r="O21" s="2" t="s">
        <v>51</v>
      </c>
      <c r="P21" s="2">
        <v>39220</v>
      </c>
      <c r="Q21" s="2">
        <v>0</v>
      </c>
      <c r="R21" s="5">
        <f t="shared" si="0"/>
        <v>0</v>
      </c>
      <c r="S21" s="5">
        <f t="shared" si="2"/>
        <v>39220</v>
      </c>
      <c r="T21" s="2">
        <v>0</v>
      </c>
      <c r="U21" s="2" t="s">
        <v>31</v>
      </c>
      <c r="V21" s="2" t="str">
        <f>IF(F21="","",CHOOSE(INT(MOD(MONTH(S28)-7,12)/3)+1,"Q1","Q2","Q3","Q4"))</f>
        <v>Q1</v>
      </c>
      <c r="W21" s="3" t="s">
        <v>32</v>
      </c>
    </row>
    <row r="22" spans="1:23" ht="22.5" customHeight="1" x14ac:dyDescent="0.25">
      <c r="A22">
        <v>72</v>
      </c>
      <c r="B22" t="s">
        <v>33</v>
      </c>
      <c r="C22" s="7" t="s">
        <v>52</v>
      </c>
      <c r="D22" s="8" t="s">
        <v>35</v>
      </c>
      <c r="E22" s="8" t="s">
        <v>50</v>
      </c>
      <c r="F22" s="8" t="s">
        <v>37</v>
      </c>
      <c r="G22" s="8" t="s">
        <v>28</v>
      </c>
      <c r="H22" s="8" t="s">
        <v>28</v>
      </c>
      <c r="I22" s="8" t="s">
        <v>28</v>
      </c>
      <c r="J22" s="8" t="s">
        <v>28</v>
      </c>
      <c r="K22" s="8" t="s">
        <v>29</v>
      </c>
      <c r="L22" s="8" t="s">
        <v>28</v>
      </c>
      <c r="M22" s="8" t="s">
        <v>28</v>
      </c>
      <c r="N22" s="8" t="s">
        <v>28</v>
      </c>
      <c r="O22" s="8" t="s">
        <v>53</v>
      </c>
      <c r="P22" s="8">
        <v>65629</v>
      </c>
      <c r="Q22" s="8">
        <v>0</v>
      </c>
      <c r="R22" s="5">
        <f t="shared" si="0"/>
        <v>0</v>
      </c>
      <c r="S22" s="5">
        <f t="shared" si="2"/>
        <v>65629</v>
      </c>
      <c r="T22" s="8">
        <v>0</v>
      </c>
      <c r="U22" s="8" t="s">
        <v>31</v>
      </c>
      <c r="V22" s="8" t="str">
        <f>IF(F22="","",CHOOSE(INT(MOD(MONTH(S29)-7,12)/3)+1,"Q1","Q2","Q3","Q4"))</f>
        <v>Q3</v>
      </c>
      <c r="W22" s="9" t="s">
        <v>32</v>
      </c>
    </row>
    <row r="23" spans="1:23" ht="22.5" customHeight="1" x14ac:dyDescent="0.25">
      <c r="A23">
        <v>195</v>
      </c>
      <c r="B23" t="s">
        <v>33</v>
      </c>
      <c r="C23" s="7" t="s">
        <v>80</v>
      </c>
      <c r="D23" s="8" t="s">
        <v>35</v>
      </c>
      <c r="E23" s="8" t="s">
        <v>81</v>
      </c>
      <c r="F23" s="8" t="s">
        <v>82</v>
      </c>
      <c r="G23" s="8" t="s">
        <v>28</v>
      </c>
      <c r="H23" s="8" t="s">
        <v>28</v>
      </c>
      <c r="I23" s="8" t="s">
        <v>28</v>
      </c>
      <c r="J23" s="8" t="s">
        <v>28</v>
      </c>
      <c r="K23" s="8" t="s">
        <v>29</v>
      </c>
      <c r="L23" s="8" t="s">
        <v>28</v>
      </c>
      <c r="M23" s="8" t="s">
        <v>28</v>
      </c>
      <c r="N23" s="8" t="s">
        <v>28</v>
      </c>
      <c r="O23" s="8" t="s">
        <v>83</v>
      </c>
      <c r="P23" s="8">
        <v>4350</v>
      </c>
      <c r="Q23" s="8">
        <v>0</v>
      </c>
      <c r="R23" s="5">
        <f t="shared" si="0"/>
        <v>0</v>
      </c>
      <c r="S23" s="5">
        <f t="shared" si="2"/>
        <v>4350</v>
      </c>
      <c r="T23" s="8">
        <v>0</v>
      </c>
      <c r="U23" s="8" t="s">
        <v>31</v>
      </c>
      <c r="V23" s="8" t="str">
        <f>IF(F23="","",CHOOSE(INT(MOD(MONTH(S30)-7,12)/3)+1,"Q1","Q2","Q3","Q4"))</f>
        <v>Q4</v>
      </c>
      <c r="W23" s="9" t="s">
        <v>32</v>
      </c>
    </row>
    <row r="24" spans="1:23" ht="22.5" customHeight="1" x14ac:dyDescent="0.25">
      <c r="A24">
        <v>114</v>
      </c>
      <c r="B24" t="s">
        <v>33</v>
      </c>
      <c r="C24" s="4" t="s">
        <v>61</v>
      </c>
      <c r="D24" s="5" t="s">
        <v>35</v>
      </c>
      <c r="E24" s="5" t="s">
        <v>50</v>
      </c>
      <c r="F24" s="5" t="s">
        <v>62</v>
      </c>
      <c r="G24" s="5" t="s">
        <v>28</v>
      </c>
      <c r="H24" s="5" t="s">
        <v>28</v>
      </c>
      <c r="I24" s="5" t="s">
        <v>28</v>
      </c>
      <c r="J24" s="5" t="s">
        <v>28</v>
      </c>
      <c r="K24" s="5" t="s">
        <v>29</v>
      </c>
      <c r="L24" s="5" t="s">
        <v>28</v>
      </c>
      <c r="M24" s="5" t="s">
        <v>28</v>
      </c>
      <c r="N24" s="5" t="s">
        <v>28</v>
      </c>
      <c r="O24" s="5" t="s">
        <v>63</v>
      </c>
      <c r="P24" s="5">
        <v>3500</v>
      </c>
      <c r="Q24" s="5">
        <v>0</v>
      </c>
      <c r="R24" s="5">
        <f t="shared" si="0"/>
        <v>0</v>
      </c>
      <c r="S24" s="5">
        <f t="shared" si="2"/>
        <v>3500</v>
      </c>
      <c r="T24" s="5">
        <v>0</v>
      </c>
      <c r="U24" s="5" t="s">
        <v>31</v>
      </c>
      <c r="V24" s="5" t="str">
        <f>IF(F24="","",CHOOSE(INT(MOD(MONTH(S31)-7,12)/3)+1,"Q1","Q2","Q3","Q4"))</f>
        <v>Q2</v>
      </c>
      <c r="W24" s="6" t="s">
        <v>32</v>
      </c>
    </row>
    <row r="25" spans="1:23" ht="15.75" x14ac:dyDescent="0.25">
      <c r="A25">
        <v>12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28</v>
      </c>
      <c r="H25" t="s">
        <v>28</v>
      </c>
      <c r="I25" t="s">
        <v>28</v>
      </c>
      <c r="J25" t="s">
        <v>28</v>
      </c>
      <c r="K25" t="s">
        <v>29</v>
      </c>
      <c r="L25" t="s">
        <v>28</v>
      </c>
      <c r="M25" t="s">
        <v>28</v>
      </c>
      <c r="N25" t="s">
        <v>28</v>
      </c>
      <c r="O25" t="s">
        <v>38</v>
      </c>
      <c r="P25">
        <v>68300</v>
      </c>
      <c r="Q25">
        <v>0</v>
      </c>
      <c r="R25" s="5">
        <f t="shared" si="0"/>
        <v>0</v>
      </c>
      <c r="S25" s="5">
        <f t="shared" si="2"/>
        <v>68300</v>
      </c>
      <c r="T25">
        <v>0</v>
      </c>
      <c r="U25" t="s">
        <v>31</v>
      </c>
      <c r="V25" t="str">
        <f>IF(F25="","",CHOOSE(INT(MOD(MONTH(S32)-7,12)/3)+1,"Q1","Q2","Q3","Q4"))</f>
        <v>Q2</v>
      </c>
      <c r="W25" t="s">
        <v>32</v>
      </c>
    </row>
    <row r="26" spans="1:23" ht="22.5" customHeight="1" x14ac:dyDescent="0.25">
      <c r="A26">
        <v>206</v>
      </c>
      <c r="B26" t="s">
        <v>33</v>
      </c>
      <c r="C26" s="1" t="s">
        <v>84</v>
      </c>
      <c r="D26" s="2" t="s">
        <v>35</v>
      </c>
      <c r="E26" s="2" t="s">
        <v>50</v>
      </c>
      <c r="F26" s="2" t="s">
        <v>85</v>
      </c>
      <c r="G26" s="2" t="s">
        <v>28</v>
      </c>
      <c r="H26" s="2" t="s">
        <v>28</v>
      </c>
      <c r="I26" s="2" t="s">
        <v>28</v>
      </c>
      <c r="J26" s="2" t="s">
        <v>28</v>
      </c>
      <c r="K26" s="2" t="s">
        <v>29</v>
      </c>
      <c r="L26" s="2" t="s">
        <v>28</v>
      </c>
      <c r="M26" s="2" t="s">
        <v>28</v>
      </c>
      <c r="N26" s="2" t="s">
        <v>28</v>
      </c>
      <c r="O26" s="2" t="s">
        <v>86</v>
      </c>
      <c r="P26" s="2">
        <v>166050</v>
      </c>
      <c r="Q26" s="2">
        <v>0</v>
      </c>
      <c r="R26" s="5">
        <f t="shared" si="0"/>
        <v>0</v>
      </c>
      <c r="S26" s="5">
        <f t="shared" si="2"/>
        <v>166050</v>
      </c>
      <c r="T26" s="2">
        <v>0</v>
      </c>
      <c r="U26" s="2" t="s">
        <v>31</v>
      </c>
      <c r="V26" s="2" t="str">
        <f>IF(F26="","",CHOOSE(INT(MOD(MONTH(S33)-7,12)/3)+1,"Q1","Q2","Q3","Q4"))</f>
        <v>Q2</v>
      </c>
      <c r="W26" s="3" t="s">
        <v>32</v>
      </c>
    </row>
    <row r="27" spans="1:23" ht="22.5" customHeight="1" x14ac:dyDescent="0.25">
      <c r="A27">
        <v>506</v>
      </c>
      <c r="B27" t="s">
        <v>33</v>
      </c>
      <c r="C27" s="4" t="s">
        <v>144</v>
      </c>
      <c r="D27" s="5" t="s">
        <v>35</v>
      </c>
      <c r="E27" s="5" t="s">
        <v>145</v>
      </c>
      <c r="F27" s="5" t="s">
        <v>146</v>
      </c>
      <c r="G27" s="5" t="s">
        <v>28</v>
      </c>
      <c r="H27" s="5" t="s">
        <v>28</v>
      </c>
      <c r="I27" s="5" t="s">
        <v>28</v>
      </c>
      <c r="J27" s="5" t="s">
        <v>28</v>
      </c>
      <c r="K27" s="5" t="s">
        <v>29</v>
      </c>
      <c r="L27" s="5" t="s">
        <v>28</v>
      </c>
      <c r="M27" s="5" t="s">
        <v>28</v>
      </c>
      <c r="N27" s="5" t="s">
        <v>28</v>
      </c>
      <c r="O27" s="5" t="s">
        <v>147</v>
      </c>
      <c r="P27" s="5">
        <v>17475</v>
      </c>
      <c r="Q27" s="5">
        <v>0</v>
      </c>
      <c r="R27" s="5">
        <f t="shared" si="0"/>
        <v>0</v>
      </c>
      <c r="S27" s="5">
        <f t="shared" si="2"/>
        <v>17475</v>
      </c>
      <c r="T27" s="5">
        <v>0</v>
      </c>
      <c r="U27" s="5" t="s">
        <v>31</v>
      </c>
      <c r="V27" s="5" t="str">
        <f>IF(F27="","",CHOOSE(INT(MOD(MONTH(S34)-7,12)/3)+1,"Q1","Q2","Q3","Q4"))</f>
        <v>Q2</v>
      </c>
      <c r="W27" s="6" t="s">
        <v>32</v>
      </c>
    </row>
    <row r="28" spans="1:23" ht="15.75" x14ac:dyDescent="0.25">
      <c r="A28">
        <v>772</v>
      </c>
      <c r="B28" t="s">
        <v>33</v>
      </c>
      <c r="C28" t="s">
        <v>195</v>
      </c>
      <c r="D28" t="s">
        <v>35</v>
      </c>
      <c r="E28" t="s">
        <v>50</v>
      </c>
      <c r="F28" t="s">
        <v>174</v>
      </c>
      <c r="G28" t="s">
        <v>28</v>
      </c>
      <c r="H28" t="s">
        <v>28</v>
      </c>
      <c r="I28" t="s">
        <v>28</v>
      </c>
      <c r="J28" t="s">
        <v>28</v>
      </c>
      <c r="K28" t="s">
        <v>29</v>
      </c>
      <c r="L28" t="s">
        <v>28</v>
      </c>
      <c r="M28" t="s">
        <v>28</v>
      </c>
      <c r="N28" t="s">
        <v>28</v>
      </c>
      <c r="O28" t="s">
        <v>196</v>
      </c>
      <c r="P28">
        <v>21010</v>
      </c>
      <c r="Q28">
        <v>0</v>
      </c>
      <c r="R28" s="5">
        <f t="shared" si="0"/>
        <v>0</v>
      </c>
      <c r="S28" s="5">
        <f t="shared" si="2"/>
        <v>21010</v>
      </c>
      <c r="T28">
        <v>0</v>
      </c>
      <c r="U28" t="s">
        <v>31</v>
      </c>
      <c r="V28" t="str">
        <f>IF(F28="","",CHOOSE(INT(MOD(MONTH(S35)-7,12)/3)+1,"Q1","Q2","Q3","Q4"))</f>
        <v>Q2</v>
      </c>
      <c r="W28" t="s">
        <v>32</v>
      </c>
    </row>
    <row r="29" spans="1:23" ht="22.5" customHeight="1" x14ac:dyDescent="0.25">
      <c r="A29">
        <v>265</v>
      </c>
      <c r="B29" t="s">
        <v>33</v>
      </c>
      <c r="C29" s="10" t="s">
        <v>99</v>
      </c>
      <c r="D29" s="11" t="s">
        <v>35</v>
      </c>
      <c r="E29" s="11" t="s">
        <v>36</v>
      </c>
      <c r="F29" s="11" t="s">
        <v>85</v>
      </c>
      <c r="G29" s="11" t="s">
        <v>28</v>
      </c>
      <c r="H29" s="11" t="s">
        <v>28</v>
      </c>
      <c r="I29" s="11" t="s">
        <v>28</v>
      </c>
      <c r="J29" s="11" t="s">
        <v>28</v>
      </c>
      <c r="K29" s="11" t="s">
        <v>29</v>
      </c>
      <c r="L29" s="11" t="s">
        <v>28</v>
      </c>
      <c r="M29" s="11" t="s">
        <v>28</v>
      </c>
      <c r="N29" s="11" t="s">
        <v>28</v>
      </c>
      <c r="O29" s="11" t="s">
        <v>100</v>
      </c>
      <c r="P29" s="11">
        <v>8480</v>
      </c>
      <c r="Q29" s="11">
        <v>0</v>
      </c>
      <c r="R29" s="5">
        <f t="shared" si="0"/>
        <v>0</v>
      </c>
      <c r="S29" s="5">
        <f t="shared" si="2"/>
        <v>8480</v>
      </c>
      <c r="T29" s="11">
        <v>0</v>
      </c>
      <c r="U29" s="11" t="s">
        <v>31</v>
      </c>
      <c r="V29" s="11" t="str">
        <f>IF(F29="","",CHOOSE(INT(MOD(MONTH(S36)-7,12)/3)+1,"Q1","Q2","Q3","Q4"))</f>
        <v>Q3</v>
      </c>
      <c r="W29" s="12" t="s">
        <v>32</v>
      </c>
    </row>
    <row r="30" spans="1:23" ht="15.75" x14ac:dyDescent="0.25">
      <c r="A30">
        <v>560</v>
      </c>
      <c r="B30" t="s">
        <v>33</v>
      </c>
      <c r="C30" t="s">
        <v>156</v>
      </c>
      <c r="D30" t="s">
        <v>35</v>
      </c>
      <c r="E30" t="s">
        <v>145</v>
      </c>
      <c r="F30" t="s">
        <v>146</v>
      </c>
      <c r="G30" t="s">
        <v>28</v>
      </c>
      <c r="H30" t="s">
        <v>28</v>
      </c>
      <c r="I30" t="s">
        <v>28</v>
      </c>
      <c r="J30" t="s">
        <v>28</v>
      </c>
      <c r="K30" t="s">
        <v>29</v>
      </c>
      <c r="L30" t="s">
        <v>28</v>
      </c>
      <c r="M30" t="s">
        <v>28</v>
      </c>
      <c r="N30" t="s">
        <v>28</v>
      </c>
      <c r="O30" t="s">
        <v>157</v>
      </c>
      <c r="P30">
        <v>11475</v>
      </c>
      <c r="Q30">
        <v>0</v>
      </c>
      <c r="R30" s="5">
        <f t="shared" si="0"/>
        <v>0</v>
      </c>
      <c r="S30" s="5">
        <f t="shared" si="2"/>
        <v>11475</v>
      </c>
      <c r="T30">
        <v>0</v>
      </c>
      <c r="U30" t="s">
        <v>31</v>
      </c>
      <c r="V30" t="str">
        <f>IF(F30="","",CHOOSE(INT(MOD(MONTH(S37)-7,12)/3)+1,"Q1","Q2","Q3","Q4"))</f>
        <v>Q2</v>
      </c>
      <c r="W30" t="s">
        <v>32</v>
      </c>
    </row>
    <row r="31" spans="1:23" ht="22.5" customHeight="1" x14ac:dyDescent="0.25">
      <c r="A31">
        <v>298</v>
      </c>
      <c r="B31" t="s">
        <v>33</v>
      </c>
      <c r="C31" s="1" t="s">
        <v>105</v>
      </c>
      <c r="D31" s="2" t="s">
        <v>35</v>
      </c>
      <c r="E31" s="2" t="s">
        <v>81</v>
      </c>
      <c r="F31" s="2" t="s">
        <v>106</v>
      </c>
      <c r="G31" s="2" t="s">
        <v>28</v>
      </c>
      <c r="H31" s="2" t="s">
        <v>28</v>
      </c>
      <c r="I31" s="2" t="s">
        <v>28</v>
      </c>
      <c r="J31" s="2" t="s">
        <v>28</v>
      </c>
      <c r="K31" s="2" t="s">
        <v>29</v>
      </c>
      <c r="L31" s="2" t="s">
        <v>28</v>
      </c>
      <c r="M31" s="2" t="s">
        <v>28</v>
      </c>
      <c r="N31" s="2" t="s">
        <v>28</v>
      </c>
      <c r="O31" s="2" t="s">
        <v>107</v>
      </c>
      <c r="P31" s="2">
        <v>4350</v>
      </c>
      <c r="Q31" s="2">
        <v>0</v>
      </c>
      <c r="R31" s="5">
        <f t="shared" si="0"/>
        <v>0</v>
      </c>
      <c r="S31" s="5">
        <f t="shared" si="2"/>
        <v>4350</v>
      </c>
      <c r="T31" s="2">
        <v>0</v>
      </c>
      <c r="U31" s="2" t="s">
        <v>31</v>
      </c>
      <c r="V31" s="2" t="str">
        <f>IF(F31="","",CHOOSE(INT(MOD(MONTH(S38)-7,12)/3)+1,"Q1","Q2","Q3","Q4"))</f>
        <v>Q3</v>
      </c>
      <c r="W31" s="3" t="s">
        <v>32</v>
      </c>
    </row>
    <row r="32" spans="1:23" ht="22.5" customHeight="1" x14ac:dyDescent="0.25">
      <c r="A32">
        <v>422</v>
      </c>
      <c r="B32" t="s">
        <v>33</v>
      </c>
      <c r="C32" s="4" t="s">
        <v>128</v>
      </c>
      <c r="D32" s="5" t="s">
        <v>35</v>
      </c>
      <c r="E32" s="5" t="s">
        <v>36</v>
      </c>
      <c r="F32" s="5" t="s">
        <v>129</v>
      </c>
      <c r="G32" s="5" t="s">
        <v>28</v>
      </c>
      <c r="H32" s="5" t="s">
        <v>28</v>
      </c>
      <c r="I32" s="5" t="s">
        <v>28</v>
      </c>
      <c r="J32" s="5" t="s">
        <v>28</v>
      </c>
      <c r="K32" s="5" t="s">
        <v>29</v>
      </c>
      <c r="L32" s="5" t="s">
        <v>28</v>
      </c>
      <c r="M32" s="5" t="s">
        <v>28</v>
      </c>
      <c r="N32" s="5" t="s">
        <v>28</v>
      </c>
      <c r="O32" s="5" t="s">
        <v>130</v>
      </c>
      <c r="P32" s="5">
        <v>7600</v>
      </c>
      <c r="Q32" s="5">
        <v>0</v>
      </c>
      <c r="R32" s="5">
        <f t="shared" si="0"/>
        <v>0</v>
      </c>
      <c r="S32" s="5">
        <f t="shared" si="2"/>
        <v>7600</v>
      </c>
      <c r="T32" s="5">
        <v>0</v>
      </c>
      <c r="U32" s="5" t="s">
        <v>31</v>
      </c>
      <c r="V32" s="5" t="str">
        <f>IF(F32="","",CHOOSE(INT(MOD(MONTH(S39)-7,12)/3)+1,"Q1","Q2","Q3","Q4"))</f>
        <v>Q3</v>
      </c>
      <c r="W32" s="6" t="s">
        <v>32</v>
      </c>
    </row>
    <row r="33" spans="1:23" ht="15.75" x14ac:dyDescent="0.25">
      <c r="A33">
        <v>354</v>
      </c>
      <c r="B33" t="s">
        <v>33</v>
      </c>
      <c r="C33" t="s">
        <v>117</v>
      </c>
      <c r="D33" t="s">
        <v>35</v>
      </c>
      <c r="E33" t="s">
        <v>81</v>
      </c>
      <c r="F33" t="s">
        <v>110</v>
      </c>
      <c r="G33" t="s">
        <v>28</v>
      </c>
      <c r="H33" t="s">
        <v>28</v>
      </c>
      <c r="I33" t="s">
        <v>28</v>
      </c>
      <c r="J33" t="s">
        <v>28</v>
      </c>
      <c r="K33" t="s">
        <v>29</v>
      </c>
      <c r="L33" t="s">
        <v>28</v>
      </c>
      <c r="M33" t="s">
        <v>28</v>
      </c>
      <c r="N33" t="s">
        <v>28</v>
      </c>
      <c r="O33" t="s">
        <v>118</v>
      </c>
      <c r="P33">
        <v>4350</v>
      </c>
      <c r="Q33">
        <v>0</v>
      </c>
      <c r="R33" s="5">
        <f t="shared" si="0"/>
        <v>0</v>
      </c>
      <c r="S33" s="5">
        <f t="shared" si="2"/>
        <v>4350</v>
      </c>
      <c r="T33">
        <v>0</v>
      </c>
      <c r="U33" t="s">
        <v>31</v>
      </c>
      <c r="V33" t="str">
        <f>IF(F33="","",CHOOSE(INT(MOD(MONTH(S40)-7,12)/3)+1,"Q1","Q2","Q3","Q4"))</f>
        <v>Q2</v>
      </c>
      <c r="W33" t="s">
        <v>32</v>
      </c>
    </row>
    <row r="34" spans="1:23" ht="22.5" customHeight="1" x14ac:dyDescent="0.25">
      <c r="A34">
        <v>376</v>
      </c>
      <c r="B34" t="s">
        <v>33</v>
      </c>
      <c r="C34" s="10" t="s">
        <v>120</v>
      </c>
      <c r="D34" s="11" t="s">
        <v>35</v>
      </c>
      <c r="E34" s="11" t="s">
        <v>81</v>
      </c>
      <c r="F34" s="11" t="s">
        <v>110</v>
      </c>
      <c r="G34" s="11" t="s">
        <v>28</v>
      </c>
      <c r="H34" s="11" t="s">
        <v>28</v>
      </c>
      <c r="I34" s="11" t="s">
        <v>28</v>
      </c>
      <c r="J34" s="11" t="s">
        <v>28</v>
      </c>
      <c r="K34" s="11" t="s">
        <v>29</v>
      </c>
      <c r="L34" s="11" t="s">
        <v>28</v>
      </c>
      <c r="M34" s="11" t="s">
        <v>28</v>
      </c>
      <c r="N34" s="11" t="s">
        <v>28</v>
      </c>
      <c r="O34" s="11" t="s">
        <v>121</v>
      </c>
      <c r="P34" s="11">
        <v>4350</v>
      </c>
      <c r="Q34" s="11">
        <v>0</v>
      </c>
      <c r="R34" s="5">
        <f t="shared" si="0"/>
        <v>0</v>
      </c>
      <c r="S34" s="5">
        <f t="shared" si="2"/>
        <v>4350</v>
      </c>
      <c r="T34" s="11">
        <v>0</v>
      </c>
      <c r="U34" s="11" t="s">
        <v>31</v>
      </c>
      <c r="V34" s="11" t="str">
        <f>IF(F34="","",CHOOSE(INT(MOD(MONTH(S41)-7,12)/3)+1,"Q1","Q2","Q3","Q4"))</f>
        <v>Q4</v>
      </c>
      <c r="W34" s="12" t="s">
        <v>32</v>
      </c>
    </row>
    <row r="35" spans="1:23" ht="15.75" x14ac:dyDescent="0.25">
      <c r="A35">
        <v>319</v>
      </c>
      <c r="B35" t="s">
        <v>33</v>
      </c>
      <c r="C35" t="s">
        <v>109</v>
      </c>
      <c r="D35" t="s">
        <v>35</v>
      </c>
      <c r="E35" t="s">
        <v>81</v>
      </c>
      <c r="F35" t="s">
        <v>110</v>
      </c>
      <c r="G35" t="s">
        <v>28</v>
      </c>
      <c r="H35" t="s">
        <v>28</v>
      </c>
      <c r="I35" t="s">
        <v>28</v>
      </c>
      <c r="J35" t="s">
        <v>28</v>
      </c>
      <c r="K35" t="s">
        <v>29</v>
      </c>
      <c r="L35" t="s">
        <v>28</v>
      </c>
      <c r="M35" t="s">
        <v>28</v>
      </c>
      <c r="N35" t="s">
        <v>28</v>
      </c>
      <c r="O35" t="s">
        <v>111</v>
      </c>
      <c r="P35">
        <v>4350</v>
      </c>
      <c r="Q35">
        <v>0</v>
      </c>
      <c r="R35" s="5">
        <f t="shared" si="0"/>
        <v>0</v>
      </c>
      <c r="S35" s="5">
        <f t="shared" si="2"/>
        <v>4350</v>
      </c>
      <c r="T35">
        <v>0</v>
      </c>
      <c r="U35" t="s">
        <v>31</v>
      </c>
      <c r="V35" t="str">
        <f>IF(F35="","",CHOOSE(INT(MOD(MONTH(S42)-7,12)/3)+1,"Q1","Q2","Q3","Q4"))</f>
        <v>Q2</v>
      </c>
      <c r="W35" t="s">
        <v>32</v>
      </c>
    </row>
    <row r="36" spans="1:23" ht="22.5" customHeight="1" x14ac:dyDescent="0.25">
      <c r="A36">
        <v>469</v>
      </c>
      <c r="B36" t="s">
        <v>33</v>
      </c>
      <c r="C36" s="1" t="s">
        <v>136</v>
      </c>
      <c r="D36" s="2" t="s">
        <v>35</v>
      </c>
      <c r="E36" s="2" t="s">
        <v>36</v>
      </c>
      <c r="F36" s="2" t="s">
        <v>137</v>
      </c>
      <c r="G36" s="2" t="s">
        <v>28</v>
      </c>
      <c r="H36" s="2" t="s">
        <v>28</v>
      </c>
      <c r="I36" s="2" t="s">
        <v>28</v>
      </c>
      <c r="J36" s="2" t="s">
        <v>28</v>
      </c>
      <c r="K36" s="2" t="s">
        <v>29</v>
      </c>
      <c r="L36" s="2" t="s">
        <v>28</v>
      </c>
      <c r="M36" s="2" t="s">
        <v>28</v>
      </c>
      <c r="N36" s="2" t="s">
        <v>28</v>
      </c>
      <c r="O36" s="2" t="s">
        <v>138</v>
      </c>
      <c r="P36" s="2">
        <v>80730</v>
      </c>
      <c r="Q36" s="2">
        <v>0</v>
      </c>
      <c r="R36" s="5">
        <f t="shared" si="0"/>
        <v>0</v>
      </c>
      <c r="S36" s="5">
        <f t="shared" si="2"/>
        <v>80730</v>
      </c>
      <c r="T36" s="2">
        <v>0</v>
      </c>
      <c r="U36" s="2" t="s">
        <v>31</v>
      </c>
      <c r="V36" s="2" t="str">
        <f>IF(F36="","",CHOOSE(INT(MOD(MONTH(S43)-7,12)/3)+1,"Q1","Q2","Q3","Q4"))</f>
        <v>Q3</v>
      </c>
      <c r="W36" s="3" t="s">
        <v>32</v>
      </c>
    </row>
    <row r="37" spans="1:23" ht="22.5" customHeight="1" x14ac:dyDescent="0.25">
      <c r="A37">
        <v>160</v>
      </c>
      <c r="B37" t="s">
        <v>33</v>
      </c>
      <c r="C37" s="7" t="s">
        <v>73</v>
      </c>
      <c r="D37" s="8" t="s">
        <v>35</v>
      </c>
      <c r="E37" s="8" t="s">
        <v>36</v>
      </c>
      <c r="F37" s="8" t="s">
        <v>62</v>
      </c>
      <c r="G37" s="8" t="s">
        <v>28</v>
      </c>
      <c r="H37" s="8" t="s">
        <v>28</v>
      </c>
      <c r="I37" s="8" t="s">
        <v>28</v>
      </c>
      <c r="J37" s="8" t="s">
        <v>28</v>
      </c>
      <c r="K37" s="8" t="s">
        <v>29</v>
      </c>
      <c r="L37" s="8" t="s">
        <v>28</v>
      </c>
      <c r="M37" s="8" t="s">
        <v>28</v>
      </c>
      <c r="N37" s="8" t="s">
        <v>28</v>
      </c>
      <c r="O37" s="8" t="s">
        <v>74</v>
      </c>
      <c r="P37" s="8">
        <v>7600</v>
      </c>
      <c r="Q37" s="8">
        <v>0</v>
      </c>
      <c r="R37" s="5">
        <f t="shared" si="0"/>
        <v>0</v>
      </c>
      <c r="S37" s="5">
        <f t="shared" si="2"/>
        <v>7600</v>
      </c>
      <c r="T37" s="8">
        <v>0</v>
      </c>
      <c r="U37" s="8" t="s">
        <v>31</v>
      </c>
      <c r="V37" s="8" t="str">
        <f>IF(F37="","",CHOOSE(INT(MOD(MONTH(S44)-7,12)/3)+1,"Q1","Q2","Q3","Q4"))</f>
        <v>Q2</v>
      </c>
      <c r="W37" s="9" t="s">
        <v>32</v>
      </c>
    </row>
    <row r="38" spans="1:23" ht="22.5" customHeight="1" x14ac:dyDescent="0.25">
      <c r="A38">
        <v>648</v>
      </c>
      <c r="B38" t="s">
        <v>33</v>
      </c>
      <c r="C38" s="4" t="s">
        <v>173</v>
      </c>
      <c r="D38" s="5" t="s">
        <v>35</v>
      </c>
      <c r="E38" s="5" t="s">
        <v>145</v>
      </c>
      <c r="F38" s="5" t="s">
        <v>174</v>
      </c>
      <c r="G38" s="5" t="s">
        <v>28</v>
      </c>
      <c r="H38" s="5" t="s">
        <v>28</v>
      </c>
      <c r="I38" s="5" t="s">
        <v>28</v>
      </c>
      <c r="J38" s="5" t="s">
        <v>28</v>
      </c>
      <c r="K38" s="5" t="s">
        <v>29</v>
      </c>
      <c r="L38" s="5" t="s">
        <v>28</v>
      </c>
      <c r="M38" s="5" t="s">
        <v>28</v>
      </c>
      <c r="N38" s="5" t="s">
        <v>28</v>
      </c>
      <c r="O38" s="5" t="s">
        <v>175</v>
      </c>
      <c r="P38" s="5">
        <v>119525</v>
      </c>
      <c r="Q38" s="5">
        <v>0</v>
      </c>
      <c r="R38" s="5">
        <f t="shared" si="0"/>
        <v>0</v>
      </c>
      <c r="S38" s="5">
        <f t="shared" si="2"/>
        <v>119525</v>
      </c>
      <c r="T38" s="5">
        <v>0</v>
      </c>
      <c r="U38" s="5" t="s">
        <v>31</v>
      </c>
      <c r="V38" s="5" t="str">
        <f>IF(F38="","",CHOOSE(INT(MOD(MONTH(S45)-7,12)/3)+1,"Q1","Q2","Q3","Q4"))</f>
        <v>Q1</v>
      </c>
      <c r="W38" s="6" t="s">
        <v>32</v>
      </c>
    </row>
    <row r="39" spans="1:23" ht="15.75" x14ac:dyDescent="0.25">
      <c r="A39">
        <v>721</v>
      </c>
      <c r="B39" t="s">
        <v>33</v>
      </c>
      <c r="C39" t="s">
        <v>184</v>
      </c>
      <c r="D39" t="s">
        <v>35</v>
      </c>
      <c r="E39" t="s">
        <v>50</v>
      </c>
      <c r="F39" t="s">
        <v>185</v>
      </c>
      <c r="G39" t="s">
        <v>28</v>
      </c>
      <c r="H39" t="s">
        <v>28</v>
      </c>
      <c r="I39" t="s">
        <v>28</v>
      </c>
      <c r="J39" t="s">
        <v>28</v>
      </c>
      <c r="K39" t="s">
        <v>29</v>
      </c>
      <c r="L39" t="s">
        <v>28</v>
      </c>
      <c r="M39" t="s">
        <v>28</v>
      </c>
      <c r="N39" t="s">
        <v>28</v>
      </c>
      <c r="O39" t="s">
        <v>186</v>
      </c>
      <c r="P39">
        <v>34720</v>
      </c>
      <c r="Q39">
        <v>0</v>
      </c>
      <c r="R39" s="5">
        <f t="shared" si="0"/>
        <v>0</v>
      </c>
      <c r="S39" s="5">
        <f t="shared" si="2"/>
        <v>34720</v>
      </c>
      <c r="T39">
        <v>0</v>
      </c>
      <c r="U39" t="s">
        <v>31</v>
      </c>
      <c r="V39" t="str">
        <f>IF(F39="","",CHOOSE(INT(MOD(MONTH(S46)-7,12)/3)+1,"Q1","Q2","Q3","Q4"))</f>
        <v>Q4</v>
      </c>
      <c r="W39" t="s">
        <v>32</v>
      </c>
    </row>
    <row r="40" spans="1:23" ht="22.5" customHeight="1" x14ac:dyDescent="0.25">
      <c r="A40">
        <v>516</v>
      </c>
      <c r="B40" t="s">
        <v>33</v>
      </c>
      <c r="C40" s="1" t="s">
        <v>148</v>
      </c>
      <c r="D40" s="2" t="s">
        <v>35</v>
      </c>
      <c r="E40" s="2" t="s">
        <v>50</v>
      </c>
      <c r="F40" s="2" t="s">
        <v>149</v>
      </c>
      <c r="G40" s="2" t="s">
        <v>28</v>
      </c>
      <c r="H40" s="2" t="s">
        <v>28</v>
      </c>
      <c r="I40" s="2" t="s">
        <v>28</v>
      </c>
      <c r="J40" s="2" t="s">
        <v>28</v>
      </c>
      <c r="K40" s="2" t="s">
        <v>29</v>
      </c>
      <c r="L40" s="2" t="s">
        <v>28</v>
      </c>
      <c r="M40" s="2" t="s">
        <v>28</v>
      </c>
      <c r="N40" s="2" t="s">
        <v>28</v>
      </c>
      <c r="O40" s="2" t="s">
        <v>150</v>
      </c>
      <c r="P40" s="2">
        <v>11640</v>
      </c>
      <c r="Q40" s="2">
        <v>0</v>
      </c>
      <c r="R40" s="5">
        <f t="shared" si="0"/>
        <v>0</v>
      </c>
      <c r="S40" s="5">
        <f t="shared" si="2"/>
        <v>11640</v>
      </c>
      <c r="T40" s="2">
        <v>0</v>
      </c>
      <c r="U40" s="2" t="s">
        <v>31</v>
      </c>
      <c r="V40" s="2" t="str">
        <f>IF(F40="","",CHOOSE(INT(MOD(MONTH(S47)-7,12)/3)+1,"Q1","Q2","Q3","Q4"))</f>
        <v>Q4</v>
      </c>
      <c r="W40" s="3" t="s">
        <v>32</v>
      </c>
    </row>
    <row r="41" spans="1:23" ht="22.5" customHeight="1" x14ac:dyDescent="0.25">
      <c r="A41">
        <v>581</v>
      </c>
      <c r="B41" t="s">
        <v>33</v>
      </c>
      <c r="C41" s="7" t="s">
        <v>161</v>
      </c>
      <c r="D41" s="8" t="s">
        <v>35</v>
      </c>
      <c r="E41" s="8" t="s">
        <v>162</v>
      </c>
      <c r="F41" s="8" t="s">
        <v>149</v>
      </c>
      <c r="G41" s="8" t="s">
        <v>28</v>
      </c>
      <c r="H41" s="8" t="s">
        <v>28</v>
      </c>
      <c r="I41" s="8" t="s">
        <v>28</v>
      </c>
      <c r="J41" s="8" t="s">
        <v>28</v>
      </c>
      <c r="K41" s="8" t="s">
        <v>29</v>
      </c>
      <c r="L41" s="8" t="s">
        <v>28</v>
      </c>
      <c r="M41" s="8" t="s">
        <v>28</v>
      </c>
      <c r="N41" s="8" t="s">
        <v>28</v>
      </c>
      <c r="O41" s="8" t="s">
        <v>163</v>
      </c>
      <c r="P41" s="8">
        <v>4110</v>
      </c>
      <c r="Q41" s="8">
        <v>0</v>
      </c>
      <c r="R41" s="5">
        <f t="shared" si="0"/>
        <v>0</v>
      </c>
      <c r="S41" s="5">
        <f t="shared" si="2"/>
        <v>4110</v>
      </c>
      <c r="T41" s="8">
        <v>0</v>
      </c>
      <c r="U41" s="8" t="s">
        <v>31</v>
      </c>
      <c r="V41" s="8" t="str">
        <f>IF(F41="","",CHOOSE(INT(MOD(MONTH(S48)-7,12)/3)+1,"Q1","Q2","Q3","Q4"))</f>
        <v>Q4</v>
      </c>
      <c r="W41" s="9" t="s">
        <v>32</v>
      </c>
    </row>
    <row r="42" spans="1:23" ht="22.5" customHeight="1" x14ac:dyDescent="0.25">
      <c r="A42">
        <v>761</v>
      </c>
      <c r="B42" t="s">
        <v>33</v>
      </c>
      <c r="C42" s="4" t="s">
        <v>191</v>
      </c>
      <c r="D42" s="5" t="s">
        <v>35</v>
      </c>
      <c r="E42" s="5" t="s">
        <v>192</v>
      </c>
      <c r="F42" s="5" t="s">
        <v>193</v>
      </c>
      <c r="G42" s="5" t="s">
        <v>28</v>
      </c>
      <c r="H42" s="5" t="s">
        <v>28</v>
      </c>
      <c r="I42" s="5" t="s">
        <v>28</v>
      </c>
      <c r="J42" s="5" t="s">
        <v>28</v>
      </c>
      <c r="K42" s="5" t="s">
        <v>29</v>
      </c>
      <c r="L42" s="5" t="s">
        <v>28</v>
      </c>
      <c r="M42" s="5" t="s">
        <v>28</v>
      </c>
      <c r="N42" s="5" t="s">
        <v>28</v>
      </c>
      <c r="O42" s="5" t="s">
        <v>194</v>
      </c>
      <c r="P42" s="5">
        <v>683</v>
      </c>
      <c r="Q42" s="5">
        <v>0</v>
      </c>
      <c r="R42" s="5">
        <f t="shared" si="0"/>
        <v>0</v>
      </c>
      <c r="S42" s="5">
        <f t="shared" si="2"/>
        <v>683</v>
      </c>
      <c r="T42" s="5">
        <v>0</v>
      </c>
      <c r="U42" s="5" t="s">
        <v>31</v>
      </c>
      <c r="V42" s="5" t="str">
        <f>IF(F42="","",CHOOSE(INT(MOD(MONTH(S49)-7,12)/3)+1,"Q1","Q2","Q3","Q4"))</f>
        <v>Q4</v>
      </c>
      <c r="W42" s="6" t="s">
        <v>32</v>
      </c>
    </row>
    <row r="43" spans="1:23" ht="15.75" x14ac:dyDescent="0.25">
      <c r="A43">
        <v>657</v>
      </c>
      <c r="B43" t="s">
        <v>33</v>
      </c>
      <c r="C43" t="s">
        <v>176</v>
      </c>
      <c r="D43" t="s">
        <v>35</v>
      </c>
      <c r="E43" t="s">
        <v>36</v>
      </c>
      <c r="F43" t="s">
        <v>149</v>
      </c>
      <c r="G43" t="s">
        <v>28</v>
      </c>
      <c r="H43" t="s">
        <v>28</v>
      </c>
      <c r="I43" t="s">
        <v>28</v>
      </c>
      <c r="J43" t="s">
        <v>28</v>
      </c>
      <c r="K43" t="s">
        <v>29</v>
      </c>
      <c r="L43" t="s">
        <v>28</v>
      </c>
      <c r="M43" t="s">
        <v>28</v>
      </c>
      <c r="N43" t="s">
        <v>28</v>
      </c>
      <c r="O43" t="s">
        <v>177</v>
      </c>
      <c r="P43">
        <v>38000</v>
      </c>
      <c r="Q43">
        <v>0</v>
      </c>
      <c r="R43" s="5">
        <f t="shared" si="0"/>
        <v>0</v>
      </c>
      <c r="S43" s="5">
        <f t="shared" si="2"/>
        <v>38000</v>
      </c>
      <c r="T43">
        <v>0</v>
      </c>
      <c r="U43" t="s">
        <v>31</v>
      </c>
      <c r="V43" t="str">
        <f>IF(F43="","",CHOOSE(INT(MOD(MONTH(S50)-7,12)/3)+1,"Q1","Q2","Q3","Q4"))</f>
        <v>Q2</v>
      </c>
      <c r="W43" t="s">
        <v>32</v>
      </c>
    </row>
    <row r="44" spans="1:23" ht="22.5" customHeight="1" x14ac:dyDescent="0.25">
      <c r="A44">
        <v>824</v>
      </c>
      <c r="B44" t="s">
        <v>33</v>
      </c>
      <c r="C44" s="1" t="s">
        <v>203</v>
      </c>
      <c r="D44" s="2" t="s">
        <v>35</v>
      </c>
      <c r="E44" s="2" t="s">
        <v>162</v>
      </c>
      <c r="F44" s="2" t="s">
        <v>193</v>
      </c>
      <c r="G44" s="2" t="s">
        <v>28</v>
      </c>
      <c r="H44" s="2" t="s">
        <v>28</v>
      </c>
      <c r="I44" s="2" t="s">
        <v>28</v>
      </c>
      <c r="J44" s="2" t="s">
        <v>28</v>
      </c>
      <c r="K44" s="2" t="s">
        <v>29</v>
      </c>
      <c r="L44" s="2" t="s">
        <v>28</v>
      </c>
      <c r="M44" s="2" t="s">
        <v>28</v>
      </c>
      <c r="N44" s="2" t="s">
        <v>28</v>
      </c>
      <c r="O44" s="2" t="s">
        <v>204</v>
      </c>
      <c r="P44" s="2">
        <v>37565</v>
      </c>
      <c r="Q44" s="2">
        <v>0</v>
      </c>
      <c r="R44" s="5">
        <f t="shared" si="0"/>
        <v>0</v>
      </c>
      <c r="S44" s="5">
        <f t="shared" si="2"/>
        <v>37565</v>
      </c>
      <c r="T44" s="2">
        <v>0</v>
      </c>
      <c r="U44" s="2" t="s">
        <v>31</v>
      </c>
      <c r="V44" s="2" t="str">
        <f>IF(F44="","",CHOOSE(INT(MOD(MONTH(S51)-7,12)/3)+1,"Q1","Q2","Q3","Q4"))</f>
        <v>Q4</v>
      </c>
      <c r="W44" s="3" t="s">
        <v>32</v>
      </c>
    </row>
    <row r="45" spans="1:23" ht="22.5" customHeight="1" x14ac:dyDescent="0.25">
      <c r="A45">
        <v>873</v>
      </c>
      <c r="B45" t="s">
        <v>33</v>
      </c>
      <c r="C45" s="4" t="s">
        <v>209</v>
      </c>
      <c r="D45" s="5" t="s">
        <v>35</v>
      </c>
      <c r="E45" s="5" t="s">
        <v>192</v>
      </c>
      <c r="F45" s="5" t="s">
        <v>210</v>
      </c>
      <c r="G45" s="5" t="s">
        <v>28</v>
      </c>
      <c r="H45" s="5" t="s">
        <v>28</v>
      </c>
      <c r="I45" s="5" t="s">
        <v>28</v>
      </c>
      <c r="J45" s="5" t="s">
        <v>28</v>
      </c>
      <c r="K45" s="5" t="s">
        <v>29</v>
      </c>
      <c r="L45" s="5" t="s">
        <v>28</v>
      </c>
      <c r="M45" s="5" t="s">
        <v>28</v>
      </c>
      <c r="N45" s="5" t="s">
        <v>28</v>
      </c>
      <c r="O45" s="5" t="s">
        <v>211</v>
      </c>
      <c r="P45" s="5">
        <v>4250</v>
      </c>
      <c r="Q45" s="5">
        <v>0</v>
      </c>
      <c r="R45" s="5">
        <f t="shared" si="0"/>
        <v>0</v>
      </c>
      <c r="S45" s="5">
        <f t="shared" si="2"/>
        <v>4250</v>
      </c>
      <c r="T45" s="5">
        <v>0</v>
      </c>
      <c r="U45" s="5" t="s">
        <v>31</v>
      </c>
      <c r="V45" s="5" t="str">
        <f>IF(F45="","",CHOOSE(INT(MOD(MONTH(S52)-7,12)/3)+1,"Q1","Q2","Q3","Q4"))</f>
        <v>Q2</v>
      </c>
      <c r="W45" s="6" t="s">
        <v>32</v>
      </c>
    </row>
    <row r="46" spans="1:23" ht="15.75" x14ac:dyDescent="0.25">
      <c r="A46">
        <v>896</v>
      </c>
      <c r="B46" t="s">
        <v>33</v>
      </c>
      <c r="C46" t="s">
        <v>214</v>
      </c>
      <c r="D46" t="s">
        <v>35</v>
      </c>
      <c r="E46" t="s">
        <v>192</v>
      </c>
      <c r="F46" t="s">
        <v>210</v>
      </c>
      <c r="G46" t="s">
        <v>28</v>
      </c>
      <c r="H46" t="s">
        <v>28</v>
      </c>
      <c r="I46" t="s">
        <v>28</v>
      </c>
      <c r="J46" t="s">
        <v>28</v>
      </c>
      <c r="K46" t="s">
        <v>29</v>
      </c>
      <c r="L46" t="s">
        <v>28</v>
      </c>
      <c r="M46" t="s">
        <v>28</v>
      </c>
      <c r="N46" t="s">
        <v>28</v>
      </c>
      <c r="O46" t="s">
        <v>215</v>
      </c>
      <c r="P46">
        <v>4850</v>
      </c>
      <c r="Q46">
        <v>0</v>
      </c>
      <c r="R46" s="5">
        <f t="shared" si="0"/>
        <v>0</v>
      </c>
      <c r="S46" s="5">
        <f t="shared" si="2"/>
        <v>4850</v>
      </c>
      <c r="T46">
        <v>0</v>
      </c>
      <c r="U46" t="s">
        <v>31</v>
      </c>
      <c r="V46" t="str">
        <f>IF(F46="","",CHOOSE(INT(MOD(MONTH(S53)-7,12)/3)+1,"Q1","Q2","Q3","Q4"))</f>
        <v>Q1</v>
      </c>
      <c r="W46" t="s">
        <v>32</v>
      </c>
    </row>
    <row r="47" spans="1:23" ht="15.75" x14ac:dyDescent="0.25">
      <c r="A47">
        <v>952</v>
      </c>
      <c r="B47" t="s">
        <v>33</v>
      </c>
      <c r="C47" t="s">
        <v>222</v>
      </c>
      <c r="D47" t="s">
        <v>35</v>
      </c>
      <c r="E47" t="s">
        <v>192</v>
      </c>
      <c r="F47" t="s">
        <v>210</v>
      </c>
      <c r="G47" t="s">
        <v>28</v>
      </c>
      <c r="H47" t="s">
        <v>28</v>
      </c>
      <c r="I47" t="s">
        <v>28</v>
      </c>
      <c r="J47" t="s">
        <v>28</v>
      </c>
      <c r="K47" t="s">
        <v>29</v>
      </c>
      <c r="L47" t="s">
        <v>28</v>
      </c>
      <c r="M47" t="s">
        <v>28</v>
      </c>
      <c r="N47" t="s">
        <v>28</v>
      </c>
      <c r="O47" t="s">
        <v>223</v>
      </c>
      <c r="P47">
        <v>4490</v>
      </c>
      <c r="Q47">
        <v>0</v>
      </c>
      <c r="R47" s="5">
        <f t="shared" si="0"/>
        <v>0</v>
      </c>
      <c r="S47" s="5">
        <f t="shared" si="2"/>
        <v>4490</v>
      </c>
      <c r="T47">
        <v>0</v>
      </c>
      <c r="U47" t="s">
        <v>31</v>
      </c>
      <c r="V47" t="str">
        <f>IF(F47="","",CHOOSE(INT(MOD(MONTH(S54)-7,12)/3)+1,"Q1","Q2","Q3","Q4"))</f>
        <v>Q3</v>
      </c>
      <c r="W47" t="s">
        <v>32</v>
      </c>
    </row>
    <row r="48" spans="1:23" ht="22.5" customHeight="1" x14ac:dyDescent="0.25">
      <c r="A48">
        <v>964</v>
      </c>
      <c r="B48" t="s">
        <v>33</v>
      </c>
      <c r="C48" s="1" t="s">
        <v>224</v>
      </c>
      <c r="D48" s="2" t="s">
        <v>35</v>
      </c>
      <c r="E48" s="2" t="s">
        <v>36</v>
      </c>
      <c r="F48" s="2" t="s">
        <v>225</v>
      </c>
      <c r="G48" s="2" t="s">
        <v>28</v>
      </c>
      <c r="H48" s="2" t="s">
        <v>28</v>
      </c>
      <c r="I48" s="2" t="s">
        <v>28</v>
      </c>
      <c r="J48" s="2" t="s">
        <v>28</v>
      </c>
      <c r="K48" s="2" t="s">
        <v>29</v>
      </c>
      <c r="L48" s="2" t="s">
        <v>28</v>
      </c>
      <c r="M48" s="2" t="s">
        <v>28</v>
      </c>
      <c r="N48" s="2" t="s">
        <v>28</v>
      </c>
      <c r="O48" s="2" t="s">
        <v>226</v>
      </c>
      <c r="P48" s="2">
        <v>287550</v>
      </c>
      <c r="Q48" s="2">
        <v>0</v>
      </c>
      <c r="R48" s="5">
        <f t="shared" si="0"/>
        <v>0</v>
      </c>
      <c r="S48" s="5">
        <f t="shared" si="2"/>
        <v>287550</v>
      </c>
      <c r="T48" s="2">
        <v>0</v>
      </c>
      <c r="U48" s="2" t="s">
        <v>31</v>
      </c>
      <c r="V48" s="2" t="str">
        <f>IF(F48="","",CHOOSE(INT(MOD(MONTH(S55)-7,12)/3)+1,"Q1","Q2","Q3","Q4"))</f>
        <v>Q3</v>
      </c>
      <c r="W48" s="3" t="s">
        <v>227</v>
      </c>
    </row>
    <row r="49" spans="1:23" ht="22.5" customHeight="1" x14ac:dyDescent="0.25">
      <c r="A49">
        <v>1009</v>
      </c>
      <c r="B49" t="s">
        <v>33</v>
      </c>
      <c r="C49" s="4" t="s">
        <v>235</v>
      </c>
      <c r="D49" s="5" t="s">
        <v>35</v>
      </c>
      <c r="E49" s="5" t="s">
        <v>236</v>
      </c>
      <c r="F49" s="5" t="s">
        <v>237</v>
      </c>
      <c r="G49" s="5" t="s">
        <v>28</v>
      </c>
      <c r="H49" s="5" t="s">
        <v>28</v>
      </c>
      <c r="I49" s="5" t="s">
        <v>28</v>
      </c>
      <c r="J49" s="5" t="s">
        <v>28</v>
      </c>
      <c r="K49" s="5" t="s">
        <v>29</v>
      </c>
      <c r="L49" s="5" t="s">
        <v>28</v>
      </c>
      <c r="M49" s="5" t="s">
        <v>28</v>
      </c>
      <c r="N49" s="5" t="s">
        <v>28</v>
      </c>
      <c r="O49" s="5" t="s">
        <v>238</v>
      </c>
      <c r="P49" s="5">
        <v>3400</v>
      </c>
      <c r="Q49" s="5">
        <v>0</v>
      </c>
      <c r="R49" s="5">
        <f t="shared" si="0"/>
        <v>0</v>
      </c>
      <c r="S49" s="5">
        <f t="shared" si="2"/>
        <v>3400</v>
      </c>
      <c r="T49" s="5">
        <v>0</v>
      </c>
      <c r="U49" s="5" t="s">
        <v>31</v>
      </c>
      <c r="V49" s="5" t="str">
        <f>IF(F49="","",CHOOSE(INT(MOD(MONTH(S56)-7,12)/3)+1,"Q1","Q2","Q3","Q4"))</f>
        <v>Q1</v>
      </c>
      <c r="W49" s="6" t="s">
        <v>227</v>
      </c>
    </row>
    <row r="50" spans="1:23" ht="15.75" x14ac:dyDescent="0.25">
      <c r="A50">
        <v>1028</v>
      </c>
      <c r="B50" t="s">
        <v>33</v>
      </c>
      <c r="C50" t="s">
        <v>241</v>
      </c>
      <c r="D50" t="s">
        <v>35</v>
      </c>
      <c r="E50" t="s">
        <v>36</v>
      </c>
      <c r="F50" t="s">
        <v>237</v>
      </c>
      <c r="G50" t="s">
        <v>28</v>
      </c>
      <c r="H50" t="s">
        <v>28</v>
      </c>
      <c r="I50" t="s">
        <v>28</v>
      </c>
      <c r="J50" t="s">
        <v>28</v>
      </c>
      <c r="K50" t="s">
        <v>29</v>
      </c>
      <c r="L50" t="s">
        <v>28</v>
      </c>
      <c r="M50" t="s">
        <v>28</v>
      </c>
      <c r="N50" t="s">
        <v>28</v>
      </c>
      <c r="O50" t="s">
        <v>242</v>
      </c>
      <c r="P50">
        <v>26220</v>
      </c>
      <c r="Q50">
        <v>0</v>
      </c>
      <c r="R50" s="5">
        <f t="shared" si="0"/>
        <v>0</v>
      </c>
      <c r="S50" s="5">
        <f t="shared" si="2"/>
        <v>26220</v>
      </c>
      <c r="T50">
        <v>0</v>
      </c>
      <c r="U50" t="s">
        <v>31</v>
      </c>
      <c r="V50" t="str">
        <f>IF(F50="","",CHOOSE(INT(MOD(MONTH(S57)-7,12)/3)+1,"Q1","Q2","Q3","Q4"))</f>
        <v>Q3</v>
      </c>
      <c r="W50" t="s">
        <v>227</v>
      </c>
    </row>
    <row r="51" spans="1:23" ht="22.5" customHeight="1" x14ac:dyDescent="0.25">
      <c r="A51">
        <v>1062</v>
      </c>
      <c r="B51" t="s">
        <v>33</v>
      </c>
      <c r="C51" s="10" t="s">
        <v>248</v>
      </c>
      <c r="D51" s="11" t="s">
        <v>35</v>
      </c>
      <c r="E51" s="11" t="s">
        <v>192</v>
      </c>
      <c r="F51" s="11" t="s">
        <v>249</v>
      </c>
      <c r="G51" s="11" t="s">
        <v>28</v>
      </c>
      <c r="H51" s="11" t="s">
        <v>28</v>
      </c>
      <c r="I51" s="11" t="s">
        <v>28</v>
      </c>
      <c r="J51" s="11" t="s">
        <v>28</v>
      </c>
      <c r="K51" s="11" t="s">
        <v>29</v>
      </c>
      <c r="L51" s="11" t="s">
        <v>28</v>
      </c>
      <c r="M51" s="11" t="s">
        <v>28</v>
      </c>
      <c r="N51" s="11" t="s">
        <v>28</v>
      </c>
      <c r="O51" s="11" t="s">
        <v>250</v>
      </c>
      <c r="P51" s="11">
        <v>5940</v>
      </c>
      <c r="Q51" s="11">
        <v>0</v>
      </c>
      <c r="R51" s="5">
        <f t="shared" si="0"/>
        <v>0</v>
      </c>
      <c r="S51" s="5">
        <f t="shared" si="2"/>
        <v>5940</v>
      </c>
      <c r="T51" s="11">
        <v>0</v>
      </c>
      <c r="U51" s="11" t="s">
        <v>31</v>
      </c>
      <c r="V51" s="11" t="str">
        <f>IF(F51="","",CHOOSE(INT(MOD(MONTH(S58)-7,12)/3)+1,"Q1","Q2","Q3","Q4"))</f>
        <v>Q4</v>
      </c>
      <c r="W51" s="12" t="s">
        <v>227</v>
      </c>
    </row>
    <row r="52" spans="1:23" ht="15.75" x14ac:dyDescent="0.25">
      <c r="A52">
        <v>1071</v>
      </c>
      <c r="B52" t="s">
        <v>33</v>
      </c>
      <c r="C52" t="s">
        <v>256</v>
      </c>
      <c r="D52" t="s">
        <v>35</v>
      </c>
      <c r="E52" t="s">
        <v>192</v>
      </c>
      <c r="F52" t="s">
        <v>257</v>
      </c>
      <c r="G52" t="s">
        <v>28</v>
      </c>
      <c r="H52" t="s">
        <v>28</v>
      </c>
      <c r="I52" t="s">
        <v>28</v>
      </c>
      <c r="J52" t="s">
        <v>28</v>
      </c>
      <c r="K52" t="s">
        <v>29</v>
      </c>
      <c r="L52" t="s">
        <v>28</v>
      </c>
      <c r="M52" t="s">
        <v>28</v>
      </c>
      <c r="N52" t="s">
        <v>28</v>
      </c>
      <c r="O52" t="s">
        <v>258</v>
      </c>
      <c r="P52">
        <v>10150</v>
      </c>
      <c r="Q52">
        <v>0</v>
      </c>
      <c r="R52" s="5">
        <f t="shared" si="0"/>
        <v>0</v>
      </c>
      <c r="S52" s="5">
        <f t="shared" si="2"/>
        <v>10150</v>
      </c>
      <c r="T52">
        <v>0</v>
      </c>
      <c r="U52" t="s">
        <v>31</v>
      </c>
      <c r="V52" t="str">
        <f>IF(F52="","",CHOOSE(INT(MOD(MONTH(S59)-7,12)/3)+1,"Q1","Q2","Q3","Q4"))</f>
        <v>Q3</v>
      </c>
      <c r="W52" t="s">
        <v>227</v>
      </c>
    </row>
    <row r="53" spans="1:23" ht="22.5" customHeight="1" x14ac:dyDescent="0.25">
      <c r="A53">
        <v>1120</v>
      </c>
      <c r="B53" t="s">
        <v>33</v>
      </c>
      <c r="C53" s="1" t="s">
        <v>350</v>
      </c>
      <c r="D53" s="2" t="s">
        <v>35</v>
      </c>
      <c r="E53" s="2" t="s">
        <v>36</v>
      </c>
      <c r="F53" s="2" t="s">
        <v>351</v>
      </c>
      <c r="G53" s="2" t="s">
        <v>28</v>
      </c>
      <c r="H53" s="2" t="s">
        <v>352</v>
      </c>
      <c r="I53" s="2" t="s">
        <v>28</v>
      </c>
      <c r="J53" s="2" t="s">
        <v>28</v>
      </c>
      <c r="K53" s="2" t="s">
        <v>29</v>
      </c>
      <c r="L53" s="2" t="s">
        <v>28</v>
      </c>
      <c r="M53" s="2" t="s">
        <v>28</v>
      </c>
      <c r="N53" s="2" t="s">
        <v>28</v>
      </c>
      <c r="O53" s="2" t="s">
        <v>353</v>
      </c>
      <c r="P53" s="2">
        <v>53808</v>
      </c>
      <c r="Q53" s="2">
        <v>0.18</v>
      </c>
      <c r="R53" s="5">
        <f t="shared" si="0"/>
        <v>96.854399999999998</v>
      </c>
      <c r="S53" s="5">
        <f t="shared" si="2"/>
        <v>53904.854399999997</v>
      </c>
      <c r="T53" s="2">
        <v>45600</v>
      </c>
      <c r="U53" s="2" t="s">
        <v>327</v>
      </c>
      <c r="V53" s="2" t="str">
        <f>IF(F53="","",CHOOSE(INT(MOD(MONTH(S60)-7,12)/3)+1,"Q1","Q2","Q3","Q4"))</f>
        <v>Q1</v>
      </c>
      <c r="W53" s="3" t="s">
        <v>227</v>
      </c>
    </row>
    <row r="54" spans="1:23" ht="22.5" customHeight="1" x14ac:dyDescent="0.25">
      <c r="A54">
        <v>1085</v>
      </c>
      <c r="B54" t="s">
        <v>33</v>
      </c>
      <c r="C54" s="7" t="s">
        <v>279</v>
      </c>
      <c r="D54" s="8" t="s">
        <v>35</v>
      </c>
      <c r="E54" s="8" t="s">
        <v>233</v>
      </c>
      <c r="F54" s="8" t="s">
        <v>280</v>
      </c>
      <c r="G54" s="8" t="s">
        <v>28</v>
      </c>
      <c r="H54" s="8" t="s">
        <v>28</v>
      </c>
      <c r="I54" s="8" t="s">
        <v>28</v>
      </c>
      <c r="J54" s="8" t="s">
        <v>28</v>
      </c>
      <c r="K54" s="8" t="s">
        <v>29</v>
      </c>
      <c r="L54" s="8" t="s">
        <v>28</v>
      </c>
      <c r="M54" s="8" t="s">
        <v>28</v>
      </c>
      <c r="N54" s="8" t="s">
        <v>28</v>
      </c>
      <c r="O54" s="8" t="s">
        <v>281</v>
      </c>
      <c r="P54" s="8">
        <v>4098</v>
      </c>
      <c r="Q54" s="8">
        <v>0</v>
      </c>
      <c r="R54" s="5">
        <f t="shared" si="0"/>
        <v>0</v>
      </c>
      <c r="S54" s="5">
        <f t="shared" si="2"/>
        <v>4098</v>
      </c>
      <c r="T54" s="8">
        <v>0</v>
      </c>
      <c r="U54" s="8" t="s">
        <v>31</v>
      </c>
      <c r="V54" s="8" t="str">
        <f>IF(F54="","",CHOOSE(INT(MOD(MONTH(S61)-7,12)/3)+1,"Q1","Q2","Q3","Q4"))</f>
        <v>Q2</v>
      </c>
      <c r="W54" s="9" t="s">
        <v>227</v>
      </c>
    </row>
    <row r="55" spans="1:23" ht="22.5" customHeight="1" x14ac:dyDescent="0.25">
      <c r="A55">
        <v>1087</v>
      </c>
      <c r="B55" t="s">
        <v>33</v>
      </c>
      <c r="C55" s="7" t="s">
        <v>282</v>
      </c>
      <c r="D55" s="8" t="s">
        <v>35</v>
      </c>
      <c r="E55" s="8" t="s">
        <v>36</v>
      </c>
      <c r="F55" s="8" t="s">
        <v>283</v>
      </c>
      <c r="G55" s="8" t="s">
        <v>28</v>
      </c>
      <c r="H55" s="8" t="s">
        <v>28</v>
      </c>
      <c r="I55" s="8" t="s">
        <v>28</v>
      </c>
      <c r="J55" s="8" t="s">
        <v>28</v>
      </c>
      <c r="K55" s="8" t="s">
        <v>29</v>
      </c>
      <c r="L55" s="8" t="s">
        <v>28</v>
      </c>
      <c r="M55" s="8" t="s">
        <v>28</v>
      </c>
      <c r="N55" s="8" t="s">
        <v>28</v>
      </c>
      <c r="O55" s="8" t="s">
        <v>284</v>
      </c>
      <c r="P55" s="8">
        <v>107060</v>
      </c>
      <c r="Q55" s="8">
        <v>0</v>
      </c>
      <c r="R55" s="5">
        <f t="shared" si="0"/>
        <v>0</v>
      </c>
      <c r="S55" s="5">
        <f t="shared" si="2"/>
        <v>107060</v>
      </c>
      <c r="T55" s="8">
        <v>0</v>
      </c>
      <c r="U55" s="8" t="s">
        <v>31</v>
      </c>
      <c r="V55" s="8" t="str">
        <f>IF(F55="","",CHOOSE(INT(MOD(MONTH(S62)-7,12)/3)+1,"Q1","Q2","Q3","Q4"))</f>
        <v>Q4</v>
      </c>
      <c r="W55" s="9" t="s">
        <v>227</v>
      </c>
    </row>
    <row r="56" spans="1:23" ht="22.5" customHeight="1" x14ac:dyDescent="0.25">
      <c r="A56">
        <v>1076</v>
      </c>
      <c r="B56" t="s">
        <v>33</v>
      </c>
      <c r="C56" s="4" t="s">
        <v>263</v>
      </c>
      <c r="D56" s="5" t="s">
        <v>35</v>
      </c>
      <c r="E56" s="5" t="s">
        <v>50</v>
      </c>
      <c r="F56" s="5" t="s">
        <v>264</v>
      </c>
      <c r="G56" s="5" t="s">
        <v>28</v>
      </c>
      <c r="H56" s="5" t="s">
        <v>28</v>
      </c>
      <c r="I56" s="5" t="s">
        <v>28</v>
      </c>
      <c r="J56" s="5" t="s">
        <v>28</v>
      </c>
      <c r="K56" s="5" t="s">
        <v>29</v>
      </c>
      <c r="L56" s="5" t="s">
        <v>28</v>
      </c>
      <c r="M56" s="5" t="s">
        <v>28</v>
      </c>
      <c r="N56" s="5" t="s">
        <v>28</v>
      </c>
      <c r="O56" s="5" t="s">
        <v>265</v>
      </c>
      <c r="P56" s="5">
        <v>80252.5</v>
      </c>
      <c r="Q56" s="5">
        <v>0</v>
      </c>
      <c r="R56" s="5">
        <f t="shared" si="0"/>
        <v>0</v>
      </c>
      <c r="S56" s="5">
        <f t="shared" si="2"/>
        <v>80252.5</v>
      </c>
      <c r="T56" s="5">
        <v>0</v>
      </c>
      <c r="U56" s="5" t="s">
        <v>31</v>
      </c>
      <c r="V56" s="5" t="str">
        <f>IF(F56="","",CHOOSE(INT(MOD(MONTH(S63)-7,12)/3)+1,"Q1","Q2","Q3","Q4"))</f>
        <v>Q3</v>
      </c>
      <c r="W56" s="6" t="s">
        <v>227</v>
      </c>
    </row>
    <row r="57" spans="1:23" ht="15.75" x14ac:dyDescent="0.25">
      <c r="A57">
        <v>1092</v>
      </c>
      <c r="B57" t="s">
        <v>33</v>
      </c>
      <c r="C57" t="s">
        <v>290</v>
      </c>
      <c r="D57" t="s">
        <v>35</v>
      </c>
      <c r="E57" t="s">
        <v>291</v>
      </c>
      <c r="F57" t="s">
        <v>283</v>
      </c>
      <c r="G57" t="s">
        <v>28</v>
      </c>
      <c r="H57" t="s">
        <v>28</v>
      </c>
      <c r="I57" t="s">
        <v>28</v>
      </c>
      <c r="J57" t="s">
        <v>28</v>
      </c>
      <c r="K57" t="s">
        <v>29</v>
      </c>
      <c r="L57" t="s">
        <v>28</v>
      </c>
      <c r="M57" t="s">
        <v>28</v>
      </c>
      <c r="N57" t="s">
        <v>28</v>
      </c>
      <c r="O57" t="s">
        <v>292</v>
      </c>
      <c r="P57">
        <v>30340</v>
      </c>
      <c r="Q57">
        <v>0</v>
      </c>
      <c r="R57" s="5">
        <f t="shared" si="0"/>
        <v>0</v>
      </c>
      <c r="S57" s="5">
        <f t="shared" si="2"/>
        <v>30340</v>
      </c>
      <c r="T57">
        <v>0</v>
      </c>
      <c r="U57" t="s">
        <v>31</v>
      </c>
      <c r="V57" t="str">
        <f>IF(F57="","",CHOOSE(INT(MOD(MONTH(S64)-7,12)/3)+1,"Q1","Q2","Q3","Q4"))</f>
        <v>Q4</v>
      </c>
      <c r="W57" t="s">
        <v>227</v>
      </c>
    </row>
    <row r="58" spans="1:23" ht="15.75" x14ac:dyDescent="0.25">
      <c r="A58">
        <v>1100</v>
      </c>
      <c r="B58" t="s">
        <v>33</v>
      </c>
      <c r="C58" t="s">
        <v>301</v>
      </c>
      <c r="D58" t="s">
        <v>35</v>
      </c>
      <c r="E58" t="s">
        <v>291</v>
      </c>
      <c r="F58" t="s">
        <v>283</v>
      </c>
      <c r="G58" t="s">
        <v>28</v>
      </c>
      <c r="H58" t="s">
        <v>28</v>
      </c>
      <c r="I58" t="s">
        <v>28</v>
      </c>
      <c r="J58" t="s">
        <v>28</v>
      </c>
      <c r="K58" t="s">
        <v>29</v>
      </c>
      <c r="L58" t="s">
        <v>28</v>
      </c>
      <c r="M58" t="s">
        <v>28</v>
      </c>
      <c r="N58" t="s">
        <v>28</v>
      </c>
      <c r="O58" t="s">
        <v>302</v>
      </c>
      <c r="P58">
        <v>39250</v>
      </c>
      <c r="Q58">
        <v>0</v>
      </c>
      <c r="R58" s="5">
        <f t="shared" si="0"/>
        <v>0</v>
      </c>
      <c r="S58" s="5">
        <f t="shared" si="2"/>
        <v>39250</v>
      </c>
      <c r="T58">
        <v>0</v>
      </c>
      <c r="U58" t="s">
        <v>31</v>
      </c>
      <c r="V58" t="str">
        <f>IF(F58="","",CHOOSE(INT(MOD(MONTH(S65)-7,12)/3)+1,"Q1","Q2","Q3","Q4"))</f>
        <v>Q3</v>
      </c>
      <c r="W58" t="s">
        <v>227</v>
      </c>
    </row>
    <row r="59" spans="1:23" ht="22.5" customHeight="1" x14ac:dyDescent="0.25">
      <c r="A59">
        <v>1103</v>
      </c>
      <c r="B59" t="s">
        <v>33</v>
      </c>
      <c r="C59" s="1" t="s">
        <v>309</v>
      </c>
      <c r="D59" s="2" t="s">
        <v>35</v>
      </c>
      <c r="E59" s="2" t="s">
        <v>291</v>
      </c>
      <c r="F59" s="2" t="s">
        <v>283</v>
      </c>
      <c r="G59" s="2" t="s">
        <v>28</v>
      </c>
      <c r="H59" s="2" t="s">
        <v>28</v>
      </c>
      <c r="I59" s="2" t="s">
        <v>28</v>
      </c>
      <c r="J59" s="2" t="s">
        <v>28</v>
      </c>
      <c r="K59" s="2" t="s">
        <v>29</v>
      </c>
      <c r="L59" s="2" t="s">
        <v>28</v>
      </c>
      <c r="M59" s="2" t="s">
        <v>28</v>
      </c>
      <c r="N59" s="2" t="s">
        <v>28</v>
      </c>
      <c r="O59" s="2" t="s">
        <v>310</v>
      </c>
      <c r="P59" s="2">
        <v>4825</v>
      </c>
      <c r="Q59" s="2">
        <v>0</v>
      </c>
      <c r="R59" s="5">
        <f t="shared" si="0"/>
        <v>0</v>
      </c>
      <c r="S59" s="5">
        <f t="shared" si="2"/>
        <v>4825</v>
      </c>
      <c r="T59" s="2">
        <v>0</v>
      </c>
      <c r="U59" s="2" t="s">
        <v>31</v>
      </c>
      <c r="V59" s="2" t="str">
        <f>IF(F59="","",CHOOSE(INT(MOD(MONTH(S66)-7,12)/3)+1,"Q1","Q2","Q3","Q4"))</f>
        <v>Q2</v>
      </c>
      <c r="W59" s="3" t="s">
        <v>227</v>
      </c>
    </row>
    <row r="60" spans="1:23" ht="22.5" customHeight="1" x14ac:dyDescent="0.25">
      <c r="A60">
        <v>1105</v>
      </c>
      <c r="B60" t="s">
        <v>33</v>
      </c>
      <c r="C60" s="7" t="s">
        <v>313</v>
      </c>
      <c r="D60" s="8" t="s">
        <v>35</v>
      </c>
      <c r="E60" s="8" t="s">
        <v>291</v>
      </c>
      <c r="F60" s="8" t="s">
        <v>283</v>
      </c>
      <c r="G60" s="8" t="s">
        <v>28</v>
      </c>
      <c r="H60" s="8" t="s">
        <v>28</v>
      </c>
      <c r="I60" s="8" t="s">
        <v>28</v>
      </c>
      <c r="J60" s="8" t="s">
        <v>28</v>
      </c>
      <c r="K60" s="8" t="s">
        <v>29</v>
      </c>
      <c r="L60" s="8" t="s">
        <v>28</v>
      </c>
      <c r="M60" s="8" t="s">
        <v>28</v>
      </c>
      <c r="N60" s="8" t="s">
        <v>28</v>
      </c>
      <c r="O60" s="8" t="s">
        <v>314</v>
      </c>
      <c r="P60" s="8">
        <v>2772</v>
      </c>
      <c r="Q60" s="8">
        <v>0</v>
      </c>
      <c r="R60" s="5">
        <f t="shared" si="0"/>
        <v>0</v>
      </c>
      <c r="S60" s="5">
        <f t="shared" si="2"/>
        <v>2772</v>
      </c>
      <c r="T60" s="8">
        <v>0</v>
      </c>
      <c r="U60" s="8" t="s">
        <v>31</v>
      </c>
      <c r="V60" s="8" t="str">
        <f>IF(F60="","",CHOOSE(INT(MOD(MONTH(S67)-7,12)/3)+1,"Q1","Q2","Q3","Q4"))</f>
        <v>Q4</v>
      </c>
      <c r="W60" s="9" t="s">
        <v>227</v>
      </c>
    </row>
    <row r="61" spans="1:23" ht="22.5" customHeight="1" x14ac:dyDescent="0.25">
      <c r="A61">
        <v>1108</v>
      </c>
      <c r="B61" t="s">
        <v>33</v>
      </c>
      <c r="C61" s="7" t="s">
        <v>320</v>
      </c>
      <c r="D61" s="8" t="s">
        <v>35</v>
      </c>
      <c r="E61" s="8" t="s">
        <v>321</v>
      </c>
      <c r="F61" s="8" t="s">
        <v>322</v>
      </c>
      <c r="G61" s="8" t="s">
        <v>28</v>
      </c>
      <c r="H61" s="8" t="s">
        <v>323</v>
      </c>
      <c r="I61" s="8" t="s">
        <v>324</v>
      </c>
      <c r="J61" s="8" t="s">
        <v>325</v>
      </c>
      <c r="K61" s="8" t="s">
        <v>29</v>
      </c>
      <c r="L61" s="8" t="s">
        <v>28</v>
      </c>
      <c r="M61" s="8" t="s">
        <v>28</v>
      </c>
      <c r="N61" s="8" t="s">
        <v>28</v>
      </c>
      <c r="O61" s="8" t="s">
        <v>326</v>
      </c>
      <c r="P61" s="8">
        <v>62460.35</v>
      </c>
      <c r="Q61" s="8">
        <v>18</v>
      </c>
      <c r="R61" s="5">
        <f>P61/100*Q61</f>
        <v>11242.862999999999</v>
      </c>
      <c r="S61" s="5">
        <f t="shared" si="2"/>
        <v>73703.213000000003</v>
      </c>
      <c r="T61" s="8">
        <v>52932.5</v>
      </c>
      <c r="U61" s="8" t="s">
        <v>327</v>
      </c>
      <c r="V61" s="8" t="str">
        <f>IF(F61="","",CHOOSE(INT(MOD(MONTH(S68)-7,12)/3)+1,"Q1","Q2","Q3","Q4"))</f>
        <v>Q4</v>
      </c>
      <c r="W61" s="9" t="s">
        <v>227</v>
      </c>
    </row>
    <row r="62" spans="1:23" ht="22.5" customHeight="1" x14ac:dyDescent="0.25">
      <c r="A62">
        <v>1111</v>
      </c>
      <c r="B62" t="s">
        <v>33</v>
      </c>
      <c r="C62" s="4" t="s">
        <v>332</v>
      </c>
      <c r="D62" s="5" t="s">
        <v>35</v>
      </c>
      <c r="E62" s="5" t="s">
        <v>321</v>
      </c>
      <c r="F62" s="5" t="s">
        <v>322</v>
      </c>
      <c r="G62" s="5" t="s">
        <v>28</v>
      </c>
      <c r="H62" s="5" t="s">
        <v>322</v>
      </c>
      <c r="I62" s="5" t="s">
        <v>324</v>
      </c>
      <c r="J62" s="5" t="s">
        <v>325</v>
      </c>
      <c r="K62" s="5" t="s">
        <v>29</v>
      </c>
      <c r="L62" s="5" t="s">
        <v>28</v>
      </c>
      <c r="M62" s="5" t="s">
        <v>28</v>
      </c>
      <c r="N62" s="5" t="s">
        <v>28</v>
      </c>
      <c r="O62" s="5" t="s">
        <v>333</v>
      </c>
      <c r="P62" s="5">
        <v>6950.2</v>
      </c>
      <c r="Q62" s="8">
        <v>18</v>
      </c>
      <c r="R62" s="5">
        <f t="shared" ref="R62:R125" si="3">P62/100*Q62</f>
        <v>1251.0359999999998</v>
      </c>
      <c r="S62" s="5">
        <f t="shared" si="2"/>
        <v>8201.235999999999</v>
      </c>
      <c r="T62" s="5">
        <v>5890</v>
      </c>
      <c r="U62" s="5" t="s">
        <v>327</v>
      </c>
      <c r="V62" s="5" t="str">
        <f>IF(F62="","",CHOOSE(INT(MOD(MONTH(S69)-7,12)/3)+1,"Q1","Q2","Q3","Q4"))</f>
        <v>Q1</v>
      </c>
      <c r="W62" s="6" t="s">
        <v>227</v>
      </c>
    </row>
    <row r="63" spans="1:23" ht="15.75" x14ac:dyDescent="0.25">
      <c r="A63">
        <v>1118</v>
      </c>
      <c r="B63" t="s">
        <v>33</v>
      </c>
      <c r="C63" t="s">
        <v>347</v>
      </c>
      <c r="D63" t="s">
        <v>35</v>
      </c>
      <c r="E63" t="s">
        <v>321</v>
      </c>
      <c r="F63" t="s">
        <v>339</v>
      </c>
      <c r="G63" t="s">
        <v>28</v>
      </c>
      <c r="H63" t="s">
        <v>340</v>
      </c>
      <c r="I63" t="s">
        <v>28</v>
      </c>
      <c r="J63" t="s">
        <v>28</v>
      </c>
      <c r="K63" t="s">
        <v>29</v>
      </c>
      <c r="L63" t="s">
        <v>28</v>
      </c>
      <c r="M63" t="s">
        <v>28</v>
      </c>
      <c r="N63" t="s">
        <v>28</v>
      </c>
      <c r="O63" t="s">
        <v>348</v>
      </c>
      <c r="P63">
        <v>69389.899999999994</v>
      </c>
      <c r="Q63" s="8">
        <v>18</v>
      </c>
      <c r="R63" s="5">
        <f t="shared" si="3"/>
        <v>12490.181999999997</v>
      </c>
      <c r="S63" s="5">
        <f t="shared" si="2"/>
        <v>81880.081999999995</v>
      </c>
      <c r="T63">
        <v>18805</v>
      </c>
      <c r="U63" t="s">
        <v>327</v>
      </c>
      <c r="V63" t="str">
        <f>IF(F63="","",CHOOSE(INT(MOD(MONTH(S70)-7,12)/3)+1,"Q1","Q2","Q3","Q4"))</f>
        <v>Q1</v>
      </c>
      <c r="W63" t="s">
        <v>227</v>
      </c>
    </row>
    <row r="64" spans="1:23" ht="22.5" customHeight="1" x14ac:dyDescent="0.25">
      <c r="A64">
        <v>1114</v>
      </c>
      <c r="B64" t="s">
        <v>33</v>
      </c>
      <c r="C64" s="1" t="s">
        <v>338</v>
      </c>
      <c r="D64" s="2" t="s">
        <v>35</v>
      </c>
      <c r="E64" s="2" t="s">
        <v>321</v>
      </c>
      <c r="F64" s="2" t="s">
        <v>339</v>
      </c>
      <c r="G64" s="2" t="s">
        <v>28</v>
      </c>
      <c r="H64" s="2" t="s">
        <v>340</v>
      </c>
      <c r="I64" s="2" t="s">
        <v>28</v>
      </c>
      <c r="J64" s="2" t="s">
        <v>28</v>
      </c>
      <c r="K64" s="2" t="s">
        <v>29</v>
      </c>
      <c r="L64" s="2" t="s">
        <v>28</v>
      </c>
      <c r="M64" s="2" t="s">
        <v>28</v>
      </c>
      <c r="N64" s="2" t="s">
        <v>28</v>
      </c>
      <c r="O64" s="2" t="s">
        <v>341</v>
      </c>
      <c r="P64" s="2">
        <v>20850.599999999999</v>
      </c>
      <c r="Q64" s="8">
        <v>18</v>
      </c>
      <c r="R64" s="5">
        <f t="shared" si="3"/>
        <v>3753.1079999999993</v>
      </c>
      <c r="S64" s="5">
        <f t="shared" si="2"/>
        <v>24603.707999999999</v>
      </c>
      <c r="T64" s="2">
        <v>17670</v>
      </c>
      <c r="U64" s="2" t="s">
        <v>327</v>
      </c>
      <c r="V64" s="2" t="str">
        <f>IF(F64="","",CHOOSE(INT(MOD(MONTH(S71)-7,12)/3)+1,"Q1","Q2","Q3","Q4"))</f>
        <v>Q1</v>
      </c>
      <c r="W64" s="3" t="s">
        <v>227</v>
      </c>
    </row>
    <row r="65" spans="1:23" ht="22.5" customHeight="1" x14ac:dyDescent="0.25">
      <c r="A65">
        <v>1136</v>
      </c>
      <c r="B65" t="s">
        <v>33</v>
      </c>
      <c r="C65" s="4" t="s">
        <v>393</v>
      </c>
      <c r="D65" s="5" t="s">
        <v>35</v>
      </c>
      <c r="E65" s="5" t="s">
        <v>321</v>
      </c>
      <c r="F65" s="5" t="s">
        <v>364</v>
      </c>
      <c r="G65" s="5" t="s">
        <v>28</v>
      </c>
      <c r="H65" s="5" t="s">
        <v>364</v>
      </c>
      <c r="I65" s="5" t="s">
        <v>28</v>
      </c>
      <c r="J65" s="5" t="s">
        <v>28</v>
      </c>
      <c r="K65" s="5" t="s">
        <v>29</v>
      </c>
      <c r="L65" s="5" t="s">
        <v>28</v>
      </c>
      <c r="M65" s="5" t="s">
        <v>28</v>
      </c>
      <c r="N65" s="5" t="s">
        <v>28</v>
      </c>
      <c r="O65" s="5" t="s">
        <v>394</v>
      </c>
      <c r="P65" s="5">
        <v>269040</v>
      </c>
      <c r="Q65" s="8">
        <v>18</v>
      </c>
      <c r="R65" s="5">
        <f t="shared" si="3"/>
        <v>48427.200000000004</v>
      </c>
      <c r="S65" s="5">
        <f t="shared" si="2"/>
        <v>317467.2</v>
      </c>
      <c r="T65" s="5">
        <v>228000</v>
      </c>
      <c r="U65" s="5" t="s">
        <v>327</v>
      </c>
      <c r="V65" s="5" t="str">
        <f>IF(F65="","",CHOOSE(INT(MOD(MONTH(S72)-7,12)/3)+1,"Q1","Q2","Q3","Q4"))</f>
        <v>Q1</v>
      </c>
      <c r="W65" s="6" t="s">
        <v>227</v>
      </c>
    </row>
    <row r="66" spans="1:23" ht="15.75" x14ac:dyDescent="0.25">
      <c r="A66">
        <v>1130</v>
      </c>
      <c r="B66" t="s">
        <v>33</v>
      </c>
      <c r="C66" t="s">
        <v>375</v>
      </c>
      <c r="D66" t="s">
        <v>35</v>
      </c>
      <c r="E66" t="s">
        <v>363</v>
      </c>
      <c r="F66" t="s">
        <v>351</v>
      </c>
      <c r="G66" t="s">
        <v>28</v>
      </c>
      <c r="H66" t="s">
        <v>376</v>
      </c>
      <c r="I66" t="s">
        <v>28</v>
      </c>
      <c r="J66" t="s">
        <v>28</v>
      </c>
      <c r="K66" t="s">
        <v>29</v>
      </c>
      <c r="L66" t="s">
        <v>28</v>
      </c>
      <c r="M66" t="s">
        <v>28</v>
      </c>
      <c r="N66" t="s">
        <v>28</v>
      </c>
      <c r="O66" t="s">
        <v>377</v>
      </c>
      <c r="P66">
        <v>4277.5</v>
      </c>
      <c r="Q66" s="8">
        <v>18</v>
      </c>
      <c r="R66" s="5">
        <f t="shared" si="3"/>
        <v>769.94999999999993</v>
      </c>
      <c r="S66" s="5">
        <f t="shared" si="2"/>
        <v>5047.45</v>
      </c>
      <c r="T66">
        <v>3625</v>
      </c>
      <c r="U66" t="s">
        <v>327</v>
      </c>
      <c r="V66" t="str">
        <f>IF(F66="","",CHOOSE(INT(MOD(MONTH(S73)-7,12)/3)+1,"Q1","Q2","Q3","Q4"))</f>
        <v>Q1</v>
      </c>
      <c r="W66" t="s">
        <v>227</v>
      </c>
    </row>
    <row r="67" spans="1:23" ht="15.75" x14ac:dyDescent="0.25">
      <c r="A67">
        <v>1138</v>
      </c>
      <c r="B67" t="s">
        <v>33</v>
      </c>
      <c r="C67" t="s">
        <v>397</v>
      </c>
      <c r="D67" t="s">
        <v>35</v>
      </c>
      <c r="E67" t="s">
        <v>363</v>
      </c>
      <c r="F67" t="s">
        <v>351</v>
      </c>
      <c r="G67" t="s">
        <v>28</v>
      </c>
      <c r="H67" t="s">
        <v>398</v>
      </c>
      <c r="I67" t="s">
        <v>399</v>
      </c>
      <c r="J67" t="s">
        <v>325</v>
      </c>
      <c r="K67" t="s">
        <v>29</v>
      </c>
      <c r="L67" t="s">
        <v>400</v>
      </c>
      <c r="M67" t="s">
        <v>28</v>
      </c>
      <c r="N67" t="s">
        <v>28</v>
      </c>
      <c r="O67" t="s">
        <v>401</v>
      </c>
      <c r="P67">
        <v>2920.5</v>
      </c>
      <c r="Q67" s="8">
        <v>18</v>
      </c>
      <c r="R67" s="5">
        <f t="shared" si="3"/>
        <v>525.68999999999994</v>
      </c>
      <c r="S67" s="5">
        <f t="shared" ref="S67:S130" si="4">P67+R67</f>
        <v>3446.19</v>
      </c>
      <c r="T67">
        <v>2475</v>
      </c>
      <c r="U67" t="s">
        <v>327</v>
      </c>
      <c r="V67" t="str">
        <f>IF(F67="","",CHOOSE(INT(MOD(MONTH(S74)-7,12)/3)+1,"Q1","Q2","Q3","Q4"))</f>
        <v>Q3</v>
      </c>
      <c r="W67" t="s">
        <v>227</v>
      </c>
    </row>
    <row r="68" spans="1:23" ht="22.5" customHeight="1" x14ac:dyDescent="0.25">
      <c r="A68">
        <v>1127</v>
      </c>
      <c r="B68" t="s">
        <v>33</v>
      </c>
      <c r="C68" s="1" t="s">
        <v>368</v>
      </c>
      <c r="D68" s="2" t="s">
        <v>35</v>
      </c>
      <c r="E68" s="2" t="s">
        <v>321</v>
      </c>
      <c r="F68" s="2" t="s">
        <v>364</v>
      </c>
      <c r="G68" s="2" t="s">
        <v>28</v>
      </c>
      <c r="H68" s="2" t="s">
        <v>364</v>
      </c>
      <c r="I68" s="2" t="s">
        <v>28</v>
      </c>
      <c r="J68" s="2" t="s">
        <v>28</v>
      </c>
      <c r="K68" s="2" t="s">
        <v>29</v>
      </c>
      <c r="L68" s="2" t="s">
        <v>28</v>
      </c>
      <c r="M68" s="2" t="s">
        <v>28</v>
      </c>
      <c r="N68" s="2" t="s">
        <v>28</v>
      </c>
      <c r="O68" s="2" t="s">
        <v>369</v>
      </c>
      <c r="P68" s="2">
        <v>6950.2</v>
      </c>
      <c r="Q68" s="8">
        <v>18</v>
      </c>
      <c r="R68" s="5">
        <f t="shared" si="3"/>
        <v>1251.0359999999998</v>
      </c>
      <c r="S68" s="5">
        <f t="shared" si="4"/>
        <v>8201.235999999999</v>
      </c>
      <c r="T68" s="2">
        <v>5890</v>
      </c>
      <c r="U68" s="2" t="s">
        <v>327</v>
      </c>
      <c r="V68" s="2" t="str">
        <f>IF(F68="","",CHOOSE(INT(MOD(MONTH(S75)-7,12)/3)+1,"Q1","Q2","Q3","Q4"))</f>
        <v>Q4</v>
      </c>
      <c r="W68" s="3" t="s">
        <v>227</v>
      </c>
    </row>
    <row r="69" spans="1:23" ht="22.5" customHeight="1" x14ac:dyDescent="0.25">
      <c r="A69">
        <v>1125</v>
      </c>
      <c r="B69" t="s">
        <v>33</v>
      </c>
      <c r="C69" s="7" t="s">
        <v>362</v>
      </c>
      <c r="D69" s="8" t="s">
        <v>35</v>
      </c>
      <c r="E69" s="8" t="s">
        <v>363</v>
      </c>
      <c r="F69" s="8" t="s">
        <v>364</v>
      </c>
      <c r="G69" s="8" t="s">
        <v>28</v>
      </c>
      <c r="H69" s="8" t="s">
        <v>364</v>
      </c>
      <c r="I69" s="8" t="s">
        <v>28</v>
      </c>
      <c r="J69" s="8" t="s">
        <v>28</v>
      </c>
      <c r="K69" s="8" t="s">
        <v>29</v>
      </c>
      <c r="L69" s="8" t="s">
        <v>28</v>
      </c>
      <c r="M69" s="8" t="s">
        <v>28</v>
      </c>
      <c r="N69" s="8" t="s">
        <v>28</v>
      </c>
      <c r="O69" s="8" t="s">
        <v>365</v>
      </c>
      <c r="P69" s="8">
        <v>26192.46</v>
      </c>
      <c r="Q69" s="8">
        <v>18</v>
      </c>
      <c r="R69" s="5">
        <f t="shared" si="3"/>
        <v>4714.6427999999996</v>
      </c>
      <c r="S69" s="5">
        <f t="shared" si="4"/>
        <v>30907.102800000001</v>
      </c>
      <c r="T69" s="8">
        <v>22197</v>
      </c>
      <c r="U69" s="8" t="s">
        <v>327</v>
      </c>
      <c r="V69" s="8" t="str">
        <f>IF(F69="","",CHOOSE(INT(MOD(MONTH(S76)-7,12)/3)+1,"Q1","Q2","Q3","Q4"))</f>
        <v>Q3</v>
      </c>
      <c r="W69" s="9" t="s">
        <v>227</v>
      </c>
    </row>
    <row r="70" spans="1:23" ht="22.5" customHeight="1" x14ac:dyDescent="0.25">
      <c r="A70">
        <v>1132</v>
      </c>
      <c r="B70" t="s">
        <v>33</v>
      </c>
      <c r="C70" s="4" t="s">
        <v>381</v>
      </c>
      <c r="D70" s="5" t="s">
        <v>35</v>
      </c>
      <c r="E70" s="5" t="s">
        <v>382</v>
      </c>
      <c r="F70" s="5" t="s">
        <v>364</v>
      </c>
      <c r="G70" s="5" t="s">
        <v>28</v>
      </c>
      <c r="H70" s="5" t="s">
        <v>364</v>
      </c>
      <c r="I70" s="5" t="s">
        <v>28</v>
      </c>
      <c r="J70" s="5" t="s">
        <v>28</v>
      </c>
      <c r="K70" s="5" t="s">
        <v>29</v>
      </c>
      <c r="L70" s="5" t="s">
        <v>28</v>
      </c>
      <c r="M70" s="5" t="s">
        <v>28</v>
      </c>
      <c r="N70" s="5" t="s">
        <v>28</v>
      </c>
      <c r="O70" s="5" t="s">
        <v>383</v>
      </c>
      <c r="P70" s="5">
        <v>50371.25</v>
      </c>
      <c r="Q70" s="8">
        <v>18</v>
      </c>
      <c r="R70" s="5">
        <f t="shared" si="3"/>
        <v>9066.8249999999989</v>
      </c>
      <c r="S70" s="5">
        <f t="shared" si="4"/>
        <v>59438.074999999997</v>
      </c>
      <c r="T70" s="5">
        <v>42650</v>
      </c>
      <c r="U70" s="5" t="s">
        <v>327</v>
      </c>
      <c r="V70" s="5" t="str">
        <f>IF(F70="","",CHOOSE(INT(MOD(MONTH(S77)-7,12)/3)+1,"Q1","Q2","Q3","Q4"))</f>
        <v>Q4</v>
      </c>
      <c r="W70" s="6" t="s">
        <v>227</v>
      </c>
    </row>
    <row r="71" spans="1:23" ht="15.75" x14ac:dyDescent="0.25">
      <c r="A71">
        <v>1078</v>
      </c>
      <c r="B71" t="s">
        <v>23</v>
      </c>
      <c r="C71" t="s">
        <v>266</v>
      </c>
      <c r="D71" t="s">
        <v>40</v>
      </c>
      <c r="E71" t="s">
        <v>267</v>
      </c>
      <c r="F71" s="17" t="s">
        <v>268</v>
      </c>
      <c r="G71" t="s">
        <v>28</v>
      </c>
      <c r="H71" t="s">
        <v>28</v>
      </c>
      <c r="I71" t="s">
        <v>28</v>
      </c>
      <c r="J71" t="s">
        <v>28</v>
      </c>
      <c r="K71" t="s">
        <v>29</v>
      </c>
      <c r="L71" t="s">
        <v>28</v>
      </c>
      <c r="M71" t="s">
        <v>28</v>
      </c>
      <c r="N71" t="s">
        <v>28</v>
      </c>
      <c r="O71" t="s">
        <v>28</v>
      </c>
      <c r="P71">
        <v>15602</v>
      </c>
      <c r="Q71">
        <v>0</v>
      </c>
      <c r="R71" s="5">
        <f t="shared" si="3"/>
        <v>0</v>
      </c>
      <c r="S71" s="5">
        <f t="shared" si="4"/>
        <v>15602</v>
      </c>
      <c r="T71">
        <v>0</v>
      </c>
      <c r="U71" t="s">
        <v>31</v>
      </c>
      <c r="V71" t="str">
        <f>IF(F71="","",CHOOSE(INT(MOD(MONTH(S78)-7,12)/3)+1,"Q1","Q2","Q3","Q4"))</f>
        <v>Q3</v>
      </c>
      <c r="W71" t="s">
        <v>247</v>
      </c>
    </row>
    <row r="72" spans="1:23" ht="22.5" customHeight="1" x14ac:dyDescent="0.25">
      <c r="A72">
        <v>1070</v>
      </c>
      <c r="B72" t="s">
        <v>23</v>
      </c>
      <c r="C72" s="1" t="s">
        <v>254</v>
      </c>
      <c r="D72" s="2" t="s">
        <v>40</v>
      </c>
      <c r="E72" s="2" t="s">
        <v>213</v>
      </c>
      <c r="F72" s="13" t="s">
        <v>255</v>
      </c>
      <c r="G72" s="2" t="s">
        <v>28</v>
      </c>
      <c r="H72" s="2" t="s">
        <v>28</v>
      </c>
      <c r="I72" s="2" t="s">
        <v>28</v>
      </c>
      <c r="J72" s="2" t="s">
        <v>28</v>
      </c>
      <c r="K72" s="2" t="s">
        <v>29</v>
      </c>
      <c r="L72" s="2" t="s">
        <v>28</v>
      </c>
      <c r="M72" s="2" t="s">
        <v>28</v>
      </c>
      <c r="N72" s="2" t="s">
        <v>28</v>
      </c>
      <c r="O72" s="2" t="s">
        <v>28</v>
      </c>
      <c r="P72" s="2">
        <v>15950</v>
      </c>
      <c r="Q72" s="2">
        <v>0</v>
      </c>
      <c r="R72" s="5">
        <f t="shared" si="3"/>
        <v>0</v>
      </c>
      <c r="S72" s="5">
        <f t="shared" si="4"/>
        <v>15950</v>
      </c>
      <c r="T72" s="2">
        <v>0</v>
      </c>
      <c r="U72" s="2" t="s">
        <v>31</v>
      </c>
      <c r="V72" s="2" t="str">
        <f>IF(F72="","",CHOOSE(INT(MOD(MONTH(S79)-7,12)/3)+1,"Q1","Q2","Q3","Q4"))</f>
        <v>Q1</v>
      </c>
      <c r="W72" s="3" t="s">
        <v>247</v>
      </c>
    </row>
    <row r="73" spans="1:23" ht="22.5" customHeight="1" x14ac:dyDescent="0.25">
      <c r="A73">
        <v>1167</v>
      </c>
      <c r="B73" t="s">
        <v>23</v>
      </c>
      <c r="C73" s="7" t="s">
        <v>459</v>
      </c>
      <c r="D73" s="8" t="s">
        <v>40</v>
      </c>
      <c r="E73" s="8" t="s">
        <v>447</v>
      </c>
      <c r="F73" s="15" t="s">
        <v>460</v>
      </c>
      <c r="G73" s="8" t="s">
        <v>28</v>
      </c>
      <c r="H73" s="8" t="s">
        <v>28</v>
      </c>
      <c r="I73" s="8" t="s">
        <v>28</v>
      </c>
      <c r="J73" s="8" t="s">
        <v>28</v>
      </c>
      <c r="K73" s="8" t="s">
        <v>29</v>
      </c>
      <c r="L73" s="8" t="s">
        <v>28</v>
      </c>
      <c r="M73" s="8" t="s">
        <v>28</v>
      </c>
      <c r="N73" s="8" t="s">
        <v>28</v>
      </c>
      <c r="O73" s="8" t="s">
        <v>28</v>
      </c>
      <c r="P73" s="8">
        <v>10799.6</v>
      </c>
      <c r="Q73" s="8">
        <v>0</v>
      </c>
      <c r="R73" s="5">
        <f t="shared" si="3"/>
        <v>0</v>
      </c>
      <c r="S73" s="5">
        <f t="shared" si="4"/>
        <v>10799.6</v>
      </c>
      <c r="T73" s="8">
        <v>0</v>
      </c>
      <c r="U73" s="8" t="s">
        <v>31</v>
      </c>
      <c r="V73" s="8" t="str">
        <f>IF(F73="","",CHOOSE(INT(MOD(MONTH(S80)-7,12)/3)+1,"Q1","Q2","Q3","Q4"))</f>
        <v>Q2</v>
      </c>
      <c r="W73" s="9" t="s">
        <v>451</v>
      </c>
    </row>
    <row r="74" spans="1:23" ht="22.5" customHeight="1" x14ac:dyDescent="0.25">
      <c r="A74">
        <v>1170</v>
      </c>
      <c r="B74" t="s">
        <v>23</v>
      </c>
      <c r="C74" s="4" t="s">
        <v>466</v>
      </c>
      <c r="D74" s="5" t="s">
        <v>40</v>
      </c>
      <c r="E74" s="5" t="s">
        <v>467</v>
      </c>
      <c r="F74" s="14" t="s">
        <v>468</v>
      </c>
      <c r="G74" s="5" t="s">
        <v>28</v>
      </c>
      <c r="H74" s="5" t="s">
        <v>28</v>
      </c>
      <c r="I74" s="5" t="s">
        <v>28</v>
      </c>
      <c r="J74" s="5" t="s">
        <v>28</v>
      </c>
      <c r="K74" s="5" t="s">
        <v>29</v>
      </c>
      <c r="L74" s="5" t="s">
        <v>28</v>
      </c>
      <c r="M74" s="5" t="s">
        <v>28</v>
      </c>
      <c r="N74" s="5" t="s">
        <v>28</v>
      </c>
      <c r="O74" s="5" t="s">
        <v>28</v>
      </c>
      <c r="P74" s="5">
        <v>119082.5</v>
      </c>
      <c r="Q74" s="5">
        <v>0</v>
      </c>
      <c r="R74" s="5">
        <f t="shared" si="3"/>
        <v>0</v>
      </c>
      <c r="S74" s="5">
        <f t="shared" si="4"/>
        <v>119082.5</v>
      </c>
      <c r="T74" s="5">
        <v>0</v>
      </c>
      <c r="U74" s="5" t="s">
        <v>31</v>
      </c>
      <c r="V74" s="5" t="str">
        <f>IF(F74="","",CHOOSE(INT(MOD(MONTH(S81)-7,12)/3)+1,"Q1","Q2","Q3","Q4"))</f>
        <v>Q3</v>
      </c>
      <c r="W74" s="6" t="s">
        <v>451</v>
      </c>
    </row>
    <row r="75" spans="1:23" ht="15.75" x14ac:dyDescent="0.25">
      <c r="A75">
        <v>1208</v>
      </c>
      <c r="B75" t="s">
        <v>23</v>
      </c>
      <c r="C75" t="s">
        <v>550</v>
      </c>
      <c r="D75" t="s">
        <v>25</v>
      </c>
      <c r="E75" t="s">
        <v>551</v>
      </c>
      <c r="F75" s="17" t="s">
        <v>137</v>
      </c>
      <c r="G75" t="s">
        <v>28</v>
      </c>
      <c r="H75" t="s">
        <v>28</v>
      </c>
      <c r="I75" t="s">
        <v>28</v>
      </c>
      <c r="J75" t="s">
        <v>28</v>
      </c>
      <c r="K75" t="s">
        <v>29</v>
      </c>
      <c r="L75" t="s">
        <v>28</v>
      </c>
      <c r="M75" t="s">
        <v>28</v>
      </c>
      <c r="N75" t="s">
        <v>28</v>
      </c>
      <c r="O75" t="s">
        <v>79</v>
      </c>
      <c r="P75">
        <v>3207.1</v>
      </c>
      <c r="Q75">
        <v>18</v>
      </c>
      <c r="R75" s="5">
        <f t="shared" si="3"/>
        <v>577.27800000000002</v>
      </c>
      <c r="S75" s="5">
        <f t="shared" si="4"/>
        <v>3784.3779999999997</v>
      </c>
      <c r="T75">
        <v>0</v>
      </c>
      <c r="U75" t="s">
        <v>31</v>
      </c>
      <c r="V75" t="str">
        <f>IF(F75="","",CHOOSE(INT(MOD(MONTH(S82)-7,12)/3)+1,"Q1","Q2","Q3","Q4"))</f>
        <v>Q4</v>
      </c>
      <c r="W75" t="s">
        <v>32</v>
      </c>
    </row>
    <row r="76" spans="1:23" ht="22.5" customHeight="1" x14ac:dyDescent="0.25">
      <c r="A76">
        <v>1089</v>
      </c>
      <c r="B76" t="s">
        <v>23</v>
      </c>
      <c r="C76" s="10" t="s">
        <v>285</v>
      </c>
      <c r="D76" s="11" t="s">
        <v>40</v>
      </c>
      <c r="E76" s="11" t="s">
        <v>273</v>
      </c>
      <c r="F76" s="16" t="s">
        <v>286</v>
      </c>
      <c r="G76" s="11" t="s">
        <v>28</v>
      </c>
      <c r="H76" s="11" t="s">
        <v>28</v>
      </c>
      <c r="I76" s="11" t="s">
        <v>28</v>
      </c>
      <c r="J76" s="11" t="s">
        <v>28</v>
      </c>
      <c r="K76" s="11" t="s">
        <v>29</v>
      </c>
      <c r="L76" s="11" t="s">
        <v>28</v>
      </c>
      <c r="M76" s="11" t="s">
        <v>28</v>
      </c>
      <c r="N76" s="11" t="s">
        <v>28</v>
      </c>
      <c r="O76" s="11" t="s">
        <v>28</v>
      </c>
      <c r="P76" s="11">
        <v>82219.5</v>
      </c>
      <c r="Q76" s="11">
        <v>0</v>
      </c>
      <c r="R76" s="5">
        <f t="shared" si="3"/>
        <v>0</v>
      </c>
      <c r="S76" s="5">
        <f t="shared" si="4"/>
        <v>82219.5</v>
      </c>
      <c r="T76" s="11">
        <v>0</v>
      </c>
      <c r="U76" s="11" t="s">
        <v>31</v>
      </c>
      <c r="V76" s="11" t="str">
        <f>IF(F76="","",CHOOSE(INT(MOD(MONTH(S83)-7,12)/3)+1,"Q1","Q2","Q3","Q4"))</f>
        <v>Q3</v>
      </c>
      <c r="W76" s="12" t="s">
        <v>247</v>
      </c>
    </row>
    <row r="77" spans="1:23" ht="15.75" x14ac:dyDescent="0.25">
      <c r="A77">
        <v>1081</v>
      </c>
      <c r="B77" t="s">
        <v>23</v>
      </c>
      <c r="C77" t="s">
        <v>272</v>
      </c>
      <c r="D77" t="s">
        <v>40</v>
      </c>
      <c r="E77" t="s">
        <v>273</v>
      </c>
      <c r="F77" s="17" t="s">
        <v>274</v>
      </c>
      <c r="G77" t="s">
        <v>28</v>
      </c>
      <c r="H77" t="s">
        <v>28</v>
      </c>
      <c r="I77" t="s">
        <v>28</v>
      </c>
      <c r="J77" t="s">
        <v>28</v>
      </c>
      <c r="K77" t="s">
        <v>29</v>
      </c>
      <c r="L77" t="s">
        <v>28</v>
      </c>
      <c r="M77" t="s">
        <v>28</v>
      </c>
      <c r="N77" t="s">
        <v>28</v>
      </c>
      <c r="O77" t="s">
        <v>28</v>
      </c>
      <c r="P77">
        <v>15120</v>
      </c>
      <c r="Q77">
        <v>0</v>
      </c>
      <c r="R77" s="5">
        <f t="shared" si="3"/>
        <v>0</v>
      </c>
      <c r="S77" s="5">
        <f t="shared" si="4"/>
        <v>15120</v>
      </c>
      <c r="T77">
        <v>0</v>
      </c>
      <c r="U77" t="s">
        <v>31</v>
      </c>
      <c r="V77" t="str">
        <f>IF(F77="","",CHOOSE(INT(MOD(MONTH(S84)-7,12)/3)+1,"Q1","Q2","Q3","Q4"))</f>
        <v>Q3</v>
      </c>
      <c r="W77" t="s">
        <v>247</v>
      </c>
    </row>
    <row r="78" spans="1:23" ht="22.5" customHeight="1" x14ac:dyDescent="0.25">
      <c r="A78">
        <v>1172</v>
      </c>
      <c r="B78" t="s">
        <v>23</v>
      </c>
      <c r="C78" s="1" t="s">
        <v>472</v>
      </c>
      <c r="D78" s="2" t="s">
        <v>40</v>
      </c>
      <c r="E78" s="2" t="s">
        <v>440</v>
      </c>
      <c r="F78" s="13" t="s">
        <v>473</v>
      </c>
      <c r="G78" s="2" t="s">
        <v>28</v>
      </c>
      <c r="H78" s="2" t="s">
        <v>28</v>
      </c>
      <c r="I78" s="2" t="s">
        <v>28</v>
      </c>
      <c r="J78" s="2" t="s">
        <v>28</v>
      </c>
      <c r="K78" s="2" t="s">
        <v>29</v>
      </c>
      <c r="L78" s="2" t="s">
        <v>28</v>
      </c>
      <c r="M78" s="2" t="s">
        <v>28</v>
      </c>
      <c r="N78" s="2" t="s">
        <v>28</v>
      </c>
      <c r="O78" s="2" t="s">
        <v>28</v>
      </c>
      <c r="P78" s="2">
        <v>18342.5</v>
      </c>
      <c r="Q78" s="2">
        <v>0</v>
      </c>
      <c r="R78" s="5">
        <f t="shared" si="3"/>
        <v>0</v>
      </c>
      <c r="S78" s="5">
        <f t="shared" si="4"/>
        <v>18342.5</v>
      </c>
      <c r="T78" s="2">
        <v>0</v>
      </c>
      <c r="U78" s="2" t="s">
        <v>31</v>
      </c>
      <c r="V78" s="2" t="str">
        <f>IF(F78="","",CHOOSE(INT(MOD(MONTH(S85)-7,12)/3)+1,"Q1","Q2","Q3","Q4"))</f>
        <v>Q2</v>
      </c>
      <c r="W78" s="3" t="s">
        <v>451</v>
      </c>
    </row>
    <row r="79" spans="1:23" ht="22.5" customHeight="1" x14ac:dyDescent="0.25">
      <c r="A79">
        <v>1173</v>
      </c>
      <c r="B79" t="s">
        <v>23</v>
      </c>
      <c r="C79" s="7" t="s">
        <v>474</v>
      </c>
      <c r="D79" s="8" t="s">
        <v>40</v>
      </c>
      <c r="E79" s="8" t="s">
        <v>467</v>
      </c>
      <c r="F79" s="15" t="s">
        <v>473</v>
      </c>
      <c r="G79" s="8" t="s">
        <v>28</v>
      </c>
      <c r="H79" s="8" t="s">
        <v>28</v>
      </c>
      <c r="I79" s="8" t="s">
        <v>28</v>
      </c>
      <c r="J79" s="8" t="s">
        <v>28</v>
      </c>
      <c r="K79" s="8" t="s">
        <v>29</v>
      </c>
      <c r="L79" s="8" t="s">
        <v>28</v>
      </c>
      <c r="M79" s="8" t="s">
        <v>28</v>
      </c>
      <c r="N79" s="8" t="s">
        <v>28</v>
      </c>
      <c r="O79" s="8" t="s">
        <v>28</v>
      </c>
      <c r="P79" s="8">
        <v>18466.13</v>
      </c>
      <c r="Q79" s="8">
        <v>0</v>
      </c>
      <c r="R79" s="5">
        <f t="shared" si="3"/>
        <v>0</v>
      </c>
      <c r="S79" s="5">
        <f t="shared" si="4"/>
        <v>18466.13</v>
      </c>
      <c r="T79" s="8">
        <v>0</v>
      </c>
      <c r="U79" s="8" t="s">
        <v>31</v>
      </c>
      <c r="V79" s="8" t="str">
        <f>IF(F79="","",CHOOSE(INT(MOD(MONTH(S86)-7,12)/3)+1,"Q1","Q2","Q3","Q4"))</f>
        <v>Q3</v>
      </c>
      <c r="W79" s="9" t="s">
        <v>451</v>
      </c>
    </row>
    <row r="80" spans="1:23" ht="22.5" customHeight="1" x14ac:dyDescent="0.25">
      <c r="A80">
        <v>1210</v>
      </c>
      <c r="B80" t="s">
        <v>23</v>
      </c>
      <c r="C80" s="7" t="s">
        <v>555</v>
      </c>
      <c r="D80" s="8" t="s">
        <v>25</v>
      </c>
      <c r="E80" s="8" t="s">
        <v>270</v>
      </c>
      <c r="F80" s="15" t="s">
        <v>556</v>
      </c>
      <c r="G80" s="8" t="s">
        <v>28</v>
      </c>
      <c r="H80" s="8" t="s">
        <v>28</v>
      </c>
      <c r="I80" s="8" t="s">
        <v>28</v>
      </c>
      <c r="J80" s="8" t="s">
        <v>28</v>
      </c>
      <c r="K80" s="8" t="s">
        <v>29</v>
      </c>
      <c r="L80" s="8" t="s">
        <v>28</v>
      </c>
      <c r="M80" s="8" t="s">
        <v>28</v>
      </c>
      <c r="N80" s="8" t="s">
        <v>28</v>
      </c>
      <c r="O80" s="8" t="s">
        <v>531</v>
      </c>
      <c r="P80" s="8">
        <v>4584.0600000000004</v>
      </c>
      <c r="Q80" s="8">
        <v>18</v>
      </c>
      <c r="R80" s="5">
        <f t="shared" si="3"/>
        <v>825.13080000000002</v>
      </c>
      <c r="S80" s="5">
        <f t="shared" si="4"/>
        <v>5409.1908000000003</v>
      </c>
      <c r="T80" s="8">
        <v>0</v>
      </c>
      <c r="U80" s="8" t="s">
        <v>31</v>
      </c>
      <c r="V80" s="8" t="str">
        <f>IF(F80="","",CHOOSE(INT(MOD(MONTH(S87)-7,12)/3)+1,"Q1","Q2","Q3","Q4"))</f>
        <v>Q4</v>
      </c>
      <c r="W80" s="9" t="s">
        <v>32</v>
      </c>
    </row>
    <row r="81" spans="1:23" ht="22.5" customHeight="1" x14ac:dyDescent="0.25">
      <c r="A81">
        <v>1211</v>
      </c>
      <c r="B81" t="s">
        <v>23</v>
      </c>
      <c r="C81" s="4" t="s">
        <v>557</v>
      </c>
      <c r="D81" s="5" t="s">
        <v>25</v>
      </c>
      <c r="E81" s="5" t="s">
        <v>260</v>
      </c>
      <c r="F81" s="14" t="s">
        <v>533</v>
      </c>
      <c r="G81" s="5" t="s">
        <v>28</v>
      </c>
      <c r="H81" s="5" t="s">
        <v>28</v>
      </c>
      <c r="I81" s="5" t="s">
        <v>28</v>
      </c>
      <c r="J81" s="5" t="s">
        <v>28</v>
      </c>
      <c r="K81" s="5" t="s">
        <v>29</v>
      </c>
      <c r="L81" s="5" t="s">
        <v>28</v>
      </c>
      <c r="M81" s="5" t="s">
        <v>28</v>
      </c>
      <c r="N81" s="5" t="s">
        <v>28</v>
      </c>
      <c r="O81" s="5" t="s">
        <v>160</v>
      </c>
      <c r="P81" s="5">
        <v>944</v>
      </c>
      <c r="Q81" s="5">
        <v>18</v>
      </c>
      <c r="R81" s="5">
        <f t="shared" si="3"/>
        <v>169.92</v>
      </c>
      <c r="S81" s="5">
        <f t="shared" si="4"/>
        <v>1113.92</v>
      </c>
      <c r="T81" s="5">
        <v>0</v>
      </c>
      <c r="U81" s="5" t="s">
        <v>31</v>
      </c>
      <c r="V81" s="5" t="str">
        <f>IF(F81="","",CHOOSE(INT(MOD(MONTH(S88)-7,12)/3)+1,"Q1","Q2","Q3","Q4"))</f>
        <v>Q1</v>
      </c>
      <c r="W81" s="6" t="s">
        <v>32</v>
      </c>
    </row>
    <row r="82" spans="1:23" ht="15.75" x14ac:dyDescent="0.25">
      <c r="A82">
        <v>1212</v>
      </c>
      <c r="B82" t="s">
        <v>23</v>
      </c>
      <c r="C82" t="s">
        <v>558</v>
      </c>
      <c r="D82" t="s">
        <v>25</v>
      </c>
      <c r="E82" t="s">
        <v>270</v>
      </c>
      <c r="F82" s="17" t="s">
        <v>559</v>
      </c>
      <c r="G82" t="s">
        <v>28</v>
      </c>
      <c r="H82" t="s">
        <v>28</v>
      </c>
      <c r="I82" t="s">
        <v>28</v>
      </c>
      <c r="J82" t="s">
        <v>28</v>
      </c>
      <c r="K82" t="s">
        <v>29</v>
      </c>
      <c r="L82" t="s">
        <v>28</v>
      </c>
      <c r="M82" t="s">
        <v>28</v>
      </c>
      <c r="N82" t="s">
        <v>28</v>
      </c>
      <c r="O82" t="s">
        <v>190</v>
      </c>
      <c r="P82">
        <v>100</v>
      </c>
      <c r="Q82">
        <v>18</v>
      </c>
      <c r="R82" s="5">
        <f t="shared" si="3"/>
        <v>18</v>
      </c>
      <c r="S82" s="5">
        <f t="shared" si="4"/>
        <v>118</v>
      </c>
      <c r="T82">
        <v>0</v>
      </c>
      <c r="U82" t="s">
        <v>31</v>
      </c>
      <c r="V82" t="str">
        <f>IF(F82="","",CHOOSE(INT(MOD(MONTH(S89)-7,12)/3)+1,"Q1","Q2","Q3","Q4"))</f>
        <v>Q4</v>
      </c>
      <c r="W82" t="s">
        <v>32</v>
      </c>
    </row>
    <row r="83" spans="1:23" ht="15.75" x14ac:dyDescent="0.25">
      <c r="A83">
        <v>1213</v>
      </c>
      <c r="B83" t="s">
        <v>23</v>
      </c>
      <c r="C83" t="s">
        <v>560</v>
      </c>
      <c r="D83" t="s">
        <v>25</v>
      </c>
      <c r="E83" t="s">
        <v>270</v>
      </c>
      <c r="F83" s="17" t="s">
        <v>561</v>
      </c>
      <c r="G83" t="s">
        <v>28</v>
      </c>
      <c r="H83" t="s">
        <v>28</v>
      </c>
      <c r="I83" t="s">
        <v>28</v>
      </c>
      <c r="J83" t="s">
        <v>28</v>
      </c>
      <c r="K83" t="s">
        <v>29</v>
      </c>
      <c r="L83" t="s">
        <v>28</v>
      </c>
      <c r="M83" t="s">
        <v>28</v>
      </c>
      <c r="N83" t="s">
        <v>28</v>
      </c>
      <c r="O83" t="s">
        <v>562</v>
      </c>
      <c r="P83">
        <v>1000</v>
      </c>
      <c r="Q83">
        <v>18</v>
      </c>
      <c r="R83" s="5">
        <f t="shared" si="3"/>
        <v>180</v>
      </c>
      <c r="S83" s="5">
        <f t="shared" si="4"/>
        <v>1180</v>
      </c>
      <c r="T83">
        <v>0</v>
      </c>
      <c r="U83" t="s">
        <v>31</v>
      </c>
      <c r="V83" t="str">
        <f>IF(F83="","",CHOOSE(INT(MOD(MONTH(S90)-7,12)/3)+1,"Q1","Q2","Q3","Q4"))</f>
        <v>Q3</v>
      </c>
      <c r="W83" t="s">
        <v>32</v>
      </c>
    </row>
    <row r="84" spans="1:23" ht="22.5" customHeight="1" x14ac:dyDescent="0.25">
      <c r="A84">
        <v>1214</v>
      </c>
      <c r="B84" t="s">
        <v>23</v>
      </c>
      <c r="C84" s="1" t="s">
        <v>563</v>
      </c>
      <c r="D84" s="2" t="s">
        <v>25</v>
      </c>
      <c r="E84" s="2" t="s">
        <v>564</v>
      </c>
      <c r="F84" s="13" t="s">
        <v>565</v>
      </c>
      <c r="G84" s="2" t="s">
        <v>28</v>
      </c>
      <c r="H84" s="2" t="s">
        <v>28</v>
      </c>
      <c r="I84" s="2" t="s">
        <v>28</v>
      </c>
      <c r="J84" s="2" t="s">
        <v>28</v>
      </c>
      <c r="K84" s="2" t="s">
        <v>29</v>
      </c>
      <c r="L84" s="2" t="s">
        <v>28</v>
      </c>
      <c r="M84" s="2" t="s">
        <v>28</v>
      </c>
      <c r="N84" s="2" t="s">
        <v>28</v>
      </c>
      <c r="O84" s="2" t="s">
        <v>566</v>
      </c>
      <c r="P84" s="2">
        <v>65</v>
      </c>
      <c r="Q84" s="2">
        <v>18</v>
      </c>
      <c r="R84" s="5">
        <f t="shared" si="3"/>
        <v>11.700000000000001</v>
      </c>
      <c r="S84" s="5">
        <f t="shared" si="4"/>
        <v>76.7</v>
      </c>
      <c r="T84" s="2">
        <v>0</v>
      </c>
      <c r="U84" s="2" t="s">
        <v>31</v>
      </c>
      <c r="V84" s="2" t="str">
        <f>IF(F84="","",CHOOSE(INT(MOD(MONTH(S91)-7,12)/3)+1,"Q1","Q2","Q3","Q4"))</f>
        <v>Q3</v>
      </c>
      <c r="W84" s="3" t="s">
        <v>32</v>
      </c>
    </row>
    <row r="85" spans="1:23" ht="22.5" customHeight="1" x14ac:dyDescent="0.25">
      <c r="A85">
        <v>1215</v>
      </c>
      <c r="B85" t="s">
        <v>23</v>
      </c>
      <c r="C85" s="7" t="s">
        <v>567</v>
      </c>
      <c r="D85" s="8" t="s">
        <v>25</v>
      </c>
      <c r="E85" s="8" t="s">
        <v>568</v>
      </c>
      <c r="F85" s="15" t="s">
        <v>569</v>
      </c>
      <c r="G85" s="8" t="s">
        <v>28</v>
      </c>
      <c r="H85" s="8" t="s">
        <v>28</v>
      </c>
      <c r="I85" s="8" t="s">
        <v>28</v>
      </c>
      <c r="J85" s="8" t="s">
        <v>28</v>
      </c>
      <c r="K85" s="8" t="s">
        <v>29</v>
      </c>
      <c r="L85" s="8" t="s">
        <v>28</v>
      </c>
      <c r="M85" s="8" t="s">
        <v>28</v>
      </c>
      <c r="N85" s="8" t="s">
        <v>28</v>
      </c>
      <c r="O85" s="8" t="s">
        <v>116</v>
      </c>
      <c r="P85" s="8">
        <v>5201.91</v>
      </c>
      <c r="Q85" s="8">
        <v>18</v>
      </c>
      <c r="R85" s="5">
        <f t="shared" si="3"/>
        <v>936.34379999999999</v>
      </c>
      <c r="S85" s="5">
        <f t="shared" si="4"/>
        <v>6138.2537999999995</v>
      </c>
      <c r="T85" s="8">
        <v>0</v>
      </c>
      <c r="U85" s="8" t="s">
        <v>31</v>
      </c>
      <c r="V85" s="8" t="str">
        <f>IF(F85="","",CHOOSE(INT(MOD(MONTH(S92)-7,12)/3)+1,"Q1","Q2","Q3","Q4"))</f>
        <v>Q3</v>
      </c>
      <c r="W85" s="9" t="s">
        <v>32</v>
      </c>
    </row>
    <row r="86" spans="1:23" ht="22.5" customHeight="1" x14ac:dyDescent="0.25">
      <c r="A86">
        <v>1217</v>
      </c>
      <c r="B86" t="s">
        <v>23</v>
      </c>
      <c r="C86" s="4" t="s">
        <v>573</v>
      </c>
      <c r="D86" s="5" t="s">
        <v>25</v>
      </c>
      <c r="E86" s="5" t="s">
        <v>530</v>
      </c>
      <c r="F86" s="14" t="s">
        <v>559</v>
      </c>
      <c r="G86" s="5" t="s">
        <v>28</v>
      </c>
      <c r="H86" s="5" t="s">
        <v>28</v>
      </c>
      <c r="I86" s="5" t="s">
        <v>28</v>
      </c>
      <c r="J86" s="5" t="s">
        <v>28</v>
      </c>
      <c r="K86" s="5" t="s">
        <v>29</v>
      </c>
      <c r="L86" s="5" t="s">
        <v>28</v>
      </c>
      <c r="M86" s="5" t="s">
        <v>28</v>
      </c>
      <c r="N86" s="5" t="s">
        <v>28</v>
      </c>
      <c r="O86" s="5" t="s">
        <v>160</v>
      </c>
      <c r="P86" s="5">
        <v>2512</v>
      </c>
      <c r="Q86" s="5">
        <v>18</v>
      </c>
      <c r="R86" s="5">
        <f t="shared" si="3"/>
        <v>452.16</v>
      </c>
      <c r="S86" s="5">
        <f t="shared" si="4"/>
        <v>2964.16</v>
      </c>
      <c r="T86" s="5">
        <v>0</v>
      </c>
      <c r="U86" s="5" t="s">
        <v>31</v>
      </c>
      <c r="V86" s="5" t="str">
        <f>IF(F86="","",CHOOSE(INT(MOD(MONTH(S93)-7,12)/3)+1,"Q1","Q2","Q3","Q4"))</f>
        <v>Q3</v>
      </c>
      <c r="W86" s="6" t="s">
        <v>32</v>
      </c>
    </row>
    <row r="87" spans="1:23" ht="15.75" x14ac:dyDescent="0.25">
      <c r="A87">
        <v>1216</v>
      </c>
      <c r="B87" t="s">
        <v>23</v>
      </c>
      <c r="C87" t="s">
        <v>570</v>
      </c>
      <c r="D87" t="s">
        <v>25</v>
      </c>
      <c r="E87" t="s">
        <v>571</v>
      </c>
      <c r="F87" s="17" t="s">
        <v>572</v>
      </c>
      <c r="G87" t="s">
        <v>28</v>
      </c>
      <c r="H87" t="s">
        <v>28</v>
      </c>
      <c r="I87" t="s">
        <v>28</v>
      </c>
      <c r="J87" t="s">
        <v>28</v>
      </c>
      <c r="K87" t="s">
        <v>29</v>
      </c>
      <c r="L87" t="s">
        <v>28</v>
      </c>
      <c r="M87" t="s">
        <v>28</v>
      </c>
      <c r="N87" t="s">
        <v>28</v>
      </c>
      <c r="O87" t="s">
        <v>566</v>
      </c>
      <c r="P87">
        <v>2892.9</v>
      </c>
      <c r="Q87">
        <v>18</v>
      </c>
      <c r="R87" s="5">
        <f t="shared" si="3"/>
        <v>520.72199999999998</v>
      </c>
      <c r="S87" s="5">
        <f t="shared" si="4"/>
        <v>3413.6220000000003</v>
      </c>
      <c r="T87">
        <v>0</v>
      </c>
      <c r="U87" t="s">
        <v>31</v>
      </c>
      <c r="V87" t="str">
        <f>IF(F87="","",CHOOSE(INT(MOD(MONTH(S94)-7,12)/3)+1,"Q1","Q2","Q3","Q4"))</f>
        <v>Q4</v>
      </c>
      <c r="W87" t="s">
        <v>32</v>
      </c>
    </row>
    <row r="88" spans="1:23" ht="22.5" customHeight="1" x14ac:dyDescent="0.25">
      <c r="A88">
        <v>1218</v>
      </c>
      <c r="B88" t="s">
        <v>23</v>
      </c>
      <c r="C88" s="10" t="s">
        <v>574</v>
      </c>
      <c r="D88" s="11" t="s">
        <v>25</v>
      </c>
      <c r="E88" s="11" t="s">
        <v>568</v>
      </c>
      <c r="F88" s="16" t="s">
        <v>575</v>
      </c>
      <c r="G88" s="11" t="s">
        <v>28</v>
      </c>
      <c r="H88" s="11" t="s">
        <v>28</v>
      </c>
      <c r="I88" s="11" t="s">
        <v>28</v>
      </c>
      <c r="J88" s="11" t="s">
        <v>28</v>
      </c>
      <c r="K88" s="11" t="s">
        <v>29</v>
      </c>
      <c r="L88" s="11" t="s">
        <v>28</v>
      </c>
      <c r="M88" s="11" t="s">
        <v>28</v>
      </c>
      <c r="N88" s="11" t="s">
        <v>28</v>
      </c>
      <c r="O88" s="11" t="s">
        <v>566</v>
      </c>
      <c r="P88" s="11">
        <v>1157.4000000000001</v>
      </c>
      <c r="Q88" s="11">
        <v>18</v>
      </c>
      <c r="R88" s="5">
        <f t="shared" si="3"/>
        <v>208.33200000000002</v>
      </c>
      <c r="S88" s="5">
        <f t="shared" si="4"/>
        <v>1365.7320000000002</v>
      </c>
      <c r="T88" s="11">
        <v>0</v>
      </c>
      <c r="U88" s="11" t="s">
        <v>31</v>
      </c>
      <c r="V88" s="11" t="str">
        <f>IF(F88="","",CHOOSE(INT(MOD(MONTH(S95)-7,12)/3)+1,"Q1","Q2","Q3","Q4"))</f>
        <v>Q4</v>
      </c>
      <c r="W88" s="12" t="s">
        <v>32</v>
      </c>
    </row>
    <row r="89" spans="1:23" ht="15.75" x14ac:dyDescent="0.25">
      <c r="A89">
        <v>1219</v>
      </c>
      <c r="B89" t="s">
        <v>23</v>
      </c>
      <c r="C89" t="s">
        <v>576</v>
      </c>
      <c r="D89" t="s">
        <v>25</v>
      </c>
      <c r="E89" t="s">
        <v>530</v>
      </c>
      <c r="F89" s="17" t="s">
        <v>577</v>
      </c>
      <c r="G89" t="s">
        <v>28</v>
      </c>
      <c r="H89" t="s">
        <v>28</v>
      </c>
      <c r="I89" t="s">
        <v>28</v>
      </c>
      <c r="J89" t="s">
        <v>28</v>
      </c>
      <c r="K89" t="s">
        <v>29</v>
      </c>
      <c r="L89" t="s">
        <v>28</v>
      </c>
      <c r="M89" t="s">
        <v>28</v>
      </c>
      <c r="N89" t="s">
        <v>28</v>
      </c>
      <c r="O89" t="s">
        <v>566</v>
      </c>
      <c r="P89">
        <v>110.7</v>
      </c>
      <c r="Q89">
        <v>18</v>
      </c>
      <c r="R89" s="5">
        <f t="shared" si="3"/>
        <v>19.925999999999998</v>
      </c>
      <c r="S89" s="5">
        <f t="shared" si="4"/>
        <v>130.626</v>
      </c>
      <c r="T89">
        <v>0</v>
      </c>
      <c r="U89" t="s">
        <v>31</v>
      </c>
      <c r="V89" t="str">
        <f>IF(F89="","",CHOOSE(INT(MOD(MONTH(S96)-7,12)/3)+1,"Q1","Q2","Q3","Q4"))</f>
        <v>Q4</v>
      </c>
      <c r="W89" t="s">
        <v>32</v>
      </c>
    </row>
    <row r="90" spans="1:23" ht="22.5" customHeight="1" x14ac:dyDescent="0.25">
      <c r="A90">
        <v>1220</v>
      </c>
      <c r="B90" t="s">
        <v>23</v>
      </c>
      <c r="C90" s="1" t="s">
        <v>578</v>
      </c>
      <c r="D90" s="2" t="s">
        <v>25</v>
      </c>
      <c r="E90" s="2" t="s">
        <v>568</v>
      </c>
      <c r="F90" s="13" t="s">
        <v>572</v>
      </c>
      <c r="G90" s="2" t="s">
        <v>28</v>
      </c>
      <c r="H90" s="2" t="s">
        <v>28</v>
      </c>
      <c r="I90" s="2" t="s">
        <v>28</v>
      </c>
      <c r="J90" s="2" t="s">
        <v>28</v>
      </c>
      <c r="K90" s="2" t="s">
        <v>29</v>
      </c>
      <c r="L90" s="2" t="s">
        <v>28</v>
      </c>
      <c r="M90" s="2" t="s">
        <v>28</v>
      </c>
      <c r="N90" s="2" t="s">
        <v>28</v>
      </c>
      <c r="O90" s="2" t="s">
        <v>116</v>
      </c>
      <c r="P90" s="2">
        <v>4408.3999999999996</v>
      </c>
      <c r="Q90" s="2">
        <v>18</v>
      </c>
      <c r="R90" s="5">
        <f t="shared" si="3"/>
        <v>793.51199999999994</v>
      </c>
      <c r="S90" s="5">
        <f t="shared" si="4"/>
        <v>5201.9119999999994</v>
      </c>
      <c r="T90" s="2">
        <v>0</v>
      </c>
      <c r="U90" s="2" t="s">
        <v>31</v>
      </c>
      <c r="V90" s="2" t="str">
        <f>IF(F90="","",CHOOSE(INT(MOD(MONTH(S97)-7,12)/3)+1,"Q1","Q2","Q3","Q4"))</f>
        <v>Q3</v>
      </c>
      <c r="W90" s="3" t="s">
        <v>32</v>
      </c>
    </row>
    <row r="91" spans="1:23" ht="22.5" customHeight="1" x14ac:dyDescent="0.25">
      <c r="A91">
        <v>1337</v>
      </c>
      <c r="B91" t="s">
        <v>23</v>
      </c>
      <c r="C91" s="4" t="s">
        <v>769</v>
      </c>
      <c r="D91" s="5" t="s">
        <v>25</v>
      </c>
      <c r="E91" s="5" t="s">
        <v>770</v>
      </c>
      <c r="F91" s="14" t="s">
        <v>771</v>
      </c>
      <c r="G91" s="5" t="s">
        <v>772</v>
      </c>
      <c r="H91" s="5" t="s">
        <v>28</v>
      </c>
      <c r="I91" s="5" t="s">
        <v>28</v>
      </c>
      <c r="J91" s="5" t="s">
        <v>325</v>
      </c>
      <c r="K91" s="5" t="s">
        <v>29</v>
      </c>
      <c r="L91" s="5" t="s">
        <v>400</v>
      </c>
      <c r="M91" s="5" t="s">
        <v>28</v>
      </c>
      <c r="N91" s="5" t="s">
        <v>28</v>
      </c>
      <c r="O91" s="5" t="s">
        <v>773</v>
      </c>
      <c r="P91" s="5">
        <v>345</v>
      </c>
      <c r="Q91" s="5">
        <v>15</v>
      </c>
      <c r="R91" s="5">
        <f t="shared" si="3"/>
        <v>51.75</v>
      </c>
      <c r="S91" s="5">
        <f t="shared" si="4"/>
        <v>396.75</v>
      </c>
      <c r="T91" s="5">
        <v>345</v>
      </c>
      <c r="U91" s="5" t="s">
        <v>327</v>
      </c>
      <c r="V91" s="5" t="str">
        <f>IF(F91="","",CHOOSE(INT(MOD(MONTH(S98)-7,12)/3)+1,"Q1","Q2","Q3","Q4"))</f>
        <v>Q3</v>
      </c>
      <c r="W91" s="6" t="s">
        <v>227</v>
      </c>
    </row>
    <row r="92" spans="1:23" ht="15.75" x14ac:dyDescent="0.25">
      <c r="A92">
        <v>1338</v>
      </c>
      <c r="B92" t="s">
        <v>23</v>
      </c>
      <c r="C92" t="s">
        <v>769</v>
      </c>
      <c r="D92" t="s">
        <v>25</v>
      </c>
      <c r="E92" t="s">
        <v>770</v>
      </c>
      <c r="F92" s="17" t="s">
        <v>771</v>
      </c>
      <c r="G92" t="s">
        <v>772</v>
      </c>
      <c r="H92" t="s">
        <v>28</v>
      </c>
      <c r="I92" t="s">
        <v>28</v>
      </c>
      <c r="J92" t="s">
        <v>325</v>
      </c>
      <c r="K92" t="s">
        <v>29</v>
      </c>
      <c r="L92" t="s">
        <v>400</v>
      </c>
      <c r="M92" t="s">
        <v>28</v>
      </c>
      <c r="N92" t="s">
        <v>28</v>
      </c>
      <c r="O92" t="s">
        <v>773</v>
      </c>
      <c r="P92">
        <v>345</v>
      </c>
      <c r="Q92">
        <v>15</v>
      </c>
      <c r="R92" s="5">
        <f t="shared" si="3"/>
        <v>51.75</v>
      </c>
      <c r="S92" s="5">
        <f t="shared" si="4"/>
        <v>396.75</v>
      </c>
      <c r="T92">
        <v>345</v>
      </c>
      <c r="U92" t="s">
        <v>327</v>
      </c>
      <c r="V92" t="str">
        <f>IF(F92="","",CHOOSE(INT(MOD(MONTH(S99)-7,12)/3)+1,"Q1","Q2","Q3","Q4"))</f>
        <v>Q3</v>
      </c>
      <c r="W92" t="s">
        <v>227</v>
      </c>
    </row>
    <row r="93" spans="1:23" ht="22.5" customHeight="1" x14ac:dyDescent="0.25">
      <c r="A93">
        <v>1175</v>
      </c>
      <c r="B93" t="s">
        <v>23</v>
      </c>
      <c r="C93" s="1" t="s">
        <v>477</v>
      </c>
      <c r="D93" s="2" t="s">
        <v>40</v>
      </c>
      <c r="E93" s="2" t="s">
        <v>440</v>
      </c>
      <c r="F93" s="13" t="s">
        <v>478</v>
      </c>
      <c r="G93" s="2" t="s">
        <v>28</v>
      </c>
      <c r="H93" s="2" t="s">
        <v>28</v>
      </c>
      <c r="I93" s="2" t="s">
        <v>28</v>
      </c>
      <c r="J93" s="2" t="s">
        <v>28</v>
      </c>
      <c r="K93" s="2" t="s">
        <v>29</v>
      </c>
      <c r="L93" s="2" t="s">
        <v>28</v>
      </c>
      <c r="M93" s="2" t="s">
        <v>28</v>
      </c>
      <c r="N93" s="2" t="s">
        <v>28</v>
      </c>
      <c r="O93" s="2" t="s">
        <v>28</v>
      </c>
      <c r="P93" s="2">
        <v>18342.5</v>
      </c>
      <c r="Q93" s="2">
        <v>0</v>
      </c>
      <c r="R93" s="5">
        <f t="shared" si="3"/>
        <v>0</v>
      </c>
      <c r="S93" s="5">
        <f t="shared" si="4"/>
        <v>18342.5</v>
      </c>
      <c r="T93" s="2">
        <v>0</v>
      </c>
      <c r="U93" s="2" t="s">
        <v>31</v>
      </c>
      <c r="V93" s="2" t="str">
        <f>IF(F93="","",CHOOSE(INT(MOD(MONTH(S100)-7,12)/3)+1,"Q1","Q2","Q3","Q4"))</f>
        <v>Q4</v>
      </c>
      <c r="W93" s="3" t="s">
        <v>451</v>
      </c>
    </row>
    <row r="94" spans="1:23" ht="22.5" customHeight="1" x14ac:dyDescent="0.25">
      <c r="A94">
        <v>1178</v>
      </c>
      <c r="B94" t="s">
        <v>23</v>
      </c>
      <c r="C94" s="7" t="s">
        <v>483</v>
      </c>
      <c r="D94" s="8" t="s">
        <v>40</v>
      </c>
      <c r="E94" s="8" t="s">
        <v>467</v>
      </c>
      <c r="F94" s="15" t="s">
        <v>478</v>
      </c>
      <c r="G94" s="8" t="s">
        <v>28</v>
      </c>
      <c r="H94" s="8" t="s">
        <v>28</v>
      </c>
      <c r="I94" s="8" t="s">
        <v>28</v>
      </c>
      <c r="J94" s="8" t="s">
        <v>28</v>
      </c>
      <c r="K94" s="8" t="s">
        <v>29</v>
      </c>
      <c r="L94" s="8" t="s">
        <v>28</v>
      </c>
      <c r="M94" s="8" t="s">
        <v>28</v>
      </c>
      <c r="N94" s="8" t="s">
        <v>28</v>
      </c>
      <c r="O94" s="8" t="s">
        <v>28</v>
      </c>
      <c r="P94" s="8">
        <v>8581.7999999999993</v>
      </c>
      <c r="Q94" s="8">
        <v>0</v>
      </c>
      <c r="R94" s="5">
        <f t="shared" si="3"/>
        <v>0</v>
      </c>
      <c r="S94" s="5">
        <f t="shared" si="4"/>
        <v>8581.7999999999993</v>
      </c>
      <c r="T94" s="8">
        <v>0</v>
      </c>
      <c r="U94" s="8" t="s">
        <v>31</v>
      </c>
      <c r="V94" s="8" t="str">
        <f>IF(F94="","",CHOOSE(INT(MOD(MONTH(S101)-7,12)/3)+1,"Q1","Q2","Q3","Q4"))</f>
        <v>Q4</v>
      </c>
      <c r="W94" s="9" t="s">
        <v>451</v>
      </c>
    </row>
    <row r="95" spans="1:23" ht="22.5" customHeight="1" x14ac:dyDescent="0.25">
      <c r="A95">
        <v>1</v>
      </c>
      <c r="B95" t="s">
        <v>23</v>
      </c>
      <c r="C95" s="4" t="s">
        <v>24</v>
      </c>
      <c r="D95" s="5" t="s">
        <v>25</v>
      </c>
      <c r="E95" s="5" t="s">
        <v>26</v>
      </c>
      <c r="F95" s="14" t="s">
        <v>27</v>
      </c>
      <c r="G95" s="5" t="s">
        <v>28</v>
      </c>
      <c r="H95" s="5" t="s">
        <v>28</v>
      </c>
      <c r="I95" s="5" t="s">
        <v>28</v>
      </c>
      <c r="J95" s="5" t="s">
        <v>28</v>
      </c>
      <c r="K95" s="5" t="s">
        <v>29</v>
      </c>
      <c r="L95" s="5" t="s">
        <v>754</v>
      </c>
      <c r="M95" s="5" t="s">
        <v>28</v>
      </c>
      <c r="N95" s="5" t="s">
        <v>28</v>
      </c>
      <c r="O95" s="5" t="s">
        <v>30</v>
      </c>
      <c r="P95" s="5">
        <v>2583.4</v>
      </c>
      <c r="Q95" s="5">
        <v>18</v>
      </c>
      <c r="R95" s="5">
        <f t="shared" si="3"/>
        <v>465.012</v>
      </c>
      <c r="S95" s="5">
        <f t="shared" si="4"/>
        <v>3048.4120000000003</v>
      </c>
      <c r="T95" s="5">
        <v>0</v>
      </c>
      <c r="U95" s="5" t="s">
        <v>31</v>
      </c>
      <c r="V95" s="5" t="str">
        <f>IF(F95="","",CHOOSE(INT(MOD(MONTH(S102)-7,12)/3)+1,"Q1","Q2","Q3","Q4"))</f>
        <v>Q3</v>
      </c>
      <c r="W95" s="6" t="s">
        <v>32</v>
      </c>
    </row>
    <row r="96" spans="1:23" ht="15.75" x14ac:dyDescent="0.25">
      <c r="A96">
        <v>39</v>
      </c>
      <c r="B96" t="s">
        <v>23</v>
      </c>
      <c r="C96" t="s">
        <v>44</v>
      </c>
      <c r="D96" t="s">
        <v>25</v>
      </c>
      <c r="E96" t="s">
        <v>26</v>
      </c>
      <c r="F96" s="17" t="s">
        <v>45</v>
      </c>
      <c r="G96" t="s">
        <v>28</v>
      </c>
      <c r="H96" t="s">
        <v>28</v>
      </c>
      <c r="I96" t="s">
        <v>28</v>
      </c>
      <c r="J96" t="s">
        <v>28</v>
      </c>
      <c r="K96" t="s">
        <v>29</v>
      </c>
      <c r="L96" t="s">
        <v>28</v>
      </c>
      <c r="M96" t="s">
        <v>28</v>
      </c>
      <c r="N96" t="s">
        <v>28</v>
      </c>
      <c r="O96" t="s">
        <v>46</v>
      </c>
      <c r="P96">
        <v>2921.85</v>
      </c>
      <c r="Q96">
        <v>18</v>
      </c>
      <c r="R96" s="5">
        <f t="shared" si="3"/>
        <v>525.93299999999999</v>
      </c>
      <c r="S96" s="5">
        <f t="shared" si="4"/>
        <v>3447.7829999999999</v>
      </c>
      <c r="T96">
        <v>0</v>
      </c>
      <c r="U96" t="s">
        <v>31</v>
      </c>
      <c r="V96" t="str">
        <f>IF(F96="","",CHOOSE(INT(MOD(MONTH(S103)-7,12)/3)+1,"Q1","Q2","Q3","Q4"))</f>
        <v>Q1</v>
      </c>
      <c r="W96" t="s">
        <v>32</v>
      </c>
    </row>
    <row r="97" spans="1:23" ht="22.5" customHeight="1" x14ac:dyDescent="0.25">
      <c r="A97">
        <v>95</v>
      </c>
      <c r="B97" t="s">
        <v>23</v>
      </c>
      <c r="C97" s="10" t="s">
        <v>55</v>
      </c>
      <c r="D97" s="11" t="s">
        <v>25</v>
      </c>
      <c r="E97" s="11" t="s">
        <v>56</v>
      </c>
      <c r="F97" s="16" t="s">
        <v>57</v>
      </c>
      <c r="G97" s="11" t="s">
        <v>28</v>
      </c>
      <c r="H97" s="11" t="s">
        <v>28</v>
      </c>
      <c r="I97" s="11" t="s">
        <v>28</v>
      </c>
      <c r="J97" s="11" t="s">
        <v>28</v>
      </c>
      <c r="K97" s="11" t="s">
        <v>29</v>
      </c>
      <c r="L97" s="11" t="s">
        <v>28</v>
      </c>
      <c r="M97" s="11" t="s">
        <v>28</v>
      </c>
      <c r="N97" s="11" t="s">
        <v>28</v>
      </c>
      <c r="O97" s="11" t="s">
        <v>58</v>
      </c>
      <c r="P97" s="11">
        <v>4050</v>
      </c>
      <c r="Q97" s="11">
        <v>18</v>
      </c>
      <c r="R97" s="5">
        <f t="shared" si="3"/>
        <v>729</v>
      </c>
      <c r="S97" s="5">
        <f t="shared" si="4"/>
        <v>4779</v>
      </c>
      <c r="T97" s="11">
        <v>0</v>
      </c>
      <c r="U97" s="11" t="s">
        <v>31</v>
      </c>
      <c r="V97" s="11" t="str">
        <f>IF(F97="","",CHOOSE(INT(MOD(MONTH(S104)-7,12)/3)+1,"Q1","Q2","Q3","Q4"))</f>
        <v>Q2</v>
      </c>
      <c r="W97" s="12" t="s">
        <v>32</v>
      </c>
    </row>
    <row r="98" spans="1:23" ht="15.75" x14ac:dyDescent="0.25">
      <c r="A98">
        <v>129</v>
      </c>
      <c r="B98" t="s">
        <v>23</v>
      </c>
      <c r="C98" t="s">
        <v>64</v>
      </c>
      <c r="D98" t="s">
        <v>25</v>
      </c>
      <c r="E98" t="s">
        <v>56</v>
      </c>
      <c r="F98" s="17" t="s">
        <v>65</v>
      </c>
      <c r="G98" t="s">
        <v>28</v>
      </c>
      <c r="H98" t="s">
        <v>28</v>
      </c>
      <c r="I98" t="s">
        <v>28</v>
      </c>
      <c r="J98" t="s">
        <v>28</v>
      </c>
      <c r="K98" t="s">
        <v>29</v>
      </c>
      <c r="L98" t="s">
        <v>28</v>
      </c>
      <c r="M98" t="s">
        <v>28</v>
      </c>
      <c r="N98" t="s">
        <v>28</v>
      </c>
      <c r="O98" t="s">
        <v>66</v>
      </c>
      <c r="P98">
        <v>4050</v>
      </c>
      <c r="Q98">
        <v>18</v>
      </c>
      <c r="R98" s="5">
        <f t="shared" si="3"/>
        <v>729</v>
      </c>
      <c r="S98" s="5">
        <f t="shared" si="4"/>
        <v>4779</v>
      </c>
      <c r="T98">
        <v>0</v>
      </c>
      <c r="U98" t="s">
        <v>31</v>
      </c>
      <c r="V98" t="str">
        <f>IF(F98="","",CHOOSE(INT(MOD(MONTH(S105)-7,12)/3)+1,"Q1","Q2","Q3","Q4"))</f>
        <v>Q2</v>
      </c>
      <c r="W98" t="s">
        <v>32</v>
      </c>
    </row>
    <row r="99" spans="1:23" ht="22.5" customHeight="1" x14ac:dyDescent="0.25">
      <c r="A99">
        <v>137</v>
      </c>
      <c r="B99" t="s">
        <v>23</v>
      </c>
      <c r="C99" s="1" t="s">
        <v>67</v>
      </c>
      <c r="D99" s="2" t="s">
        <v>25</v>
      </c>
      <c r="E99" s="2" t="s">
        <v>56</v>
      </c>
      <c r="F99" s="13" t="s">
        <v>68</v>
      </c>
      <c r="G99" s="2" t="s">
        <v>28</v>
      </c>
      <c r="H99" s="2" t="s">
        <v>28</v>
      </c>
      <c r="I99" s="2" t="s">
        <v>28</v>
      </c>
      <c r="J99" s="2" t="s">
        <v>28</v>
      </c>
      <c r="K99" s="2" t="s">
        <v>29</v>
      </c>
      <c r="L99" s="2" t="s">
        <v>28</v>
      </c>
      <c r="M99" s="2" t="s">
        <v>28</v>
      </c>
      <c r="N99" s="2" t="s">
        <v>28</v>
      </c>
      <c r="O99" s="2" t="s">
        <v>69</v>
      </c>
      <c r="P99" s="2">
        <v>4050</v>
      </c>
      <c r="Q99" s="2">
        <v>18</v>
      </c>
      <c r="R99" s="5">
        <f t="shared" si="3"/>
        <v>729</v>
      </c>
      <c r="S99" s="5">
        <f t="shared" si="4"/>
        <v>4779</v>
      </c>
      <c r="T99" s="2">
        <v>0</v>
      </c>
      <c r="U99" s="2" t="s">
        <v>31</v>
      </c>
      <c r="V99" s="2" t="str">
        <f>IF(F99="","",CHOOSE(INT(MOD(MONTH(S106)-7,12)/3)+1,"Q1","Q2","Q3","Q4"))</f>
        <v>Q1</v>
      </c>
      <c r="W99" s="3" t="s">
        <v>32</v>
      </c>
    </row>
    <row r="100" spans="1:23" ht="22.5" customHeight="1" x14ac:dyDescent="0.25">
      <c r="A100">
        <v>183</v>
      </c>
      <c r="B100" t="s">
        <v>23</v>
      </c>
      <c r="C100" s="7" t="s">
        <v>76</v>
      </c>
      <c r="D100" s="8" t="s">
        <v>25</v>
      </c>
      <c r="E100" s="8" t="s">
        <v>77</v>
      </c>
      <c r="F100" s="15" t="s">
        <v>78</v>
      </c>
      <c r="G100" s="8" t="s">
        <v>28</v>
      </c>
      <c r="H100" s="8" t="s">
        <v>28</v>
      </c>
      <c r="I100" s="8" t="s">
        <v>28</v>
      </c>
      <c r="J100" s="8" t="s">
        <v>28</v>
      </c>
      <c r="K100" s="8" t="s">
        <v>29</v>
      </c>
      <c r="L100" s="8" t="s">
        <v>28</v>
      </c>
      <c r="M100" s="8" t="s">
        <v>28</v>
      </c>
      <c r="N100" s="8" t="s">
        <v>28</v>
      </c>
      <c r="O100" s="8" t="s">
        <v>79</v>
      </c>
      <c r="P100" s="8">
        <v>2595.5</v>
      </c>
      <c r="Q100" s="8">
        <v>18</v>
      </c>
      <c r="R100" s="5">
        <f t="shared" si="3"/>
        <v>467.18999999999994</v>
      </c>
      <c r="S100" s="5">
        <f t="shared" si="4"/>
        <v>3062.69</v>
      </c>
      <c r="T100" s="8">
        <v>0</v>
      </c>
      <c r="U100" s="8" t="s">
        <v>31</v>
      </c>
      <c r="V100" s="8" t="str">
        <f>IF(F100="","",CHOOSE(INT(MOD(MONTH(S107)-7,12)/3)+1,"Q1","Q2","Q3","Q4"))</f>
        <v>Q1</v>
      </c>
      <c r="W100" s="9" t="s">
        <v>32</v>
      </c>
    </row>
    <row r="101" spans="1:23" ht="22.5" customHeight="1" x14ac:dyDescent="0.25">
      <c r="A101">
        <v>217</v>
      </c>
      <c r="B101" t="s">
        <v>23</v>
      </c>
      <c r="C101" s="7" t="s">
        <v>87</v>
      </c>
      <c r="D101" s="8" t="s">
        <v>25</v>
      </c>
      <c r="E101" s="8" t="s">
        <v>88</v>
      </c>
      <c r="F101" s="15" t="s">
        <v>89</v>
      </c>
      <c r="G101" s="8" t="s">
        <v>28</v>
      </c>
      <c r="H101" s="8" t="s">
        <v>28</v>
      </c>
      <c r="I101" s="8" t="s">
        <v>28</v>
      </c>
      <c r="J101" s="8" t="s">
        <v>28</v>
      </c>
      <c r="K101" s="8" t="s">
        <v>29</v>
      </c>
      <c r="L101" s="8" t="s">
        <v>28</v>
      </c>
      <c r="M101" s="8" t="s">
        <v>28</v>
      </c>
      <c r="N101" s="8" t="s">
        <v>28</v>
      </c>
      <c r="O101" s="8" t="s">
        <v>90</v>
      </c>
      <c r="P101" s="8">
        <v>30470</v>
      </c>
      <c r="Q101" s="8">
        <v>18</v>
      </c>
      <c r="R101" s="5">
        <f t="shared" si="3"/>
        <v>5484.5999999999995</v>
      </c>
      <c r="S101" s="5">
        <f t="shared" si="4"/>
        <v>35954.6</v>
      </c>
      <c r="T101" s="8">
        <v>0</v>
      </c>
      <c r="U101" s="8" t="s">
        <v>31</v>
      </c>
      <c r="V101" s="8" t="str">
        <f>IF(F101="","",CHOOSE(INT(MOD(MONTH(S108)-7,12)/3)+1,"Q1","Q2","Q3","Q4"))</f>
        <v>Q2</v>
      </c>
      <c r="W101" s="9" t="s">
        <v>32</v>
      </c>
    </row>
    <row r="102" spans="1:23" ht="22.5" customHeight="1" x14ac:dyDescent="0.25">
      <c r="A102">
        <v>1254</v>
      </c>
      <c r="B102" t="s">
        <v>23</v>
      </c>
      <c r="C102" s="4" t="s">
        <v>670</v>
      </c>
      <c r="D102" s="5" t="s">
        <v>25</v>
      </c>
      <c r="E102" s="5" t="s">
        <v>593</v>
      </c>
      <c r="F102" s="14" t="s">
        <v>671</v>
      </c>
      <c r="G102" s="5" t="s">
        <v>28</v>
      </c>
      <c r="H102" s="5" t="s">
        <v>28</v>
      </c>
      <c r="I102" s="5" t="s">
        <v>28</v>
      </c>
      <c r="J102" s="5" t="s">
        <v>28</v>
      </c>
      <c r="K102" s="5" t="s">
        <v>29</v>
      </c>
      <c r="L102" s="5" t="s">
        <v>28</v>
      </c>
      <c r="M102" s="5" t="s">
        <v>28</v>
      </c>
      <c r="N102" s="5" t="s">
        <v>28</v>
      </c>
      <c r="O102" s="5" t="s">
        <v>672</v>
      </c>
      <c r="P102" s="5">
        <v>63821.1</v>
      </c>
      <c r="Q102" s="5">
        <v>18</v>
      </c>
      <c r="R102" s="5">
        <f t="shared" si="3"/>
        <v>11487.798000000001</v>
      </c>
      <c r="S102" s="5">
        <f t="shared" si="4"/>
        <v>75308.898000000001</v>
      </c>
      <c r="T102" s="5">
        <v>0</v>
      </c>
      <c r="U102" s="5" t="s">
        <v>31</v>
      </c>
      <c r="V102" s="5" t="str">
        <f>IF(F102="","",CHOOSE(INT(MOD(MONTH(S109)-7,12)/3)+1,"Q1","Q2","Q3","Q4"))</f>
        <v>Q2</v>
      </c>
      <c r="W102" s="6" t="s">
        <v>32</v>
      </c>
    </row>
    <row r="103" spans="1:23" ht="15.75" x14ac:dyDescent="0.25">
      <c r="A103">
        <v>1221</v>
      </c>
      <c r="B103" t="s">
        <v>23</v>
      </c>
      <c r="C103" t="s">
        <v>579</v>
      </c>
      <c r="D103" t="s">
        <v>25</v>
      </c>
      <c r="E103" t="s">
        <v>270</v>
      </c>
      <c r="F103" s="17" t="s">
        <v>580</v>
      </c>
      <c r="G103" t="s">
        <v>28</v>
      </c>
      <c r="H103" t="s">
        <v>28</v>
      </c>
      <c r="I103" t="s">
        <v>28</v>
      </c>
      <c r="J103" t="s">
        <v>28</v>
      </c>
      <c r="K103" t="s">
        <v>29</v>
      </c>
      <c r="L103" t="s">
        <v>28</v>
      </c>
      <c r="M103" t="s">
        <v>28</v>
      </c>
      <c r="N103" t="s">
        <v>28</v>
      </c>
      <c r="O103" t="s">
        <v>581</v>
      </c>
      <c r="P103">
        <v>4545.49</v>
      </c>
      <c r="Q103">
        <v>18</v>
      </c>
      <c r="R103" s="5">
        <f t="shared" si="3"/>
        <v>818.18819999999994</v>
      </c>
      <c r="S103" s="5">
        <f t="shared" si="4"/>
        <v>5363.6781999999994</v>
      </c>
      <c r="T103">
        <v>0</v>
      </c>
      <c r="U103" t="s">
        <v>31</v>
      </c>
      <c r="V103" t="str">
        <f>IF(F103="","",CHOOSE(INT(MOD(MONTH(S110)-7,12)/3)+1,"Q1","Q2","Q3","Q4"))</f>
        <v>Q1</v>
      </c>
      <c r="W103" t="s">
        <v>32</v>
      </c>
    </row>
    <row r="104" spans="1:23" ht="15.75" x14ac:dyDescent="0.25">
      <c r="A104">
        <v>1225</v>
      </c>
      <c r="B104" t="s">
        <v>23</v>
      </c>
      <c r="C104" t="s">
        <v>592</v>
      </c>
      <c r="D104" t="s">
        <v>25</v>
      </c>
      <c r="E104" t="s">
        <v>593</v>
      </c>
      <c r="F104" s="17" t="s">
        <v>594</v>
      </c>
      <c r="G104" t="s">
        <v>28</v>
      </c>
      <c r="H104" t="s">
        <v>28</v>
      </c>
      <c r="I104" t="s">
        <v>28</v>
      </c>
      <c r="J104" t="s">
        <v>28</v>
      </c>
      <c r="K104" t="s">
        <v>29</v>
      </c>
      <c r="L104" t="s">
        <v>28</v>
      </c>
      <c r="M104" t="s">
        <v>28</v>
      </c>
      <c r="N104" t="s">
        <v>28</v>
      </c>
      <c r="O104" t="s">
        <v>595</v>
      </c>
      <c r="P104">
        <v>11454.2</v>
      </c>
      <c r="Q104">
        <v>18</v>
      </c>
      <c r="R104" s="5">
        <f t="shared" si="3"/>
        <v>2061.7559999999999</v>
      </c>
      <c r="S104" s="5">
        <f t="shared" si="4"/>
        <v>13515.956</v>
      </c>
      <c r="T104">
        <v>0</v>
      </c>
      <c r="U104" t="s">
        <v>31</v>
      </c>
      <c r="V104" t="str">
        <f>IF(F104="","",CHOOSE(INT(MOD(MONTH(S111)-7,12)/3)+1,"Q1","Q2","Q3","Q4"))</f>
        <v>Q3</v>
      </c>
      <c r="W104" t="s">
        <v>32</v>
      </c>
    </row>
    <row r="105" spans="1:23" ht="22.5" customHeight="1" x14ac:dyDescent="0.25">
      <c r="A105">
        <v>1239</v>
      </c>
      <c r="B105" t="s">
        <v>23</v>
      </c>
      <c r="C105" s="1" t="s">
        <v>629</v>
      </c>
      <c r="D105" s="2" t="s">
        <v>25</v>
      </c>
      <c r="E105" s="2" t="s">
        <v>630</v>
      </c>
      <c r="F105" s="13" t="s">
        <v>631</v>
      </c>
      <c r="G105" s="2" t="s">
        <v>28</v>
      </c>
      <c r="H105" s="2" t="s">
        <v>28</v>
      </c>
      <c r="I105" s="2" t="s">
        <v>28</v>
      </c>
      <c r="J105" s="2" t="s">
        <v>28</v>
      </c>
      <c r="K105" s="2" t="s">
        <v>29</v>
      </c>
      <c r="L105" s="2" t="s">
        <v>28</v>
      </c>
      <c r="M105" s="2" t="s">
        <v>28</v>
      </c>
      <c r="N105" s="2" t="s">
        <v>28</v>
      </c>
      <c r="O105" s="2" t="s">
        <v>632</v>
      </c>
      <c r="P105" s="2">
        <v>7056.89</v>
      </c>
      <c r="Q105" s="2">
        <v>18</v>
      </c>
      <c r="R105" s="5">
        <f t="shared" si="3"/>
        <v>1270.2402</v>
      </c>
      <c r="S105" s="5">
        <f t="shared" si="4"/>
        <v>8327.1301999999996</v>
      </c>
      <c r="T105" s="2">
        <v>0</v>
      </c>
      <c r="U105" s="2" t="s">
        <v>31</v>
      </c>
      <c r="V105" s="2" t="str">
        <f>IF(F105="","",CHOOSE(INT(MOD(MONTH(S112)-7,12)/3)+1,"Q1","Q2","Q3","Q4"))</f>
        <v>Q1</v>
      </c>
      <c r="W105" s="3" t="s">
        <v>227</v>
      </c>
    </row>
    <row r="106" spans="1:23" ht="22.5" customHeight="1" x14ac:dyDescent="0.25">
      <c r="A106">
        <v>1240</v>
      </c>
      <c r="B106" t="s">
        <v>23</v>
      </c>
      <c r="C106" s="4" t="s">
        <v>633</v>
      </c>
      <c r="D106" s="5" t="s">
        <v>25</v>
      </c>
      <c r="E106" s="5" t="s">
        <v>571</v>
      </c>
      <c r="F106" s="14" t="s">
        <v>634</v>
      </c>
      <c r="G106" s="5" t="s">
        <v>28</v>
      </c>
      <c r="H106" s="5" t="s">
        <v>28</v>
      </c>
      <c r="I106" s="5" t="s">
        <v>28</v>
      </c>
      <c r="J106" s="5" t="s">
        <v>28</v>
      </c>
      <c r="K106" s="5" t="s">
        <v>29</v>
      </c>
      <c r="L106" s="5" t="s">
        <v>28</v>
      </c>
      <c r="M106" s="5" t="s">
        <v>28</v>
      </c>
      <c r="N106" s="5" t="s">
        <v>28</v>
      </c>
      <c r="O106" s="5" t="s">
        <v>635</v>
      </c>
      <c r="P106" s="5">
        <v>15341.2</v>
      </c>
      <c r="Q106" s="5">
        <v>18</v>
      </c>
      <c r="R106" s="5">
        <f t="shared" si="3"/>
        <v>2761.4160000000002</v>
      </c>
      <c r="S106" s="5">
        <f t="shared" si="4"/>
        <v>18102.616000000002</v>
      </c>
      <c r="T106" s="5">
        <v>0</v>
      </c>
      <c r="U106" s="5" t="s">
        <v>31</v>
      </c>
      <c r="V106" s="5" t="str">
        <f>IF(F106="","",CHOOSE(INT(MOD(MONTH(S113)-7,12)/3)+1,"Q1","Q2","Q3","Q4"))</f>
        <v>Q4</v>
      </c>
      <c r="W106" s="6" t="s">
        <v>227</v>
      </c>
    </row>
    <row r="107" spans="1:23" ht="15.75" x14ac:dyDescent="0.25">
      <c r="A107">
        <v>1224</v>
      </c>
      <c r="B107" t="s">
        <v>23</v>
      </c>
      <c r="C107" t="s">
        <v>589</v>
      </c>
      <c r="D107" t="s">
        <v>25</v>
      </c>
      <c r="E107" t="s">
        <v>586</v>
      </c>
      <c r="F107" s="17" t="s">
        <v>590</v>
      </c>
      <c r="G107" t="s">
        <v>28</v>
      </c>
      <c r="H107" t="s">
        <v>28</v>
      </c>
      <c r="I107" t="s">
        <v>28</v>
      </c>
      <c r="J107" t="s">
        <v>28</v>
      </c>
      <c r="K107" t="s">
        <v>29</v>
      </c>
      <c r="L107" t="s">
        <v>28</v>
      </c>
      <c r="M107" t="s">
        <v>28</v>
      </c>
      <c r="N107" t="s">
        <v>28</v>
      </c>
      <c r="O107" t="s">
        <v>591</v>
      </c>
      <c r="P107">
        <v>28945</v>
      </c>
      <c r="Q107">
        <v>18</v>
      </c>
      <c r="R107" s="5">
        <f t="shared" si="3"/>
        <v>5210.0999999999995</v>
      </c>
      <c r="S107" s="5">
        <f t="shared" si="4"/>
        <v>34155.1</v>
      </c>
      <c r="T107">
        <v>0</v>
      </c>
      <c r="U107" t="s">
        <v>31</v>
      </c>
      <c r="V107" t="str">
        <f>IF(F107="","",CHOOSE(INT(MOD(MONTH(S114)-7,12)/3)+1,"Q1","Q2","Q3","Q4"))</f>
        <v>Q4</v>
      </c>
      <c r="W107" t="s">
        <v>227</v>
      </c>
    </row>
    <row r="108" spans="1:23" ht="22.5" customHeight="1" x14ac:dyDescent="0.25">
      <c r="A108">
        <v>1222</v>
      </c>
      <c r="B108" t="s">
        <v>23</v>
      </c>
      <c r="C108" s="1" t="s">
        <v>582</v>
      </c>
      <c r="D108" s="2" t="s">
        <v>25</v>
      </c>
      <c r="E108" s="2" t="s">
        <v>571</v>
      </c>
      <c r="F108" s="13" t="s">
        <v>583</v>
      </c>
      <c r="G108" s="2" t="s">
        <v>28</v>
      </c>
      <c r="H108" s="2" t="s">
        <v>28</v>
      </c>
      <c r="I108" s="2" t="s">
        <v>28</v>
      </c>
      <c r="J108" s="2" t="s">
        <v>28</v>
      </c>
      <c r="K108" s="2" t="s">
        <v>29</v>
      </c>
      <c r="L108" s="2" t="s">
        <v>28</v>
      </c>
      <c r="M108" s="2" t="s">
        <v>28</v>
      </c>
      <c r="N108" s="2" t="s">
        <v>28</v>
      </c>
      <c r="O108" s="2" t="s">
        <v>584</v>
      </c>
      <c r="P108" s="2">
        <v>17600</v>
      </c>
      <c r="Q108" s="2">
        <v>18</v>
      </c>
      <c r="R108" s="5">
        <f t="shared" si="3"/>
        <v>3168</v>
      </c>
      <c r="S108" s="5">
        <f t="shared" si="4"/>
        <v>20768</v>
      </c>
      <c r="T108" s="2">
        <v>0</v>
      </c>
      <c r="U108" s="2" t="s">
        <v>31</v>
      </c>
      <c r="V108" s="2" t="str">
        <f>IF(F108="","",CHOOSE(INT(MOD(MONTH(S115)-7,12)/3)+1,"Q1","Q2","Q3","Q4"))</f>
        <v>Q1</v>
      </c>
      <c r="W108" s="3" t="s">
        <v>227</v>
      </c>
    </row>
    <row r="109" spans="1:23" ht="22.5" customHeight="1" x14ac:dyDescent="0.25">
      <c r="A109">
        <v>1241</v>
      </c>
      <c r="B109" t="s">
        <v>23</v>
      </c>
      <c r="C109" s="7" t="s">
        <v>636</v>
      </c>
      <c r="D109" s="8" t="s">
        <v>25</v>
      </c>
      <c r="E109" s="8" t="s">
        <v>586</v>
      </c>
      <c r="F109" s="15" t="s">
        <v>637</v>
      </c>
      <c r="G109" s="8" t="s">
        <v>28</v>
      </c>
      <c r="H109" s="8" t="s">
        <v>28</v>
      </c>
      <c r="I109" s="8" t="s">
        <v>28</v>
      </c>
      <c r="J109" s="8" t="s">
        <v>28</v>
      </c>
      <c r="K109" s="8" t="s">
        <v>29</v>
      </c>
      <c r="L109" s="8" t="s">
        <v>28</v>
      </c>
      <c r="M109" s="8" t="s">
        <v>28</v>
      </c>
      <c r="N109" s="8" t="s">
        <v>28</v>
      </c>
      <c r="O109" s="8" t="s">
        <v>638</v>
      </c>
      <c r="P109" s="8">
        <v>53496.58</v>
      </c>
      <c r="Q109" s="8">
        <v>18</v>
      </c>
      <c r="R109" s="5">
        <f t="shared" si="3"/>
        <v>9629.3844000000008</v>
      </c>
      <c r="S109" s="5">
        <f t="shared" si="4"/>
        <v>63125.964400000004</v>
      </c>
      <c r="T109" s="8">
        <v>0</v>
      </c>
      <c r="U109" s="8" t="s">
        <v>31</v>
      </c>
      <c r="V109" s="8" t="str">
        <f>IF(F109="","",CHOOSE(INT(MOD(MONTH(S116)-7,12)/3)+1,"Q1","Q2","Q3","Q4"))</f>
        <v>Q4</v>
      </c>
      <c r="W109" s="9" t="s">
        <v>227</v>
      </c>
    </row>
    <row r="110" spans="1:23" ht="22.5" customHeight="1" x14ac:dyDescent="0.25">
      <c r="A110">
        <v>1242</v>
      </c>
      <c r="B110" t="s">
        <v>23</v>
      </c>
      <c r="C110" s="4" t="s">
        <v>639</v>
      </c>
      <c r="D110" s="5" t="s">
        <v>25</v>
      </c>
      <c r="E110" s="5" t="s">
        <v>571</v>
      </c>
      <c r="F110" s="14" t="s">
        <v>640</v>
      </c>
      <c r="G110" s="5" t="s">
        <v>28</v>
      </c>
      <c r="H110" s="5" t="s">
        <v>28</v>
      </c>
      <c r="I110" s="5" t="s">
        <v>28</v>
      </c>
      <c r="J110" s="5" t="s">
        <v>28</v>
      </c>
      <c r="K110" s="5" t="s">
        <v>29</v>
      </c>
      <c r="L110" s="5" t="s">
        <v>28</v>
      </c>
      <c r="M110" s="5" t="s">
        <v>28</v>
      </c>
      <c r="N110" s="5" t="s">
        <v>28</v>
      </c>
      <c r="O110" s="5" t="s">
        <v>641</v>
      </c>
      <c r="P110" s="5">
        <v>34587.47</v>
      </c>
      <c r="Q110" s="5">
        <v>18</v>
      </c>
      <c r="R110" s="5">
        <f t="shared" si="3"/>
        <v>6225.7446</v>
      </c>
      <c r="S110" s="5">
        <f t="shared" si="4"/>
        <v>40813.214599999999</v>
      </c>
      <c r="T110" s="5">
        <v>0</v>
      </c>
      <c r="U110" s="5" t="s">
        <v>31</v>
      </c>
      <c r="V110" s="5" t="str">
        <f>IF(F110="","",CHOOSE(INT(MOD(MONTH(S117)-7,12)/3)+1,"Q1","Q2","Q3","Q4"))</f>
        <v>Q4</v>
      </c>
      <c r="W110" s="6" t="s">
        <v>227</v>
      </c>
    </row>
    <row r="111" spans="1:23" ht="15.75" x14ac:dyDescent="0.25">
      <c r="A111">
        <v>1243</v>
      </c>
      <c r="B111" t="s">
        <v>23</v>
      </c>
      <c r="C111" t="s">
        <v>642</v>
      </c>
      <c r="D111" t="s">
        <v>25</v>
      </c>
      <c r="E111" t="s">
        <v>568</v>
      </c>
      <c r="F111" s="17" t="s">
        <v>643</v>
      </c>
      <c r="G111" t="s">
        <v>28</v>
      </c>
      <c r="H111" t="s">
        <v>28</v>
      </c>
      <c r="I111" t="s">
        <v>28</v>
      </c>
      <c r="J111" t="s">
        <v>28</v>
      </c>
      <c r="K111" t="s">
        <v>29</v>
      </c>
      <c r="L111" t="s">
        <v>28</v>
      </c>
      <c r="M111" t="s">
        <v>28</v>
      </c>
      <c r="N111" t="s">
        <v>28</v>
      </c>
      <c r="O111" t="s">
        <v>644</v>
      </c>
      <c r="P111">
        <v>49588.2</v>
      </c>
      <c r="Q111">
        <v>18</v>
      </c>
      <c r="R111" s="5">
        <f t="shared" si="3"/>
        <v>8925.8759999999984</v>
      </c>
      <c r="S111" s="5">
        <f t="shared" si="4"/>
        <v>58514.075999999994</v>
      </c>
      <c r="T111">
        <v>0</v>
      </c>
      <c r="U111" t="s">
        <v>31</v>
      </c>
      <c r="V111" t="str">
        <f>IF(F111="","",CHOOSE(INT(MOD(MONTH(S118)-7,12)/3)+1,"Q1","Q2","Q3","Q4"))</f>
        <v>Q2</v>
      </c>
      <c r="W111" t="s">
        <v>227</v>
      </c>
    </row>
    <row r="112" spans="1:23" ht="22.5" customHeight="1" x14ac:dyDescent="0.25">
      <c r="A112">
        <v>1223</v>
      </c>
      <c r="B112" t="s">
        <v>23</v>
      </c>
      <c r="C112" s="1" t="s">
        <v>585</v>
      </c>
      <c r="D112" s="2" t="s">
        <v>25</v>
      </c>
      <c r="E112" s="2" t="s">
        <v>586</v>
      </c>
      <c r="F112" s="13" t="s">
        <v>587</v>
      </c>
      <c r="G112" s="2" t="s">
        <v>28</v>
      </c>
      <c r="H112" s="2" t="s">
        <v>28</v>
      </c>
      <c r="I112" s="2" t="s">
        <v>28</v>
      </c>
      <c r="J112" s="2" t="s">
        <v>28</v>
      </c>
      <c r="K112" s="2" t="s">
        <v>29</v>
      </c>
      <c r="L112" s="2" t="s">
        <v>28</v>
      </c>
      <c r="M112" s="2" t="s">
        <v>28</v>
      </c>
      <c r="N112" s="2" t="s">
        <v>28</v>
      </c>
      <c r="O112" s="2" t="s">
        <v>588</v>
      </c>
      <c r="P112" s="2">
        <v>16880</v>
      </c>
      <c r="Q112" s="2">
        <v>18</v>
      </c>
      <c r="R112" s="5">
        <f t="shared" si="3"/>
        <v>3038.4</v>
      </c>
      <c r="S112" s="5">
        <f t="shared" si="4"/>
        <v>19918.400000000001</v>
      </c>
      <c r="T112" s="2">
        <v>0</v>
      </c>
      <c r="U112" s="2" t="s">
        <v>31</v>
      </c>
      <c r="V112" s="2" t="str">
        <f>IF(F112="","",CHOOSE(INT(MOD(MONTH(S119)-7,12)/3)+1,"Q1","Q2","Q3","Q4"))</f>
        <v>Q4</v>
      </c>
      <c r="W112" s="3" t="s">
        <v>32</v>
      </c>
    </row>
    <row r="113" spans="1:23" ht="22.5" customHeight="1" x14ac:dyDescent="0.25">
      <c r="A113">
        <v>1226</v>
      </c>
      <c r="B113" t="s">
        <v>23</v>
      </c>
      <c r="C113" s="4" t="s">
        <v>596</v>
      </c>
      <c r="D113" s="5" t="s">
        <v>25</v>
      </c>
      <c r="E113" s="5" t="s">
        <v>304</v>
      </c>
      <c r="F113" s="14" t="s">
        <v>533</v>
      </c>
      <c r="G113" s="5" t="s">
        <v>28</v>
      </c>
      <c r="H113" s="5" t="s">
        <v>28</v>
      </c>
      <c r="I113" s="5" t="s">
        <v>28</v>
      </c>
      <c r="J113" s="5" t="s">
        <v>28</v>
      </c>
      <c r="K113" s="5" t="s">
        <v>29</v>
      </c>
      <c r="L113" s="5" t="s">
        <v>28</v>
      </c>
      <c r="M113" s="5" t="s">
        <v>28</v>
      </c>
      <c r="N113" s="5" t="s">
        <v>28</v>
      </c>
      <c r="O113" s="5" t="s">
        <v>597</v>
      </c>
      <c r="P113" s="5">
        <v>102</v>
      </c>
      <c r="Q113" s="5">
        <v>18</v>
      </c>
      <c r="R113" s="5">
        <f t="shared" si="3"/>
        <v>18.36</v>
      </c>
      <c r="S113" s="5">
        <f t="shared" si="4"/>
        <v>120.36</v>
      </c>
      <c r="T113" s="5">
        <v>0</v>
      </c>
      <c r="U113" s="5" t="s">
        <v>31</v>
      </c>
      <c r="V113" s="5" t="str">
        <f>IF(F113="","",CHOOSE(INT(MOD(MONTH(S120)-7,12)/3)+1,"Q1","Q2","Q3","Q4"))</f>
        <v>Q1</v>
      </c>
      <c r="W113" s="6" t="s">
        <v>32</v>
      </c>
    </row>
    <row r="114" spans="1:23" ht="15.75" x14ac:dyDescent="0.25">
      <c r="A114">
        <v>1227</v>
      </c>
      <c r="B114" t="s">
        <v>23</v>
      </c>
      <c r="C114" t="s">
        <v>598</v>
      </c>
      <c r="D114" t="s">
        <v>25</v>
      </c>
      <c r="E114" t="s">
        <v>537</v>
      </c>
      <c r="F114" s="17" t="s">
        <v>599</v>
      </c>
      <c r="G114" t="s">
        <v>28</v>
      </c>
      <c r="H114" t="s">
        <v>28</v>
      </c>
      <c r="I114" t="s">
        <v>28</v>
      </c>
      <c r="J114" t="s">
        <v>28</v>
      </c>
      <c r="K114" t="s">
        <v>29</v>
      </c>
      <c r="L114" t="s">
        <v>28</v>
      </c>
      <c r="M114" t="s">
        <v>28</v>
      </c>
      <c r="N114" t="s">
        <v>28</v>
      </c>
      <c r="O114" t="s">
        <v>600</v>
      </c>
      <c r="P114">
        <v>129</v>
      </c>
      <c r="Q114">
        <v>18</v>
      </c>
      <c r="R114" s="5">
        <f t="shared" si="3"/>
        <v>23.22</v>
      </c>
      <c r="S114" s="5">
        <f t="shared" si="4"/>
        <v>152.22</v>
      </c>
      <c r="T114">
        <v>0</v>
      </c>
      <c r="U114" t="s">
        <v>31</v>
      </c>
      <c r="V114" t="str">
        <f>IF(F114="","",CHOOSE(INT(MOD(MONTH(S121)-7,12)/3)+1,"Q1","Q2","Q3","Q4"))</f>
        <v>Q2</v>
      </c>
      <c r="W114" t="s">
        <v>32</v>
      </c>
    </row>
    <row r="115" spans="1:23" ht="22.5" customHeight="1" x14ac:dyDescent="0.25">
      <c r="A115">
        <v>1228</v>
      </c>
      <c r="B115" t="s">
        <v>23</v>
      </c>
      <c r="C115" s="10" t="s">
        <v>601</v>
      </c>
      <c r="D115" s="11" t="s">
        <v>25</v>
      </c>
      <c r="E115" s="11" t="s">
        <v>270</v>
      </c>
      <c r="F115" s="16" t="s">
        <v>599</v>
      </c>
      <c r="G115" s="11" t="s">
        <v>28</v>
      </c>
      <c r="H115" s="11" t="s">
        <v>28</v>
      </c>
      <c r="I115" s="11" t="s">
        <v>28</v>
      </c>
      <c r="J115" s="11" t="s">
        <v>28</v>
      </c>
      <c r="K115" s="11" t="s">
        <v>29</v>
      </c>
      <c r="L115" s="11" t="s">
        <v>28</v>
      </c>
      <c r="M115" s="11" t="s">
        <v>28</v>
      </c>
      <c r="N115" s="11" t="s">
        <v>28</v>
      </c>
      <c r="O115" s="11" t="s">
        <v>602</v>
      </c>
      <c r="P115" s="11">
        <v>2376.6999999999998</v>
      </c>
      <c r="Q115" s="5">
        <v>18</v>
      </c>
      <c r="R115" s="5">
        <f t="shared" si="3"/>
        <v>427.80599999999998</v>
      </c>
      <c r="S115" s="5">
        <f t="shared" si="4"/>
        <v>2804.5059999999999</v>
      </c>
      <c r="T115" s="11">
        <v>0</v>
      </c>
      <c r="U115" s="11" t="s">
        <v>31</v>
      </c>
      <c r="V115" s="11" t="str">
        <f>IF(F115="","",CHOOSE(INT(MOD(MONTH(S122)-7,12)/3)+1,"Q1","Q2","Q3","Q4"))</f>
        <v>Q4</v>
      </c>
      <c r="W115" s="12" t="s">
        <v>32</v>
      </c>
    </row>
    <row r="116" spans="1:23" ht="15.75" x14ac:dyDescent="0.25">
      <c r="A116">
        <v>1229</v>
      </c>
      <c r="B116" t="s">
        <v>23</v>
      </c>
      <c r="C116" t="s">
        <v>603</v>
      </c>
      <c r="D116" t="s">
        <v>25</v>
      </c>
      <c r="E116" t="s">
        <v>568</v>
      </c>
      <c r="F116" s="17" t="s">
        <v>604</v>
      </c>
      <c r="G116" t="s">
        <v>28</v>
      </c>
      <c r="H116" t="s">
        <v>28</v>
      </c>
      <c r="I116" t="s">
        <v>28</v>
      </c>
      <c r="J116" t="s">
        <v>28</v>
      </c>
      <c r="K116" t="s">
        <v>29</v>
      </c>
      <c r="L116" t="s">
        <v>28</v>
      </c>
      <c r="M116" t="s">
        <v>28</v>
      </c>
      <c r="N116" t="s">
        <v>28</v>
      </c>
      <c r="O116" t="s">
        <v>605</v>
      </c>
      <c r="P116">
        <v>100</v>
      </c>
      <c r="Q116">
        <v>18</v>
      </c>
      <c r="R116" s="5">
        <f t="shared" si="3"/>
        <v>18</v>
      </c>
      <c r="S116" s="5">
        <f t="shared" si="4"/>
        <v>118</v>
      </c>
      <c r="T116">
        <v>0</v>
      </c>
      <c r="U116" t="s">
        <v>31</v>
      </c>
      <c r="V116" t="str">
        <f>IF(F116="","",CHOOSE(INT(MOD(MONTH(S123)-7,12)/3)+1,"Q1","Q2","Q3","Q4"))</f>
        <v>Q4</v>
      </c>
      <c r="W116" t="s">
        <v>227</v>
      </c>
    </row>
    <row r="117" spans="1:23" ht="22.5" customHeight="1" x14ac:dyDescent="0.25">
      <c r="A117">
        <v>1230</v>
      </c>
      <c r="B117" t="s">
        <v>23</v>
      </c>
      <c r="C117" s="1" t="s">
        <v>606</v>
      </c>
      <c r="D117" s="2" t="s">
        <v>25</v>
      </c>
      <c r="E117" s="2" t="s">
        <v>593</v>
      </c>
      <c r="F117" s="13" t="s">
        <v>599</v>
      </c>
      <c r="G117" s="2" t="s">
        <v>28</v>
      </c>
      <c r="H117" s="2" t="s">
        <v>28</v>
      </c>
      <c r="I117" s="2" t="s">
        <v>28</v>
      </c>
      <c r="J117" s="2" t="s">
        <v>28</v>
      </c>
      <c r="K117" s="2" t="s">
        <v>29</v>
      </c>
      <c r="L117" s="2" t="s">
        <v>28</v>
      </c>
      <c r="M117" s="2" t="s">
        <v>28</v>
      </c>
      <c r="N117" s="2" t="s">
        <v>28</v>
      </c>
      <c r="O117" s="2" t="s">
        <v>607</v>
      </c>
      <c r="P117" s="2">
        <v>6622</v>
      </c>
      <c r="Q117" s="5">
        <v>18</v>
      </c>
      <c r="R117" s="5">
        <f t="shared" si="3"/>
        <v>1191.96</v>
      </c>
      <c r="S117" s="5">
        <f t="shared" si="4"/>
        <v>7813.96</v>
      </c>
      <c r="T117" s="2">
        <v>0</v>
      </c>
      <c r="U117" s="2" t="s">
        <v>31</v>
      </c>
      <c r="V117" s="2" t="str">
        <f>IF(F117="","",CHOOSE(INT(MOD(MONTH(S124)-7,12)/3)+1,"Q1","Q2","Q3","Q4"))</f>
        <v>Q1</v>
      </c>
      <c r="W117" s="3" t="s">
        <v>32</v>
      </c>
    </row>
    <row r="118" spans="1:23" ht="22.5" customHeight="1" x14ac:dyDescent="0.25">
      <c r="A118">
        <v>1231</v>
      </c>
      <c r="B118" t="s">
        <v>23</v>
      </c>
      <c r="C118" s="4" t="s">
        <v>608</v>
      </c>
      <c r="D118" s="5" t="s">
        <v>25</v>
      </c>
      <c r="E118" s="5" t="s">
        <v>506</v>
      </c>
      <c r="F118" s="14" t="s">
        <v>559</v>
      </c>
      <c r="G118" s="5" t="s">
        <v>28</v>
      </c>
      <c r="H118" s="5" t="s">
        <v>28</v>
      </c>
      <c r="I118" s="5" t="s">
        <v>28</v>
      </c>
      <c r="J118" s="5" t="s">
        <v>28</v>
      </c>
      <c r="K118" s="5" t="s">
        <v>29</v>
      </c>
      <c r="L118" s="5" t="s">
        <v>28</v>
      </c>
      <c r="M118" s="5" t="s">
        <v>28</v>
      </c>
      <c r="N118" s="5" t="s">
        <v>28</v>
      </c>
      <c r="O118" s="5" t="s">
        <v>609</v>
      </c>
      <c r="P118" s="5">
        <v>4320</v>
      </c>
      <c r="Q118" s="5">
        <v>18</v>
      </c>
      <c r="R118" s="5">
        <f t="shared" si="3"/>
        <v>777.6</v>
      </c>
      <c r="S118" s="5">
        <f t="shared" si="4"/>
        <v>5097.6000000000004</v>
      </c>
      <c r="T118" s="5">
        <v>0</v>
      </c>
      <c r="U118" s="5" t="s">
        <v>31</v>
      </c>
      <c r="V118" s="5" t="str">
        <f>IF(F118="","",CHOOSE(INT(MOD(MONTH(S125)-7,12)/3)+1,"Q1","Q2","Q3","Q4"))</f>
        <v>Q3</v>
      </c>
      <c r="W118" s="6" t="s">
        <v>32</v>
      </c>
    </row>
    <row r="119" spans="1:23" ht="15.75" x14ac:dyDescent="0.25">
      <c r="A119">
        <v>1235</v>
      </c>
      <c r="B119" t="s">
        <v>23</v>
      </c>
      <c r="C119" t="s">
        <v>617</v>
      </c>
      <c r="D119" t="s">
        <v>25</v>
      </c>
      <c r="E119" t="s">
        <v>586</v>
      </c>
      <c r="F119" s="17" t="s">
        <v>618</v>
      </c>
      <c r="G119" t="s">
        <v>28</v>
      </c>
      <c r="H119" t="s">
        <v>28</v>
      </c>
      <c r="I119" t="s">
        <v>28</v>
      </c>
      <c r="J119" t="s">
        <v>28</v>
      </c>
      <c r="K119" t="s">
        <v>29</v>
      </c>
      <c r="L119" t="s">
        <v>28</v>
      </c>
      <c r="M119" t="s">
        <v>28</v>
      </c>
      <c r="N119" t="s">
        <v>28</v>
      </c>
      <c r="O119" t="s">
        <v>619</v>
      </c>
      <c r="P119">
        <v>4731.6000000000004</v>
      </c>
      <c r="Q119">
        <v>18</v>
      </c>
      <c r="R119" s="5">
        <f t="shared" si="3"/>
        <v>851.6880000000001</v>
      </c>
      <c r="S119" s="5">
        <f t="shared" si="4"/>
        <v>5583.2880000000005</v>
      </c>
      <c r="T119">
        <v>0</v>
      </c>
      <c r="U119" t="s">
        <v>31</v>
      </c>
      <c r="V119" t="str">
        <f>IF(F119="","",CHOOSE(INT(MOD(MONTH(S126)-7,12)/3)+1,"Q1","Q2","Q3","Q4"))</f>
        <v>Q4</v>
      </c>
      <c r="W119" t="s">
        <v>32</v>
      </c>
    </row>
    <row r="120" spans="1:23" ht="22.5" customHeight="1" x14ac:dyDescent="0.25">
      <c r="A120">
        <v>1232</v>
      </c>
      <c r="B120" t="s">
        <v>23</v>
      </c>
      <c r="C120" s="1" t="s">
        <v>610</v>
      </c>
      <c r="D120" s="2" t="s">
        <v>25</v>
      </c>
      <c r="E120" s="2" t="s">
        <v>270</v>
      </c>
      <c r="F120" s="13" t="s">
        <v>575</v>
      </c>
      <c r="G120" s="2" t="s">
        <v>28</v>
      </c>
      <c r="H120" s="2" t="s">
        <v>28</v>
      </c>
      <c r="I120" s="2" t="s">
        <v>28</v>
      </c>
      <c r="J120" s="2" t="s">
        <v>28</v>
      </c>
      <c r="K120" s="2" t="s">
        <v>29</v>
      </c>
      <c r="L120" s="2" t="s">
        <v>28</v>
      </c>
      <c r="M120" s="2" t="s">
        <v>28</v>
      </c>
      <c r="N120" s="2" t="s">
        <v>28</v>
      </c>
      <c r="O120" s="2" t="s">
        <v>611</v>
      </c>
      <c r="P120" s="2">
        <v>5111.8599999999997</v>
      </c>
      <c r="Q120" s="5">
        <v>18</v>
      </c>
      <c r="R120" s="5">
        <f t="shared" si="3"/>
        <v>920.13479999999993</v>
      </c>
      <c r="S120" s="5">
        <f t="shared" si="4"/>
        <v>6031.9947999999995</v>
      </c>
      <c r="T120" s="2">
        <v>0</v>
      </c>
      <c r="U120" s="2" t="s">
        <v>31</v>
      </c>
      <c r="V120" s="2" t="str">
        <f>IF(F120="","",CHOOSE(INT(MOD(MONTH(S127)-7,12)/3)+1,"Q1","Q2","Q3","Q4"))</f>
        <v>Q3</v>
      </c>
      <c r="W120" s="3" t="s">
        <v>32</v>
      </c>
    </row>
    <row r="121" spans="1:23" ht="22.5" customHeight="1" x14ac:dyDescent="0.25">
      <c r="A121">
        <v>1233</v>
      </c>
      <c r="B121" t="s">
        <v>23</v>
      </c>
      <c r="C121" s="4" t="s">
        <v>612</v>
      </c>
      <c r="D121" s="5" t="s">
        <v>25</v>
      </c>
      <c r="E121" s="5" t="s">
        <v>564</v>
      </c>
      <c r="F121" s="14" t="s">
        <v>210</v>
      </c>
      <c r="G121" s="5" t="s">
        <v>28</v>
      </c>
      <c r="H121" s="5" t="s">
        <v>28</v>
      </c>
      <c r="I121" s="5" t="s">
        <v>28</v>
      </c>
      <c r="J121" s="5" t="s">
        <v>28</v>
      </c>
      <c r="K121" s="5" t="s">
        <v>29</v>
      </c>
      <c r="L121" s="5" t="s">
        <v>28</v>
      </c>
      <c r="M121" s="5" t="s">
        <v>28</v>
      </c>
      <c r="N121" s="5" t="s">
        <v>28</v>
      </c>
      <c r="O121" s="5" t="s">
        <v>613</v>
      </c>
      <c r="P121" s="5">
        <v>4305.6000000000004</v>
      </c>
      <c r="Q121" s="5">
        <v>18</v>
      </c>
      <c r="R121" s="5">
        <f t="shared" si="3"/>
        <v>775.00800000000004</v>
      </c>
      <c r="S121" s="5">
        <f t="shared" si="4"/>
        <v>5080.6080000000002</v>
      </c>
      <c r="T121" s="5">
        <v>0</v>
      </c>
      <c r="U121" s="5" t="s">
        <v>31</v>
      </c>
      <c r="V121" s="5" t="str">
        <f>IF(F121="","",CHOOSE(INT(MOD(MONTH(S128)-7,12)/3)+1,"Q1","Q2","Q3","Q4"))</f>
        <v>Q1</v>
      </c>
      <c r="W121" s="6" t="s">
        <v>32</v>
      </c>
    </row>
    <row r="122" spans="1:23" ht="15.75" x14ac:dyDescent="0.25">
      <c r="A122">
        <v>1234</v>
      </c>
      <c r="B122" t="s">
        <v>23</v>
      </c>
      <c r="C122" t="s">
        <v>614</v>
      </c>
      <c r="D122" t="s">
        <v>25</v>
      </c>
      <c r="E122" t="s">
        <v>586</v>
      </c>
      <c r="F122" s="17" t="s">
        <v>615</v>
      </c>
      <c r="G122" t="s">
        <v>28</v>
      </c>
      <c r="H122" t="s">
        <v>28</v>
      </c>
      <c r="I122" t="s">
        <v>28</v>
      </c>
      <c r="J122" t="s">
        <v>28</v>
      </c>
      <c r="K122" t="s">
        <v>29</v>
      </c>
      <c r="L122" t="s">
        <v>28</v>
      </c>
      <c r="M122" t="s">
        <v>28</v>
      </c>
      <c r="N122" t="s">
        <v>28</v>
      </c>
      <c r="O122" t="s">
        <v>616</v>
      </c>
      <c r="P122">
        <v>67574.2</v>
      </c>
      <c r="Q122">
        <v>18</v>
      </c>
      <c r="R122" s="5">
        <f t="shared" si="3"/>
        <v>12163.356</v>
      </c>
      <c r="S122" s="5">
        <f t="shared" si="4"/>
        <v>79737.555999999997</v>
      </c>
      <c r="T122">
        <v>0</v>
      </c>
      <c r="U122" t="s">
        <v>31</v>
      </c>
      <c r="V122" t="str">
        <f>IF(F122="","",CHOOSE(INT(MOD(MONTH(S129)-7,12)/3)+1,"Q1","Q2","Q3","Q4"))</f>
        <v>Q4</v>
      </c>
      <c r="W122" t="s">
        <v>227</v>
      </c>
    </row>
    <row r="123" spans="1:23" ht="22.5" customHeight="1" x14ac:dyDescent="0.25">
      <c r="A123">
        <v>482</v>
      </c>
      <c r="B123" t="s">
        <v>23</v>
      </c>
      <c r="C123" s="1" t="s">
        <v>139</v>
      </c>
      <c r="D123" s="2" t="s">
        <v>40</v>
      </c>
      <c r="E123" s="2" t="s">
        <v>140</v>
      </c>
      <c r="F123" s="13" t="s">
        <v>141</v>
      </c>
      <c r="G123" s="2" t="s">
        <v>28</v>
      </c>
      <c r="H123" s="2" t="s">
        <v>28</v>
      </c>
      <c r="I123" s="2" t="s">
        <v>28</v>
      </c>
      <c r="J123" s="2" t="s">
        <v>28</v>
      </c>
      <c r="K123" s="2" t="s">
        <v>29</v>
      </c>
      <c r="L123" s="2" t="s">
        <v>28</v>
      </c>
      <c r="M123" s="2" t="s">
        <v>28</v>
      </c>
      <c r="N123" s="2" t="s">
        <v>28</v>
      </c>
      <c r="O123" s="2" t="s">
        <v>28</v>
      </c>
      <c r="P123" s="2">
        <v>22428</v>
      </c>
      <c r="Q123" s="5">
        <v>0</v>
      </c>
      <c r="R123" s="5">
        <f t="shared" si="3"/>
        <v>0</v>
      </c>
      <c r="S123" s="5">
        <f t="shared" si="4"/>
        <v>22428</v>
      </c>
      <c r="T123" s="2">
        <v>0</v>
      </c>
      <c r="U123" s="2" t="s">
        <v>31</v>
      </c>
      <c r="V123" s="2" t="str">
        <f>IF(F123="","",CHOOSE(INT(MOD(MONTH(S130)-7,12)/3)+1,"Q1","Q2","Q3","Q4"))</f>
        <v>Q2</v>
      </c>
      <c r="W123" s="3" t="s">
        <v>43</v>
      </c>
    </row>
    <row r="124" spans="1:23" ht="22.5" customHeight="1" x14ac:dyDescent="0.25">
      <c r="A124">
        <v>26</v>
      </c>
      <c r="B124" t="s">
        <v>23</v>
      </c>
      <c r="C124" s="4" t="s">
        <v>39</v>
      </c>
      <c r="D124" s="5" t="s">
        <v>40</v>
      </c>
      <c r="E124" s="5" t="s">
        <v>41</v>
      </c>
      <c r="F124" s="14" t="s">
        <v>42</v>
      </c>
      <c r="G124" s="5" t="s">
        <v>28</v>
      </c>
      <c r="H124" s="5" t="s">
        <v>28</v>
      </c>
      <c r="I124" s="5" t="s">
        <v>28</v>
      </c>
      <c r="J124" s="5" t="s">
        <v>28</v>
      </c>
      <c r="K124" s="5" t="s">
        <v>29</v>
      </c>
      <c r="L124" s="5" t="s">
        <v>28</v>
      </c>
      <c r="M124" s="5" t="s">
        <v>28</v>
      </c>
      <c r="N124" s="5" t="s">
        <v>28</v>
      </c>
      <c r="O124" s="5" t="s">
        <v>28</v>
      </c>
      <c r="P124" s="5">
        <v>14450</v>
      </c>
      <c r="Q124" s="5">
        <v>18</v>
      </c>
      <c r="R124" s="5">
        <f t="shared" si="3"/>
        <v>2601</v>
      </c>
      <c r="S124" s="5">
        <f t="shared" si="4"/>
        <v>17051</v>
      </c>
      <c r="T124" s="5">
        <v>0</v>
      </c>
      <c r="U124" s="5" t="s">
        <v>31</v>
      </c>
      <c r="V124" s="5" t="str">
        <f>IF(F124="","",CHOOSE(INT(MOD(MONTH(S131)-7,12)/3)+1,"Q1","Q2","Q3","Q4"))</f>
        <v>Q2</v>
      </c>
      <c r="W124" s="6" t="s">
        <v>43</v>
      </c>
    </row>
    <row r="125" spans="1:23" ht="15.75" x14ac:dyDescent="0.25">
      <c r="A125">
        <v>242</v>
      </c>
      <c r="B125" t="s">
        <v>23</v>
      </c>
      <c r="C125" t="s">
        <v>95</v>
      </c>
      <c r="D125" t="s">
        <v>40</v>
      </c>
      <c r="E125" t="s">
        <v>71</v>
      </c>
      <c r="F125" s="17" t="s">
        <v>96</v>
      </c>
      <c r="G125" t="s">
        <v>28</v>
      </c>
      <c r="H125" t="s">
        <v>28</v>
      </c>
      <c r="I125" t="s">
        <v>28</v>
      </c>
      <c r="J125" t="s">
        <v>28</v>
      </c>
      <c r="K125" t="s">
        <v>29</v>
      </c>
      <c r="L125" t="s">
        <v>28</v>
      </c>
      <c r="M125" t="s">
        <v>28</v>
      </c>
      <c r="N125" t="s">
        <v>28</v>
      </c>
      <c r="O125" t="s">
        <v>28</v>
      </c>
      <c r="P125">
        <v>65020.25</v>
      </c>
      <c r="Q125">
        <v>0</v>
      </c>
      <c r="R125" s="5">
        <f t="shared" si="3"/>
        <v>0</v>
      </c>
      <c r="S125" s="5">
        <f t="shared" si="4"/>
        <v>65020.25</v>
      </c>
      <c r="T125">
        <v>0</v>
      </c>
      <c r="U125" t="s">
        <v>31</v>
      </c>
      <c r="V125" t="str">
        <f>IF(F125="","",CHOOSE(INT(MOD(MONTH(S132)-7,12)/3)+1,"Q1","Q2","Q3","Q4"))</f>
        <v>Q3</v>
      </c>
      <c r="W125" t="s">
        <v>43</v>
      </c>
    </row>
    <row r="126" spans="1:23" ht="22.5" customHeight="1" x14ac:dyDescent="0.25">
      <c r="A126">
        <v>51</v>
      </c>
      <c r="B126" t="s">
        <v>23</v>
      </c>
      <c r="C126" s="1" t="s">
        <v>47</v>
      </c>
      <c r="D126" s="2" t="s">
        <v>40</v>
      </c>
      <c r="E126" s="2" t="s">
        <v>48</v>
      </c>
      <c r="F126" s="13" t="s">
        <v>42</v>
      </c>
      <c r="G126" s="2" t="s">
        <v>28</v>
      </c>
      <c r="H126" s="2" t="s">
        <v>28</v>
      </c>
      <c r="I126" s="2" t="s">
        <v>28</v>
      </c>
      <c r="J126" s="2" t="s">
        <v>28</v>
      </c>
      <c r="K126" s="2" t="s">
        <v>29</v>
      </c>
      <c r="L126" s="2" t="s">
        <v>28</v>
      </c>
      <c r="M126" s="2" t="s">
        <v>28</v>
      </c>
      <c r="N126" s="2" t="s">
        <v>28</v>
      </c>
      <c r="O126" s="2" t="s">
        <v>28</v>
      </c>
      <c r="P126" s="2">
        <v>87080</v>
      </c>
      <c r="Q126" s="5">
        <v>0</v>
      </c>
      <c r="R126" s="5">
        <f t="shared" ref="R126:R189" si="5">P126/100*Q126</f>
        <v>0</v>
      </c>
      <c r="S126" s="5">
        <f t="shared" si="4"/>
        <v>87080</v>
      </c>
      <c r="T126" s="2">
        <v>0</v>
      </c>
      <c r="U126" s="2" t="s">
        <v>31</v>
      </c>
      <c r="V126" s="2" t="str">
        <f>IF(F126="","",CHOOSE(INT(MOD(MONTH(S133)-7,12)/3)+1,"Q1","Q2","Q3","Q4"))</f>
        <v>Q4</v>
      </c>
      <c r="W126" s="3" t="s">
        <v>43</v>
      </c>
    </row>
    <row r="127" spans="1:23" ht="22.5" customHeight="1" x14ac:dyDescent="0.25">
      <c r="A127">
        <v>150</v>
      </c>
      <c r="B127" t="s">
        <v>23</v>
      </c>
      <c r="C127" s="7" t="s">
        <v>70</v>
      </c>
      <c r="D127" s="8" t="s">
        <v>40</v>
      </c>
      <c r="E127" s="8" t="s">
        <v>71</v>
      </c>
      <c r="F127" s="15" t="s">
        <v>72</v>
      </c>
      <c r="G127" s="8" t="s">
        <v>28</v>
      </c>
      <c r="H127" s="8" t="s">
        <v>28</v>
      </c>
      <c r="I127" s="8" t="s">
        <v>28</v>
      </c>
      <c r="J127" s="8" t="s">
        <v>28</v>
      </c>
      <c r="K127" s="8" t="s">
        <v>29</v>
      </c>
      <c r="L127" s="8" t="s">
        <v>28</v>
      </c>
      <c r="M127" s="8" t="s">
        <v>28</v>
      </c>
      <c r="N127" s="8" t="s">
        <v>28</v>
      </c>
      <c r="O127" s="8" t="s">
        <v>28</v>
      </c>
      <c r="P127" s="8">
        <v>11015</v>
      </c>
      <c r="Q127" s="5">
        <v>0</v>
      </c>
      <c r="R127" s="5">
        <f t="shared" si="5"/>
        <v>0</v>
      </c>
      <c r="S127" s="5">
        <f t="shared" si="4"/>
        <v>11015</v>
      </c>
      <c r="T127" s="8">
        <v>0</v>
      </c>
      <c r="U127" s="8" t="s">
        <v>31</v>
      </c>
      <c r="V127" s="8" t="str">
        <f>IF(F127="","",CHOOSE(INT(MOD(MONTH(S134)-7,12)/3)+1,"Q1","Q2","Q3","Q4"))</f>
        <v>Q3</v>
      </c>
      <c r="W127" s="9" t="s">
        <v>43</v>
      </c>
    </row>
    <row r="128" spans="1:23" ht="22.5" customHeight="1" x14ac:dyDescent="0.25">
      <c r="A128">
        <v>1098</v>
      </c>
      <c r="B128" t="s">
        <v>23</v>
      </c>
      <c r="C128" s="4" t="s">
        <v>296</v>
      </c>
      <c r="D128" s="5" t="s">
        <v>40</v>
      </c>
      <c r="E128" s="5" t="s">
        <v>273</v>
      </c>
      <c r="F128" s="14" t="s">
        <v>297</v>
      </c>
      <c r="G128" s="5" t="s">
        <v>28</v>
      </c>
      <c r="H128" s="5" t="s">
        <v>28</v>
      </c>
      <c r="I128" s="5" t="s">
        <v>28</v>
      </c>
      <c r="J128" s="5" t="s">
        <v>28</v>
      </c>
      <c r="K128" s="5" t="s">
        <v>29</v>
      </c>
      <c r="L128" s="5" t="s">
        <v>28</v>
      </c>
      <c r="M128" s="5" t="s">
        <v>28</v>
      </c>
      <c r="N128" s="5" t="s">
        <v>28</v>
      </c>
      <c r="O128" s="5" t="s">
        <v>28</v>
      </c>
      <c r="P128" s="5">
        <v>15950</v>
      </c>
      <c r="Q128" s="5">
        <v>0</v>
      </c>
      <c r="R128" s="5">
        <f t="shared" si="5"/>
        <v>0</v>
      </c>
      <c r="S128" s="5">
        <f t="shared" si="4"/>
        <v>15950</v>
      </c>
      <c r="T128" s="5">
        <v>0</v>
      </c>
      <c r="U128" s="5" t="s">
        <v>31</v>
      </c>
      <c r="V128" s="5" t="str">
        <f>IF(F128="","",CHOOSE(INT(MOD(MONTH(S135)-7,12)/3)+1,"Q1","Q2","Q3","Q4"))</f>
        <v>Q4</v>
      </c>
      <c r="W128" s="6" t="s">
        <v>247</v>
      </c>
    </row>
    <row r="129" spans="1:23" ht="15.75" x14ac:dyDescent="0.25">
      <c r="A129">
        <v>1104</v>
      </c>
      <c r="B129" t="s">
        <v>23</v>
      </c>
      <c r="C129" t="s">
        <v>311</v>
      </c>
      <c r="D129" t="s">
        <v>40</v>
      </c>
      <c r="E129" t="s">
        <v>299</v>
      </c>
      <c r="F129" s="17" t="s">
        <v>312</v>
      </c>
      <c r="G129" t="s">
        <v>28</v>
      </c>
      <c r="H129" t="s">
        <v>28</v>
      </c>
      <c r="I129" t="s">
        <v>28</v>
      </c>
      <c r="J129" t="s">
        <v>28</v>
      </c>
      <c r="K129" t="s">
        <v>29</v>
      </c>
      <c r="L129" t="s">
        <v>28</v>
      </c>
      <c r="M129" t="s">
        <v>28</v>
      </c>
      <c r="N129" t="s">
        <v>28</v>
      </c>
      <c r="O129" t="s">
        <v>28</v>
      </c>
      <c r="P129">
        <v>145116</v>
      </c>
      <c r="Q129">
        <v>0</v>
      </c>
      <c r="R129" s="5">
        <f t="shared" si="5"/>
        <v>0</v>
      </c>
      <c r="S129" s="5">
        <f t="shared" si="4"/>
        <v>145116</v>
      </c>
      <c r="T129">
        <v>0</v>
      </c>
      <c r="U129" t="s">
        <v>31</v>
      </c>
      <c r="V129" t="str">
        <f>IF(F129="","",CHOOSE(INT(MOD(MONTH(S136)-7,12)/3)+1,"Q1","Q2","Q3","Q4"))</f>
        <v>Q4</v>
      </c>
      <c r="W129" t="s">
        <v>247</v>
      </c>
    </row>
    <row r="130" spans="1:23" ht="22.5" customHeight="1" x14ac:dyDescent="0.25">
      <c r="A130">
        <v>1099</v>
      </c>
      <c r="B130" t="s">
        <v>23</v>
      </c>
      <c r="C130" s="10" t="s">
        <v>298</v>
      </c>
      <c r="D130" s="11" t="s">
        <v>40</v>
      </c>
      <c r="E130" s="11" t="s">
        <v>299</v>
      </c>
      <c r="F130" s="16" t="s">
        <v>300</v>
      </c>
      <c r="G130" s="11" t="s">
        <v>28</v>
      </c>
      <c r="H130" s="11" t="s">
        <v>28</v>
      </c>
      <c r="I130" s="11" t="s">
        <v>28</v>
      </c>
      <c r="J130" s="11" t="s">
        <v>28</v>
      </c>
      <c r="K130" s="11" t="s">
        <v>29</v>
      </c>
      <c r="L130" s="11" t="s">
        <v>28</v>
      </c>
      <c r="M130" s="11" t="s">
        <v>28</v>
      </c>
      <c r="N130" s="11" t="s">
        <v>28</v>
      </c>
      <c r="O130" s="11" t="s">
        <v>28</v>
      </c>
      <c r="P130" s="11">
        <v>23687.200000000001</v>
      </c>
      <c r="Q130" s="5">
        <v>0</v>
      </c>
      <c r="R130" s="5">
        <f t="shared" si="5"/>
        <v>0</v>
      </c>
      <c r="S130" s="5">
        <f t="shared" si="4"/>
        <v>23687.200000000001</v>
      </c>
      <c r="T130" s="11">
        <v>0</v>
      </c>
      <c r="U130" s="11" t="s">
        <v>31</v>
      </c>
      <c r="V130" s="11" t="str">
        <f>IF(F130="","",CHOOSE(INT(MOD(MONTH(S137)-7,12)/3)+1,"Q1","Q2","Q3","Q4"))</f>
        <v>Q4</v>
      </c>
      <c r="W130" s="12" t="s">
        <v>247</v>
      </c>
    </row>
    <row r="131" spans="1:23" ht="15.75" x14ac:dyDescent="0.25">
      <c r="A131">
        <v>1117</v>
      </c>
      <c r="B131" t="s">
        <v>23</v>
      </c>
      <c r="C131" t="s">
        <v>346</v>
      </c>
      <c r="D131" t="s">
        <v>40</v>
      </c>
      <c r="E131" t="s">
        <v>273</v>
      </c>
      <c r="F131" s="17" t="s">
        <v>343</v>
      </c>
      <c r="G131" t="s">
        <v>28</v>
      </c>
      <c r="H131" t="s">
        <v>28</v>
      </c>
      <c r="I131" t="s">
        <v>28</v>
      </c>
      <c r="J131" t="s">
        <v>28</v>
      </c>
      <c r="K131" t="s">
        <v>29</v>
      </c>
      <c r="L131" t="s">
        <v>28</v>
      </c>
      <c r="M131" t="s">
        <v>28</v>
      </c>
      <c r="N131" t="s">
        <v>28</v>
      </c>
      <c r="O131" t="s">
        <v>28</v>
      </c>
      <c r="P131">
        <v>14950</v>
      </c>
      <c r="Q131">
        <v>0</v>
      </c>
      <c r="R131" s="5">
        <f t="shared" si="5"/>
        <v>0</v>
      </c>
      <c r="S131" s="5">
        <f t="shared" ref="S131:S194" si="6">P131+R131</f>
        <v>14950</v>
      </c>
      <c r="T131">
        <v>0</v>
      </c>
      <c r="U131" t="s">
        <v>31</v>
      </c>
      <c r="V131" t="str">
        <f>IF(F131="","",CHOOSE(INT(MOD(MONTH(S138)-7,12)/3)+1,"Q1","Q2","Q3","Q4"))</f>
        <v>Q4</v>
      </c>
      <c r="W131" t="s">
        <v>247</v>
      </c>
    </row>
    <row r="132" spans="1:23" ht="22.5" customHeight="1" x14ac:dyDescent="0.25">
      <c r="A132">
        <v>1112</v>
      </c>
      <c r="B132" t="s">
        <v>23</v>
      </c>
      <c r="C132" s="1" t="s">
        <v>334</v>
      </c>
      <c r="D132" s="2" t="s">
        <v>40</v>
      </c>
      <c r="E132" s="2" t="s">
        <v>335</v>
      </c>
      <c r="F132" s="13" t="s">
        <v>336</v>
      </c>
      <c r="G132" s="2" t="s">
        <v>28</v>
      </c>
      <c r="H132" s="2" t="s">
        <v>28</v>
      </c>
      <c r="I132" s="2" t="s">
        <v>28</v>
      </c>
      <c r="J132" s="2" t="s">
        <v>28</v>
      </c>
      <c r="K132" s="2" t="s">
        <v>29</v>
      </c>
      <c r="L132" s="2" t="s">
        <v>28</v>
      </c>
      <c r="M132" s="2" t="s">
        <v>28</v>
      </c>
      <c r="N132" s="2" t="s">
        <v>28</v>
      </c>
      <c r="O132" s="2" t="s">
        <v>28</v>
      </c>
      <c r="P132" s="2">
        <v>119828</v>
      </c>
      <c r="Q132" s="5">
        <v>0</v>
      </c>
      <c r="R132" s="5">
        <f t="shared" si="5"/>
        <v>0</v>
      </c>
      <c r="S132" s="5">
        <f t="shared" si="6"/>
        <v>119828</v>
      </c>
      <c r="T132" s="2">
        <v>0</v>
      </c>
      <c r="U132" s="2" t="s">
        <v>31</v>
      </c>
      <c r="V132" s="2" t="str">
        <f>IF(F132="","",CHOOSE(INT(MOD(MONTH(S139)-7,12)/3)+1,"Q1","Q2","Q3","Q4"))</f>
        <v>Q1</v>
      </c>
      <c r="W132" s="3" t="s">
        <v>247</v>
      </c>
    </row>
    <row r="133" spans="1:23" ht="22.5" customHeight="1" x14ac:dyDescent="0.25">
      <c r="A133">
        <v>1106</v>
      </c>
      <c r="B133" t="s">
        <v>23</v>
      </c>
      <c r="C133" s="7" t="s">
        <v>315</v>
      </c>
      <c r="D133" s="8" t="s">
        <v>40</v>
      </c>
      <c r="E133" s="8" t="s">
        <v>316</v>
      </c>
      <c r="F133" s="15" t="s">
        <v>317</v>
      </c>
      <c r="G133" s="8" t="s">
        <v>28</v>
      </c>
      <c r="H133" s="8" t="s">
        <v>28</v>
      </c>
      <c r="I133" s="8" t="s">
        <v>28</v>
      </c>
      <c r="J133" s="8" t="s">
        <v>28</v>
      </c>
      <c r="K133" s="8" t="s">
        <v>29</v>
      </c>
      <c r="L133" s="8" t="s">
        <v>28</v>
      </c>
      <c r="M133" s="8" t="s">
        <v>28</v>
      </c>
      <c r="N133" s="8" t="s">
        <v>28</v>
      </c>
      <c r="O133" s="8" t="s">
        <v>28</v>
      </c>
      <c r="P133" s="8">
        <v>11426</v>
      </c>
      <c r="Q133" s="8">
        <v>0</v>
      </c>
      <c r="R133" s="5">
        <f t="shared" si="5"/>
        <v>0</v>
      </c>
      <c r="S133" s="5">
        <f t="shared" si="6"/>
        <v>11426</v>
      </c>
      <c r="T133" s="8">
        <v>0</v>
      </c>
      <c r="U133" s="8" t="s">
        <v>31</v>
      </c>
      <c r="V133" s="8" t="str">
        <f>IF(F133="","",CHOOSE(INT(MOD(MONTH(S140)-7,12)/3)+1,"Q1","Q2","Q3","Q4"))</f>
        <v>Q4</v>
      </c>
      <c r="W133" s="9" t="s">
        <v>247</v>
      </c>
    </row>
    <row r="134" spans="1:23" ht="22.5" customHeight="1" x14ac:dyDescent="0.25">
      <c r="A134">
        <v>1109</v>
      </c>
      <c r="B134" t="s">
        <v>23</v>
      </c>
      <c r="C134" s="7" t="s">
        <v>328</v>
      </c>
      <c r="D134" s="8" t="s">
        <v>40</v>
      </c>
      <c r="E134" s="8" t="s">
        <v>299</v>
      </c>
      <c r="F134" s="15" t="s">
        <v>317</v>
      </c>
      <c r="G134" s="8" t="s">
        <v>28</v>
      </c>
      <c r="H134" s="8" t="s">
        <v>28</v>
      </c>
      <c r="I134" s="8" t="s">
        <v>28</v>
      </c>
      <c r="J134" s="8" t="s">
        <v>28</v>
      </c>
      <c r="K134" s="8" t="s">
        <v>29</v>
      </c>
      <c r="L134" s="8" t="s">
        <v>28</v>
      </c>
      <c r="M134" s="8" t="s">
        <v>28</v>
      </c>
      <c r="N134" s="8" t="s">
        <v>28</v>
      </c>
      <c r="O134" s="8" t="s">
        <v>28</v>
      </c>
      <c r="P134" s="8">
        <v>8816</v>
      </c>
      <c r="Q134" s="5">
        <v>0</v>
      </c>
      <c r="R134" s="5">
        <f t="shared" si="5"/>
        <v>0</v>
      </c>
      <c r="S134" s="5">
        <f t="shared" si="6"/>
        <v>8816</v>
      </c>
      <c r="T134" s="8">
        <v>0</v>
      </c>
      <c r="U134" s="8" t="s">
        <v>31</v>
      </c>
      <c r="V134" s="8" t="str">
        <f>IF(F134="","",CHOOSE(INT(MOD(MONTH(S141)-7,12)/3)+1,"Q1","Q2","Q3","Q4"))</f>
        <v>Q3</v>
      </c>
      <c r="W134" s="9" t="s">
        <v>247</v>
      </c>
    </row>
    <row r="135" spans="1:23" ht="22.5" customHeight="1" x14ac:dyDescent="0.25">
      <c r="A135">
        <v>1179</v>
      </c>
      <c r="B135" t="s">
        <v>23</v>
      </c>
      <c r="C135" s="4" t="s">
        <v>484</v>
      </c>
      <c r="D135" s="5" t="s">
        <v>40</v>
      </c>
      <c r="E135" s="5" t="s">
        <v>467</v>
      </c>
      <c r="F135" s="14" t="s">
        <v>485</v>
      </c>
      <c r="G135" s="5" t="s">
        <v>28</v>
      </c>
      <c r="H135" s="5" t="s">
        <v>28</v>
      </c>
      <c r="I135" s="5" t="s">
        <v>28</v>
      </c>
      <c r="J135" s="5" t="s">
        <v>28</v>
      </c>
      <c r="K135" s="5" t="s">
        <v>29</v>
      </c>
      <c r="L135" s="5" t="s">
        <v>28</v>
      </c>
      <c r="M135" s="5" t="s">
        <v>28</v>
      </c>
      <c r="N135" s="5" t="s">
        <v>28</v>
      </c>
      <c r="O135" s="5" t="s">
        <v>28</v>
      </c>
      <c r="P135" s="5">
        <v>26030.25</v>
      </c>
      <c r="Q135" s="5">
        <v>0</v>
      </c>
      <c r="R135" s="5">
        <f t="shared" si="5"/>
        <v>0</v>
      </c>
      <c r="S135" s="5">
        <f t="shared" si="6"/>
        <v>26030.25</v>
      </c>
      <c r="T135" s="5">
        <v>0</v>
      </c>
      <c r="U135" s="5" t="s">
        <v>31</v>
      </c>
      <c r="V135" s="5" t="str">
        <f>IF(F135="","",CHOOSE(INT(MOD(MONTH(S142)-7,12)/3)+1,"Q1","Q2","Q3","Q4"))</f>
        <v>Q3</v>
      </c>
      <c r="W135" s="6" t="s">
        <v>451</v>
      </c>
    </row>
    <row r="136" spans="1:23" ht="15.75" x14ac:dyDescent="0.25">
      <c r="A136">
        <v>1182</v>
      </c>
      <c r="B136" t="s">
        <v>23</v>
      </c>
      <c r="C136" t="s">
        <v>490</v>
      </c>
      <c r="D136" t="s">
        <v>40</v>
      </c>
      <c r="E136" t="s">
        <v>467</v>
      </c>
      <c r="F136" s="17" t="s">
        <v>491</v>
      </c>
      <c r="G136" t="s">
        <v>28</v>
      </c>
      <c r="H136" t="s">
        <v>28</v>
      </c>
      <c r="I136" t="s">
        <v>28</v>
      </c>
      <c r="J136" t="s">
        <v>28</v>
      </c>
      <c r="K136" t="s">
        <v>29</v>
      </c>
      <c r="L136" t="s">
        <v>28</v>
      </c>
      <c r="M136" t="s">
        <v>28</v>
      </c>
      <c r="N136" t="s">
        <v>28</v>
      </c>
      <c r="O136" t="s">
        <v>28</v>
      </c>
      <c r="P136">
        <v>24265</v>
      </c>
      <c r="Q136">
        <v>0</v>
      </c>
      <c r="R136" s="5">
        <f t="shared" si="5"/>
        <v>0</v>
      </c>
      <c r="S136" s="5">
        <f t="shared" si="6"/>
        <v>24265</v>
      </c>
      <c r="T136">
        <v>0</v>
      </c>
      <c r="U136" t="s">
        <v>31</v>
      </c>
      <c r="V136" t="str">
        <f>IF(F136="","",CHOOSE(INT(MOD(MONTH(S143)-7,12)/3)+1,"Q1","Q2","Q3","Q4"))</f>
        <v>Q3</v>
      </c>
      <c r="W136" t="s">
        <v>451</v>
      </c>
    </row>
    <row r="137" spans="1:23" ht="22.5" customHeight="1" x14ac:dyDescent="0.25">
      <c r="A137">
        <v>233</v>
      </c>
      <c r="B137" t="s">
        <v>23</v>
      </c>
      <c r="C137" s="10" t="s">
        <v>91</v>
      </c>
      <c r="D137" s="11" t="s">
        <v>25</v>
      </c>
      <c r="E137" s="11" t="s">
        <v>92</v>
      </c>
      <c r="F137" s="16" t="s">
        <v>93</v>
      </c>
      <c r="G137" s="11" t="s">
        <v>28</v>
      </c>
      <c r="H137" s="11" t="s">
        <v>28</v>
      </c>
      <c r="I137" s="11" t="s">
        <v>28</v>
      </c>
      <c r="J137" s="11" t="s">
        <v>28</v>
      </c>
      <c r="K137" s="11" t="s">
        <v>29</v>
      </c>
      <c r="L137" s="11" t="s">
        <v>28</v>
      </c>
      <c r="M137" s="11" t="s">
        <v>28</v>
      </c>
      <c r="N137" s="11" t="s">
        <v>28</v>
      </c>
      <c r="O137" s="11" t="s">
        <v>94</v>
      </c>
      <c r="P137" s="11">
        <v>2595.5</v>
      </c>
      <c r="Q137" s="11">
        <v>18</v>
      </c>
      <c r="R137" s="5">
        <f t="shared" si="5"/>
        <v>467.18999999999994</v>
      </c>
      <c r="S137" s="5">
        <f t="shared" si="6"/>
        <v>3062.69</v>
      </c>
      <c r="T137" s="11">
        <v>0</v>
      </c>
      <c r="U137" s="11" t="s">
        <v>31</v>
      </c>
      <c r="V137" s="11" t="str">
        <f>IF(F137="","",CHOOSE(INT(MOD(MONTH(S144)-7,12)/3)+1,"Q1","Q2","Q3","Q4"))</f>
        <v>Q3</v>
      </c>
      <c r="W137" s="12" t="s">
        <v>32</v>
      </c>
    </row>
    <row r="138" spans="1:23" ht="15.75" x14ac:dyDescent="0.25">
      <c r="A138">
        <v>275</v>
      </c>
      <c r="B138" t="s">
        <v>23</v>
      </c>
      <c r="C138" t="s">
        <v>101</v>
      </c>
      <c r="D138" t="s">
        <v>25</v>
      </c>
      <c r="E138" t="s">
        <v>92</v>
      </c>
      <c r="F138" s="17" t="s">
        <v>102</v>
      </c>
      <c r="G138" t="s">
        <v>28</v>
      </c>
      <c r="H138" t="s">
        <v>28</v>
      </c>
      <c r="I138" t="s">
        <v>28</v>
      </c>
      <c r="J138" t="s">
        <v>28</v>
      </c>
      <c r="K138" t="s">
        <v>29</v>
      </c>
      <c r="L138" t="s">
        <v>28</v>
      </c>
      <c r="M138" t="s">
        <v>28</v>
      </c>
      <c r="N138" t="s">
        <v>28</v>
      </c>
      <c r="O138" t="s">
        <v>103</v>
      </c>
      <c r="P138">
        <v>2595.5</v>
      </c>
      <c r="Q138">
        <v>18</v>
      </c>
      <c r="R138" s="5">
        <f t="shared" si="5"/>
        <v>467.18999999999994</v>
      </c>
      <c r="S138" s="5">
        <f t="shared" si="6"/>
        <v>3062.69</v>
      </c>
      <c r="T138">
        <v>0</v>
      </c>
      <c r="U138" t="s">
        <v>31</v>
      </c>
      <c r="V138" t="str">
        <f>IF(F138="","",CHOOSE(INT(MOD(MONTH(S145)-7,12)/3)+1,"Q1","Q2","Q3","Q4"))</f>
        <v>Q4</v>
      </c>
      <c r="W138" t="s">
        <v>32</v>
      </c>
    </row>
    <row r="139" spans="1:23" ht="22.5" customHeight="1" x14ac:dyDescent="0.25">
      <c r="A139">
        <v>308</v>
      </c>
      <c r="B139" t="s">
        <v>23</v>
      </c>
      <c r="C139" s="1" t="s">
        <v>108</v>
      </c>
      <c r="D139" s="2" t="s">
        <v>25</v>
      </c>
      <c r="E139" s="2" t="s">
        <v>26</v>
      </c>
      <c r="F139" s="13" t="s">
        <v>102</v>
      </c>
      <c r="G139" s="2" t="s">
        <v>28</v>
      </c>
      <c r="H139" s="2" t="s">
        <v>28</v>
      </c>
      <c r="I139" s="2" t="s">
        <v>28</v>
      </c>
      <c r="J139" s="2" t="s">
        <v>28</v>
      </c>
      <c r="K139" s="2" t="s">
        <v>29</v>
      </c>
      <c r="L139" s="2" t="s">
        <v>28</v>
      </c>
      <c r="M139" s="2" t="s">
        <v>28</v>
      </c>
      <c r="N139" s="2" t="s">
        <v>28</v>
      </c>
      <c r="O139" s="2" t="s">
        <v>79</v>
      </c>
      <c r="P139" s="2">
        <v>3629.22</v>
      </c>
      <c r="Q139" s="5">
        <v>18</v>
      </c>
      <c r="R139" s="5">
        <f t="shared" si="5"/>
        <v>653.25959999999998</v>
      </c>
      <c r="S139" s="5">
        <f t="shared" si="6"/>
        <v>4282.4795999999997</v>
      </c>
      <c r="T139" s="2">
        <v>0</v>
      </c>
      <c r="U139" s="2" t="s">
        <v>31</v>
      </c>
      <c r="V139" s="2" t="str">
        <f>IF(F139="","",CHOOSE(INT(MOD(MONTH(S146)-7,12)/3)+1,"Q1","Q2","Q3","Q4"))</f>
        <v>Q4</v>
      </c>
      <c r="W139" s="3" t="s">
        <v>32</v>
      </c>
    </row>
    <row r="140" spans="1:23" ht="22.5" customHeight="1" x14ac:dyDescent="0.25">
      <c r="A140">
        <v>342</v>
      </c>
      <c r="B140" t="s">
        <v>23</v>
      </c>
      <c r="C140" s="4" t="s">
        <v>114</v>
      </c>
      <c r="D140" s="5" t="s">
        <v>25</v>
      </c>
      <c r="E140" s="5" t="s">
        <v>26</v>
      </c>
      <c r="F140" s="14" t="s">
        <v>115</v>
      </c>
      <c r="G140" s="5" t="s">
        <v>28</v>
      </c>
      <c r="H140" s="5" t="s">
        <v>28</v>
      </c>
      <c r="I140" s="5" t="s">
        <v>28</v>
      </c>
      <c r="J140" s="5" t="s">
        <v>28</v>
      </c>
      <c r="K140" s="5" t="s">
        <v>29</v>
      </c>
      <c r="L140" s="5" t="s">
        <v>28</v>
      </c>
      <c r="M140" s="5" t="s">
        <v>28</v>
      </c>
      <c r="N140" s="5" t="s">
        <v>28</v>
      </c>
      <c r="O140" s="5" t="s">
        <v>116</v>
      </c>
      <c r="P140" s="5">
        <v>2921.85</v>
      </c>
      <c r="Q140" s="5">
        <v>18</v>
      </c>
      <c r="R140" s="5">
        <f t="shared" si="5"/>
        <v>525.93299999999999</v>
      </c>
      <c r="S140" s="5">
        <f t="shared" si="6"/>
        <v>3447.7829999999999</v>
      </c>
      <c r="T140" s="5">
        <v>0</v>
      </c>
      <c r="U140" s="5" t="s">
        <v>31</v>
      </c>
      <c r="V140" s="5" t="str">
        <f>IF(F140="","",CHOOSE(INT(MOD(MONTH(S147)-7,12)/3)+1,"Q1","Q2","Q3","Q4"))</f>
        <v>Q4</v>
      </c>
      <c r="W140" s="6" t="s">
        <v>32</v>
      </c>
    </row>
    <row r="141" spans="1:23" ht="15.75" x14ac:dyDescent="0.25">
      <c r="A141">
        <v>809</v>
      </c>
      <c r="B141" t="s">
        <v>23</v>
      </c>
      <c r="C141" t="s">
        <v>201</v>
      </c>
      <c r="D141" t="s">
        <v>25</v>
      </c>
      <c r="E141" t="s">
        <v>26</v>
      </c>
      <c r="F141" s="17" t="s">
        <v>123</v>
      </c>
      <c r="G141" t="s">
        <v>28</v>
      </c>
      <c r="H141" t="s">
        <v>28</v>
      </c>
      <c r="I141" t="s">
        <v>28</v>
      </c>
      <c r="J141" t="s">
        <v>28</v>
      </c>
      <c r="K141" t="s">
        <v>29</v>
      </c>
      <c r="L141" t="s">
        <v>28</v>
      </c>
      <c r="M141" t="s">
        <v>28</v>
      </c>
      <c r="N141" t="s">
        <v>28</v>
      </c>
      <c r="O141" t="s">
        <v>202</v>
      </c>
      <c r="P141">
        <v>3525</v>
      </c>
      <c r="Q141">
        <v>15</v>
      </c>
      <c r="R141" s="5">
        <f t="shared" si="5"/>
        <v>528.75</v>
      </c>
      <c r="S141" s="5">
        <f t="shared" si="6"/>
        <v>4053.75</v>
      </c>
      <c r="T141">
        <v>0</v>
      </c>
      <c r="U141" t="s">
        <v>31</v>
      </c>
      <c r="V141" t="str">
        <f>IF(F141="","",CHOOSE(INT(MOD(MONTH(S148)-7,12)/3)+1,"Q1","Q2","Q3","Q4"))</f>
        <v>Q4</v>
      </c>
      <c r="W141" t="s">
        <v>32</v>
      </c>
    </row>
    <row r="142" spans="1:23" ht="22.5" customHeight="1" x14ac:dyDescent="0.25">
      <c r="A142">
        <v>387</v>
      </c>
      <c r="B142" t="s">
        <v>23</v>
      </c>
      <c r="C142" s="10" t="s">
        <v>122</v>
      </c>
      <c r="D142" s="11" t="s">
        <v>25</v>
      </c>
      <c r="E142" s="11" t="s">
        <v>88</v>
      </c>
      <c r="F142" s="16" t="s">
        <v>123</v>
      </c>
      <c r="G142" s="11" t="s">
        <v>28</v>
      </c>
      <c r="H142" s="11" t="s">
        <v>28</v>
      </c>
      <c r="I142" s="11" t="s">
        <v>28</v>
      </c>
      <c r="J142" s="11" t="s">
        <v>28</v>
      </c>
      <c r="K142" s="11" t="s">
        <v>29</v>
      </c>
      <c r="L142" s="11" t="s">
        <v>28</v>
      </c>
      <c r="M142" s="11" t="s">
        <v>28</v>
      </c>
      <c r="N142" s="11" t="s">
        <v>28</v>
      </c>
      <c r="O142" s="11" t="s">
        <v>124</v>
      </c>
      <c r="P142" s="11">
        <v>50</v>
      </c>
      <c r="Q142" s="5">
        <v>18</v>
      </c>
      <c r="R142" s="5">
        <f t="shared" si="5"/>
        <v>9</v>
      </c>
      <c r="S142" s="5">
        <f t="shared" si="6"/>
        <v>59</v>
      </c>
      <c r="T142" s="11">
        <v>0</v>
      </c>
      <c r="U142" s="11" t="s">
        <v>31</v>
      </c>
      <c r="V142" s="11" t="str">
        <f>IF(F142="","",CHOOSE(INT(MOD(MONTH(S149)-7,12)/3)+1,"Q1","Q2","Q3","Q4"))</f>
        <v>Q4</v>
      </c>
      <c r="W142" s="12" t="s">
        <v>32</v>
      </c>
    </row>
    <row r="143" spans="1:23" ht="15.75" x14ac:dyDescent="0.25">
      <c r="A143">
        <v>410</v>
      </c>
      <c r="B143" t="s">
        <v>23</v>
      </c>
      <c r="C143" t="s">
        <v>127</v>
      </c>
      <c r="D143" t="s">
        <v>25</v>
      </c>
      <c r="E143" t="s">
        <v>56</v>
      </c>
      <c r="F143" s="17" t="s">
        <v>123</v>
      </c>
      <c r="G143" t="s">
        <v>28</v>
      </c>
      <c r="H143" t="s">
        <v>28</v>
      </c>
      <c r="I143" t="s">
        <v>28</v>
      </c>
      <c r="J143" t="s">
        <v>28</v>
      </c>
      <c r="K143" t="s">
        <v>29</v>
      </c>
      <c r="L143" t="s">
        <v>28</v>
      </c>
      <c r="M143" t="s">
        <v>28</v>
      </c>
      <c r="N143" t="s">
        <v>28</v>
      </c>
      <c r="O143" t="s">
        <v>124</v>
      </c>
      <c r="P143">
        <v>1550</v>
      </c>
      <c r="Q143">
        <v>18</v>
      </c>
      <c r="R143" s="5">
        <f t="shared" si="5"/>
        <v>279</v>
      </c>
      <c r="S143" s="5">
        <f t="shared" si="6"/>
        <v>1829</v>
      </c>
      <c r="T143">
        <v>0</v>
      </c>
      <c r="U143" t="s">
        <v>31</v>
      </c>
      <c r="V143" t="str">
        <f>IF(F143="","",CHOOSE(INT(MOD(MONTH(S150)-7,12)/3)+1,"Q1","Q2","Q3","Q4"))</f>
        <v>Q3</v>
      </c>
      <c r="W143" t="s">
        <v>32</v>
      </c>
    </row>
    <row r="144" spans="1:23" ht="22.5" customHeight="1" x14ac:dyDescent="0.25">
      <c r="A144">
        <v>918</v>
      </c>
      <c r="B144" t="s">
        <v>23</v>
      </c>
      <c r="C144" s="1" t="s">
        <v>217</v>
      </c>
      <c r="D144" s="2" t="s">
        <v>25</v>
      </c>
      <c r="E144" s="2" t="s">
        <v>26</v>
      </c>
      <c r="F144" s="13" t="s">
        <v>134</v>
      </c>
      <c r="G144" s="2" t="s">
        <v>28</v>
      </c>
      <c r="H144" s="2" t="s">
        <v>28</v>
      </c>
      <c r="I144" s="2" t="s">
        <v>28</v>
      </c>
      <c r="J144" s="2" t="s">
        <v>28</v>
      </c>
      <c r="K144" s="2" t="s">
        <v>29</v>
      </c>
      <c r="L144" s="2" t="s">
        <v>28</v>
      </c>
      <c r="M144" s="2" t="s">
        <v>28</v>
      </c>
      <c r="N144" s="2" t="s">
        <v>28</v>
      </c>
      <c r="O144" s="2" t="s">
        <v>202</v>
      </c>
      <c r="P144" s="2">
        <v>7050</v>
      </c>
      <c r="Q144" s="2">
        <v>15</v>
      </c>
      <c r="R144" s="5">
        <f t="shared" si="5"/>
        <v>1057.5</v>
      </c>
      <c r="S144" s="5">
        <f t="shared" si="6"/>
        <v>8107.5</v>
      </c>
      <c r="T144" s="2">
        <v>0</v>
      </c>
      <c r="U144" s="2" t="s">
        <v>31</v>
      </c>
      <c r="V144" s="2" t="str">
        <f>IF(F144="","",CHOOSE(INT(MOD(MONTH(S151)-7,12)/3)+1,"Q1","Q2","Q3","Q4"))</f>
        <v>Q1</v>
      </c>
      <c r="W144" s="3" t="s">
        <v>32</v>
      </c>
    </row>
    <row r="145" spans="1:23" ht="22.5" customHeight="1" x14ac:dyDescent="0.25">
      <c r="A145">
        <v>747</v>
      </c>
      <c r="B145" t="s">
        <v>23</v>
      </c>
      <c r="C145" s="7" t="s">
        <v>189</v>
      </c>
      <c r="D145" s="8" t="s">
        <v>25</v>
      </c>
      <c r="E145" s="8" t="s">
        <v>88</v>
      </c>
      <c r="F145" s="15" t="s">
        <v>134</v>
      </c>
      <c r="G145" s="8" t="s">
        <v>28</v>
      </c>
      <c r="H145" s="8" t="s">
        <v>28</v>
      </c>
      <c r="I145" s="8" t="s">
        <v>28</v>
      </c>
      <c r="J145" s="8" t="s">
        <v>28</v>
      </c>
      <c r="K145" s="8" t="s">
        <v>29</v>
      </c>
      <c r="L145" s="8" t="s">
        <v>28</v>
      </c>
      <c r="M145" s="8" t="s">
        <v>28</v>
      </c>
      <c r="N145" s="8" t="s">
        <v>28</v>
      </c>
      <c r="O145" s="8" t="s">
        <v>190</v>
      </c>
      <c r="P145" s="8">
        <v>100</v>
      </c>
      <c r="Q145" s="2">
        <v>18</v>
      </c>
      <c r="R145" s="5">
        <f t="shared" si="5"/>
        <v>18</v>
      </c>
      <c r="S145" s="5">
        <f t="shared" si="6"/>
        <v>118</v>
      </c>
      <c r="T145" s="8">
        <v>0</v>
      </c>
      <c r="U145" s="8" t="s">
        <v>31</v>
      </c>
      <c r="V145" s="8" t="str">
        <f>IF(F145="","",CHOOSE(INT(MOD(MONTH(S152)-7,12)/3)+1,"Q1","Q2","Q3","Q4"))</f>
        <v>Q1</v>
      </c>
      <c r="W145" s="9" t="s">
        <v>32</v>
      </c>
    </row>
    <row r="146" spans="1:23" ht="22.5" customHeight="1" x14ac:dyDescent="0.25">
      <c r="A146">
        <v>445</v>
      </c>
      <c r="B146" t="s">
        <v>23</v>
      </c>
      <c r="C146" s="4" t="s">
        <v>133</v>
      </c>
      <c r="D146" s="5" t="s">
        <v>25</v>
      </c>
      <c r="E146" s="5" t="s">
        <v>56</v>
      </c>
      <c r="F146" s="14" t="s">
        <v>134</v>
      </c>
      <c r="G146" s="5" t="s">
        <v>28</v>
      </c>
      <c r="H146" s="5" t="s">
        <v>28</v>
      </c>
      <c r="I146" s="5" t="s">
        <v>28</v>
      </c>
      <c r="J146" s="5" t="s">
        <v>28</v>
      </c>
      <c r="K146" s="5" t="s">
        <v>29</v>
      </c>
      <c r="L146" s="5" t="s">
        <v>28</v>
      </c>
      <c r="M146" s="5" t="s">
        <v>28</v>
      </c>
      <c r="N146" s="5" t="s">
        <v>28</v>
      </c>
      <c r="O146" s="5" t="s">
        <v>124</v>
      </c>
      <c r="P146" s="5">
        <v>2900</v>
      </c>
      <c r="Q146" s="5">
        <v>18</v>
      </c>
      <c r="R146" s="5">
        <f t="shared" si="5"/>
        <v>522</v>
      </c>
      <c r="S146" s="5">
        <f t="shared" si="6"/>
        <v>3422</v>
      </c>
      <c r="T146" s="5">
        <v>0</v>
      </c>
      <c r="U146" s="5" t="s">
        <v>31</v>
      </c>
      <c r="V146" s="5" t="str">
        <f>IF(F146="","",CHOOSE(INT(MOD(MONTH(S153)-7,12)/3)+1,"Q1","Q2","Q3","Q4"))</f>
        <v>Q4</v>
      </c>
      <c r="W146" s="6" t="s">
        <v>32</v>
      </c>
    </row>
    <row r="147" spans="1:23" ht="15.75" x14ac:dyDescent="0.25">
      <c r="A147">
        <v>533</v>
      </c>
      <c r="B147" t="s">
        <v>23</v>
      </c>
      <c r="C147" t="s">
        <v>151</v>
      </c>
      <c r="D147" t="s">
        <v>25</v>
      </c>
      <c r="E147" t="s">
        <v>152</v>
      </c>
      <c r="F147" s="17" t="s">
        <v>153</v>
      </c>
      <c r="G147" t="s">
        <v>28</v>
      </c>
      <c r="H147" t="s">
        <v>28</v>
      </c>
      <c r="I147" t="s">
        <v>28</v>
      </c>
      <c r="J147" t="s">
        <v>28</v>
      </c>
      <c r="K147" t="s">
        <v>29</v>
      </c>
      <c r="L147" t="s">
        <v>28</v>
      </c>
      <c r="M147" t="s">
        <v>28</v>
      </c>
      <c r="N147" t="s">
        <v>28</v>
      </c>
      <c r="O147" t="s">
        <v>79</v>
      </c>
      <c r="P147">
        <v>2595.5</v>
      </c>
      <c r="Q147">
        <v>18</v>
      </c>
      <c r="R147" s="5">
        <f t="shared" si="5"/>
        <v>467.18999999999994</v>
      </c>
      <c r="S147" s="5">
        <f t="shared" si="6"/>
        <v>3062.69</v>
      </c>
      <c r="T147">
        <v>0</v>
      </c>
      <c r="U147" t="s">
        <v>31</v>
      </c>
      <c r="V147" t="str">
        <f>IF(F147="","",CHOOSE(INT(MOD(MONTH(S154)-7,12)/3)+1,"Q1","Q2","Q3","Q4"))</f>
        <v>Q4</v>
      </c>
      <c r="W147" t="s">
        <v>32</v>
      </c>
    </row>
    <row r="148" spans="1:23" ht="22.5" customHeight="1" x14ac:dyDescent="0.25">
      <c r="A148">
        <v>621</v>
      </c>
      <c r="B148" t="s">
        <v>23</v>
      </c>
      <c r="C148" s="10" t="s">
        <v>168</v>
      </c>
      <c r="D148" s="11" t="s">
        <v>25</v>
      </c>
      <c r="E148" s="11" t="s">
        <v>56</v>
      </c>
      <c r="F148" s="16" t="s">
        <v>169</v>
      </c>
      <c r="G148" s="11" t="s">
        <v>28</v>
      </c>
      <c r="H148" s="11" t="s">
        <v>28</v>
      </c>
      <c r="I148" s="11" t="s">
        <v>28</v>
      </c>
      <c r="J148" s="11" t="s">
        <v>28</v>
      </c>
      <c r="K148" s="11" t="s">
        <v>29</v>
      </c>
      <c r="L148" s="11" t="s">
        <v>28</v>
      </c>
      <c r="M148" s="11" t="s">
        <v>28</v>
      </c>
      <c r="N148" s="11" t="s">
        <v>28</v>
      </c>
      <c r="O148" s="11" t="s">
        <v>170</v>
      </c>
      <c r="P148" s="11">
        <v>74262.67</v>
      </c>
      <c r="Q148" s="2">
        <v>0</v>
      </c>
      <c r="R148" s="5">
        <f t="shared" si="5"/>
        <v>0</v>
      </c>
      <c r="S148" s="5">
        <f t="shared" si="6"/>
        <v>74262.67</v>
      </c>
      <c r="T148" s="11">
        <v>0</v>
      </c>
      <c r="U148" s="11" t="s">
        <v>31</v>
      </c>
      <c r="V148" s="11" t="str">
        <f>IF(F148="","",CHOOSE(INT(MOD(MONTH(S155)-7,12)/3)+1,"Q1","Q2","Q3","Q4"))</f>
        <v>Q4</v>
      </c>
      <c r="W148" s="12" t="s">
        <v>32</v>
      </c>
    </row>
    <row r="149" spans="1:23" ht="15.75" x14ac:dyDescent="0.25">
      <c r="A149">
        <v>709</v>
      </c>
      <c r="B149" t="s">
        <v>23</v>
      </c>
      <c r="C149" t="s">
        <v>183</v>
      </c>
      <c r="D149" t="s">
        <v>25</v>
      </c>
      <c r="E149" t="s">
        <v>56</v>
      </c>
      <c r="F149" s="17" t="s">
        <v>159</v>
      </c>
      <c r="G149" t="s">
        <v>28</v>
      </c>
      <c r="H149" t="s">
        <v>28</v>
      </c>
      <c r="I149" t="s">
        <v>28</v>
      </c>
      <c r="J149" t="s">
        <v>28</v>
      </c>
      <c r="K149" t="s">
        <v>29</v>
      </c>
      <c r="L149" t="s">
        <v>28</v>
      </c>
      <c r="M149" t="s">
        <v>28</v>
      </c>
      <c r="N149" t="s">
        <v>28</v>
      </c>
      <c r="O149" t="s">
        <v>124</v>
      </c>
      <c r="P149">
        <v>3200</v>
      </c>
      <c r="Q149">
        <v>18</v>
      </c>
      <c r="R149" s="5">
        <f t="shared" si="5"/>
        <v>576</v>
      </c>
      <c r="S149" s="5">
        <f t="shared" si="6"/>
        <v>3776</v>
      </c>
      <c r="T149">
        <v>0</v>
      </c>
      <c r="U149" t="s">
        <v>31</v>
      </c>
      <c r="V149" t="str">
        <f>IF(F149="","",CHOOSE(INT(MOD(MONTH(S156)-7,12)/3)+1,"Q1","Q2","Q3","Q4"))</f>
        <v>Q4</v>
      </c>
      <c r="W149" t="s">
        <v>32</v>
      </c>
    </row>
    <row r="150" spans="1:23" ht="22.5" customHeight="1" x14ac:dyDescent="0.25">
      <c r="A150">
        <v>837</v>
      </c>
      <c r="B150" t="s">
        <v>23</v>
      </c>
      <c r="C150" s="1" t="s">
        <v>205</v>
      </c>
      <c r="D150" s="2" t="s">
        <v>25</v>
      </c>
      <c r="E150" s="2" t="s">
        <v>26</v>
      </c>
      <c r="F150" s="13" t="s">
        <v>159</v>
      </c>
      <c r="G150" s="2" t="s">
        <v>28</v>
      </c>
      <c r="H150" s="2" t="s">
        <v>28</v>
      </c>
      <c r="I150" s="2" t="s">
        <v>28</v>
      </c>
      <c r="J150" s="2" t="s">
        <v>28</v>
      </c>
      <c r="K150" s="2" t="s">
        <v>29</v>
      </c>
      <c r="L150" s="2" t="s">
        <v>28</v>
      </c>
      <c r="M150" s="2" t="s">
        <v>28</v>
      </c>
      <c r="N150" s="2" t="s">
        <v>28</v>
      </c>
      <c r="O150" s="2" t="s">
        <v>202</v>
      </c>
      <c r="P150" s="2">
        <v>7050</v>
      </c>
      <c r="Q150" s="2">
        <v>15</v>
      </c>
      <c r="R150" s="5">
        <f t="shared" si="5"/>
        <v>1057.5</v>
      </c>
      <c r="S150" s="5">
        <f t="shared" si="6"/>
        <v>8107.5</v>
      </c>
      <c r="T150" s="2">
        <v>0</v>
      </c>
      <c r="U150" s="2" t="s">
        <v>31</v>
      </c>
      <c r="V150" s="2" t="str">
        <f>IF(F150="","",CHOOSE(INT(MOD(MONTH(S157)-7,12)/3)+1,"Q1","Q2","Q3","Q4"))</f>
        <v>Q1</v>
      </c>
      <c r="W150" s="3" t="s">
        <v>32</v>
      </c>
    </row>
    <row r="151" spans="1:23" ht="22.5" customHeight="1" x14ac:dyDescent="0.25">
      <c r="A151">
        <v>1236</v>
      </c>
      <c r="B151" t="s">
        <v>23</v>
      </c>
      <c r="C151" s="7" t="s">
        <v>620</v>
      </c>
      <c r="D151" s="8" t="s">
        <v>25</v>
      </c>
      <c r="E151" s="8" t="s">
        <v>621</v>
      </c>
      <c r="F151" s="15" t="s">
        <v>622</v>
      </c>
      <c r="G151" s="8" t="s">
        <v>28</v>
      </c>
      <c r="H151" s="8" t="s">
        <v>28</v>
      </c>
      <c r="I151" s="8" t="s">
        <v>28</v>
      </c>
      <c r="J151" s="8" t="s">
        <v>28</v>
      </c>
      <c r="K151" s="8" t="s">
        <v>29</v>
      </c>
      <c r="L151" s="8" t="s">
        <v>28</v>
      </c>
      <c r="M151" s="8" t="s">
        <v>28</v>
      </c>
      <c r="N151" s="8" t="s">
        <v>28</v>
      </c>
      <c r="O151" s="8" t="s">
        <v>623</v>
      </c>
      <c r="P151" s="8">
        <v>215.7</v>
      </c>
      <c r="Q151" s="8">
        <v>18</v>
      </c>
      <c r="R151" s="5">
        <f t="shared" si="5"/>
        <v>38.826000000000001</v>
      </c>
      <c r="S151" s="5">
        <f t="shared" si="6"/>
        <v>254.52599999999998</v>
      </c>
      <c r="T151" s="8">
        <v>0</v>
      </c>
      <c r="U151" s="8" t="s">
        <v>31</v>
      </c>
      <c r="V151" s="8" t="str">
        <f>IF(F151="","",CHOOSE(INT(MOD(MONTH(S158)-7,12)/3)+1,"Q1","Q2","Q3","Q4"))</f>
        <v>Q2</v>
      </c>
      <c r="W151" s="9" t="s">
        <v>227</v>
      </c>
    </row>
    <row r="152" spans="1:23" ht="22.5" customHeight="1" x14ac:dyDescent="0.25">
      <c r="A152">
        <v>1237</v>
      </c>
      <c r="B152" t="s">
        <v>23</v>
      </c>
      <c r="C152" s="7" t="s">
        <v>624</v>
      </c>
      <c r="D152" s="8" t="s">
        <v>25</v>
      </c>
      <c r="E152" s="8" t="s">
        <v>568</v>
      </c>
      <c r="F152" s="15" t="s">
        <v>625</v>
      </c>
      <c r="G152" s="8" t="s">
        <v>28</v>
      </c>
      <c r="H152" s="8" t="s">
        <v>28</v>
      </c>
      <c r="I152" s="8" t="s">
        <v>28</v>
      </c>
      <c r="J152" s="8" t="s">
        <v>28</v>
      </c>
      <c r="K152" s="8" t="s">
        <v>29</v>
      </c>
      <c r="L152" s="8" t="s">
        <v>28</v>
      </c>
      <c r="M152" s="8" t="s">
        <v>28</v>
      </c>
      <c r="N152" s="8" t="s">
        <v>28</v>
      </c>
      <c r="O152" s="8" t="s">
        <v>626</v>
      </c>
      <c r="P152" s="8">
        <v>3280.6</v>
      </c>
      <c r="Q152" s="2">
        <v>18</v>
      </c>
      <c r="R152" s="5">
        <f t="shared" si="5"/>
        <v>590.50799999999992</v>
      </c>
      <c r="S152" s="5">
        <f t="shared" si="6"/>
        <v>3871.1079999999997</v>
      </c>
      <c r="T152" s="8">
        <v>0</v>
      </c>
      <c r="U152" s="8" t="s">
        <v>31</v>
      </c>
      <c r="V152" s="8" t="str">
        <f>IF(F152="","",CHOOSE(INT(MOD(MONTH(S159)-7,12)/3)+1,"Q1","Q2","Q3","Q4"))</f>
        <v>Q4</v>
      </c>
      <c r="W152" s="9" t="s">
        <v>227</v>
      </c>
    </row>
    <row r="153" spans="1:23" ht="22.5" customHeight="1" x14ac:dyDescent="0.25">
      <c r="A153">
        <v>1238</v>
      </c>
      <c r="B153" t="s">
        <v>23</v>
      </c>
      <c r="C153" s="7" t="s">
        <v>627</v>
      </c>
      <c r="D153" s="8" t="s">
        <v>25</v>
      </c>
      <c r="E153" s="8" t="s">
        <v>571</v>
      </c>
      <c r="F153" s="15" t="s">
        <v>604</v>
      </c>
      <c r="G153" s="8" t="s">
        <v>28</v>
      </c>
      <c r="H153" s="8" t="s">
        <v>28</v>
      </c>
      <c r="I153" s="8" t="s">
        <v>28</v>
      </c>
      <c r="J153" s="8" t="s">
        <v>28</v>
      </c>
      <c r="K153" s="8" t="s">
        <v>29</v>
      </c>
      <c r="L153" s="8" t="s">
        <v>28</v>
      </c>
      <c r="M153" s="8" t="s">
        <v>28</v>
      </c>
      <c r="N153" s="8" t="s">
        <v>28</v>
      </c>
      <c r="O153" s="8" t="s">
        <v>628</v>
      </c>
      <c r="P153" s="8">
        <v>100</v>
      </c>
      <c r="Q153" s="5">
        <v>18</v>
      </c>
      <c r="R153" s="5">
        <f t="shared" si="5"/>
        <v>18</v>
      </c>
      <c r="S153" s="5">
        <f t="shared" si="6"/>
        <v>118</v>
      </c>
      <c r="T153" s="8">
        <v>0</v>
      </c>
      <c r="U153" s="8" t="s">
        <v>31</v>
      </c>
      <c r="V153" s="8" t="str">
        <f>IF(F153="","",CHOOSE(INT(MOD(MONTH(S160)-7,12)/3)+1,"Q1","Q2","Q3","Q4"))</f>
        <v>Q4</v>
      </c>
      <c r="W153" s="9" t="s">
        <v>227</v>
      </c>
    </row>
    <row r="154" spans="1:23" ht="22.5" customHeight="1" x14ac:dyDescent="0.25">
      <c r="A154">
        <v>1258</v>
      </c>
      <c r="B154" t="s">
        <v>23</v>
      </c>
      <c r="C154" s="7" t="s">
        <v>681</v>
      </c>
      <c r="D154" s="8" t="s">
        <v>25</v>
      </c>
      <c r="E154" s="8" t="s">
        <v>682</v>
      </c>
      <c r="F154" s="15" t="s">
        <v>683</v>
      </c>
      <c r="G154" s="8" t="s">
        <v>28</v>
      </c>
      <c r="H154" s="8" t="s">
        <v>28</v>
      </c>
      <c r="I154" s="8" t="s">
        <v>28</v>
      </c>
      <c r="J154" s="8" t="s">
        <v>28</v>
      </c>
      <c r="K154" s="8" t="s">
        <v>29</v>
      </c>
      <c r="L154" s="8" t="s">
        <v>28</v>
      </c>
      <c r="M154" s="8" t="s">
        <v>28</v>
      </c>
      <c r="N154" s="8" t="s">
        <v>28</v>
      </c>
      <c r="O154" s="8" t="s">
        <v>684</v>
      </c>
      <c r="P154" s="8">
        <v>6586</v>
      </c>
      <c r="Q154" s="5">
        <v>18</v>
      </c>
      <c r="R154" s="5">
        <f t="shared" si="5"/>
        <v>1185.48</v>
      </c>
      <c r="S154" s="5">
        <f t="shared" si="6"/>
        <v>7771.48</v>
      </c>
      <c r="T154" s="8">
        <v>0</v>
      </c>
      <c r="U154" s="8" t="s">
        <v>31</v>
      </c>
      <c r="V154" s="8" t="str">
        <f>IF(F154="","",CHOOSE(INT(MOD(MONTH(S161)-7,12)/3)+1,"Q1","Q2","Q3","Q4"))</f>
        <v>Q1</v>
      </c>
      <c r="W154" s="9" t="s">
        <v>227</v>
      </c>
    </row>
    <row r="155" spans="1:23" ht="22.5" customHeight="1" x14ac:dyDescent="0.25">
      <c r="A155">
        <v>1247</v>
      </c>
      <c r="B155" t="s">
        <v>23</v>
      </c>
      <c r="C155" s="7" t="s">
        <v>654</v>
      </c>
      <c r="D155" s="8" t="s">
        <v>25</v>
      </c>
      <c r="E155" s="8" t="s">
        <v>571</v>
      </c>
      <c r="F155" s="15" t="s">
        <v>655</v>
      </c>
      <c r="G155" s="8" t="s">
        <v>28</v>
      </c>
      <c r="H155" s="8" t="s">
        <v>28</v>
      </c>
      <c r="I155" s="8" t="s">
        <v>28</v>
      </c>
      <c r="J155" s="8" t="s">
        <v>28</v>
      </c>
      <c r="K155" s="8" t="s">
        <v>29</v>
      </c>
      <c r="L155" s="8" t="s">
        <v>28</v>
      </c>
      <c r="M155" s="8" t="s">
        <v>28</v>
      </c>
      <c r="N155" s="8" t="s">
        <v>28</v>
      </c>
      <c r="O155" s="8" t="s">
        <v>656</v>
      </c>
      <c r="P155" s="8">
        <v>34450</v>
      </c>
      <c r="Q155" s="5">
        <v>18</v>
      </c>
      <c r="R155" s="5">
        <f t="shared" si="5"/>
        <v>6201</v>
      </c>
      <c r="S155" s="5">
        <f t="shared" si="6"/>
        <v>40651</v>
      </c>
      <c r="T155" s="8">
        <v>0</v>
      </c>
      <c r="U155" s="8" t="s">
        <v>31</v>
      </c>
      <c r="V155" s="8" t="str">
        <f>IF(F155="","",CHOOSE(INT(MOD(MONTH(S162)-7,12)/3)+1,"Q1","Q2","Q3","Q4"))</f>
        <v>Q1</v>
      </c>
      <c r="W155" s="9" t="s">
        <v>227</v>
      </c>
    </row>
    <row r="156" spans="1:23" ht="22.5" customHeight="1" x14ac:dyDescent="0.25">
      <c r="A156">
        <v>1253</v>
      </c>
      <c r="B156" t="s">
        <v>23</v>
      </c>
      <c r="C156" s="7" t="s">
        <v>668</v>
      </c>
      <c r="D156" s="8" t="s">
        <v>25</v>
      </c>
      <c r="E156" s="8" t="s">
        <v>586</v>
      </c>
      <c r="F156" s="15" t="s">
        <v>604</v>
      </c>
      <c r="G156" s="8" t="s">
        <v>28</v>
      </c>
      <c r="H156" s="8" t="s">
        <v>28</v>
      </c>
      <c r="I156" s="8" t="s">
        <v>28</v>
      </c>
      <c r="J156" s="8" t="s">
        <v>28</v>
      </c>
      <c r="K156" s="8" t="s">
        <v>29</v>
      </c>
      <c r="L156" s="8" t="s">
        <v>28</v>
      </c>
      <c r="M156" s="8" t="s">
        <v>28</v>
      </c>
      <c r="N156" s="8" t="s">
        <v>28</v>
      </c>
      <c r="O156" s="8" t="s">
        <v>669</v>
      </c>
      <c r="P156" s="8">
        <v>9400</v>
      </c>
      <c r="Q156" s="5">
        <v>18</v>
      </c>
      <c r="R156" s="5">
        <f t="shared" si="5"/>
        <v>1692</v>
      </c>
      <c r="S156" s="5">
        <f t="shared" si="6"/>
        <v>11092</v>
      </c>
      <c r="T156" s="8">
        <v>0</v>
      </c>
      <c r="U156" s="8" t="s">
        <v>31</v>
      </c>
      <c r="V156" s="8" t="str">
        <f>IF(F156="","",CHOOSE(INT(MOD(MONTH(S163)-7,12)/3)+1,"Q1","Q2","Q3","Q4"))</f>
        <v>Q4</v>
      </c>
      <c r="W156" s="9" t="s">
        <v>227</v>
      </c>
    </row>
    <row r="157" spans="1:23" ht="22.5" customHeight="1" x14ac:dyDescent="0.25">
      <c r="A157">
        <v>1252</v>
      </c>
      <c r="B157" t="s">
        <v>23</v>
      </c>
      <c r="C157" s="7" t="s">
        <v>666</v>
      </c>
      <c r="D157" s="8" t="s">
        <v>25</v>
      </c>
      <c r="E157" s="8" t="s">
        <v>571</v>
      </c>
      <c r="F157" s="15" t="s">
        <v>634</v>
      </c>
      <c r="G157" s="8" t="s">
        <v>28</v>
      </c>
      <c r="H157" s="8" t="s">
        <v>28</v>
      </c>
      <c r="I157" s="8" t="s">
        <v>28</v>
      </c>
      <c r="J157" s="8" t="s">
        <v>28</v>
      </c>
      <c r="K157" s="8" t="s">
        <v>29</v>
      </c>
      <c r="L157" s="8" t="s">
        <v>28</v>
      </c>
      <c r="M157" s="8" t="s">
        <v>28</v>
      </c>
      <c r="N157" s="8" t="s">
        <v>28</v>
      </c>
      <c r="O157" s="8" t="s">
        <v>667</v>
      </c>
      <c r="P157" s="8">
        <v>226</v>
      </c>
      <c r="Q157" s="8">
        <v>18</v>
      </c>
      <c r="R157" s="5">
        <f t="shared" si="5"/>
        <v>40.679999999999993</v>
      </c>
      <c r="S157" s="5">
        <f t="shared" si="6"/>
        <v>266.68</v>
      </c>
      <c r="T157" s="8">
        <v>0</v>
      </c>
      <c r="U157" s="8" t="s">
        <v>31</v>
      </c>
      <c r="V157" s="8" t="str">
        <f>IF(F157="","",CHOOSE(INT(MOD(MONTH(S164)-7,12)/3)+1,"Q1","Q2","Q3","Q4"))</f>
        <v>Q4</v>
      </c>
      <c r="W157" s="9" t="s">
        <v>227</v>
      </c>
    </row>
    <row r="158" spans="1:23" ht="22.5" customHeight="1" x14ac:dyDescent="0.25">
      <c r="A158">
        <v>1259</v>
      </c>
      <c r="B158" t="s">
        <v>23</v>
      </c>
      <c r="C158" s="7" t="s">
        <v>685</v>
      </c>
      <c r="D158" s="8" t="s">
        <v>25</v>
      </c>
      <c r="E158" s="8" t="s">
        <v>682</v>
      </c>
      <c r="F158" s="15" t="s">
        <v>686</v>
      </c>
      <c r="G158" s="8" t="s">
        <v>28</v>
      </c>
      <c r="H158" s="8" t="s">
        <v>28</v>
      </c>
      <c r="I158" s="8" t="s">
        <v>28</v>
      </c>
      <c r="J158" s="8" t="s">
        <v>28</v>
      </c>
      <c r="K158" s="8" t="s">
        <v>29</v>
      </c>
      <c r="L158" s="8" t="s">
        <v>28</v>
      </c>
      <c r="M158" s="8" t="s">
        <v>28</v>
      </c>
      <c r="N158" s="8" t="s">
        <v>28</v>
      </c>
      <c r="O158" s="8" t="s">
        <v>687</v>
      </c>
      <c r="P158" s="8">
        <v>26000</v>
      </c>
      <c r="Q158" s="8">
        <v>18</v>
      </c>
      <c r="R158" s="5">
        <f t="shared" si="5"/>
        <v>4680</v>
      </c>
      <c r="S158" s="5">
        <f t="shared" si="6"/>
        <v>30680</v>
      </c>
      <c r="T158" s="8">
        <v>0</v>
      </c>
      <c r="U158" s="8" t="s">
        <v>31</v>
      </c>
      <c r="V158" s="8" t="str">
        <f>IF(F158="","",CHOOSE(INT(MOD(MONTH(S165)-7,12)/3)+1,"Q1","Q2","Q3","Q4"))</f>
        <v>Q4</v>
      </c>
      <c r="W158" s="9" t="s">
        <v>227</v>
      </c>
    </row>
    <row r="159" spans="1:23" ht="22.5" customHeight="1" x14ac:dyDescent="0.25">
      <c r="A159">
        <v>1249</v>
      </c>
      <c r="B159" t="s">
        <v>23</v>
      </c>
      <c r="C159" s="7" t="s">
        <v>659</v>
      </c>
      <c r="D159" s="8" t="s">
        <v>25</v>
      </c>
      <c r="E159" s="8" t="s">
        <v>586</v>
      </c>
      <c r="F159" s="15" t="s">
        <v>634</v>
      </c>
      <c r="G159" s="8" t="s">
        <v>28</v>
      </c>
      <c r="H159" s="8" t="s">
        <v>28</v>
      </c>
      <c r="I159" s="8" t="s">
        <v>28</v>
      </c>
      <c r="J159" s="8" t="s">
        <v>28</v>
      </c>
      <c r="K159" s="8" t="s">
        <v>29</v>
      </c>
      <c r="L159" s="8" t="s">
        <v>28</v>
      </c>
      <c r="M159" s="8" t="s">
        <v>28</v>
      </c>
      <c r="N159" s="8" t="s">
        <v>28</v>
      </c>
      <c r="O159" s="8" t="s">
        <v>660</v>
      </c>
      <c r="P159" s="8">
        <v>100</v>
      </c>
      <c r="Q159" s="8">
        <v>18</v>
      </c>
      <c r="R159" s="5">
        <f t="shared" si="5"/>
        <v>18</v>
      </c>
      <c r="S159" s="5">
        <f t="shared" si="6"/>
        <v>118</v>
      </c>
      <c r="T159" s="8">
        <v>0</v>
      </c>
      <c r="U159" s="8" t="s">
        <v>31</v>
      </c>
      <c r="V159" s="8" t="str">
        <f>IF(F159="","",CHOOSE(INT(MOD(MONTH(S166)-7,12)/3)+1,"Q1","Q2","Q3","Q4"))</f>
        <v>Q2</v>
      </c>
      <c r="W159" s="9" t="s">
        <v>227</v>
      </c>
    </row>
    <row r="160" spans="1:23" ht="22.5" customHeight="1" x14ac:dyDescent="0.25">
      <c r="A160">
        <v>1245</v>
      </c>
      <c r="B160" t="s">
        <v>23</v>
      </c>
      <c r="C160" s="7" t="s">
        <v>649</v>
      </c>
      <c r="D160" s="8" t="s">
        <v>25</v>
      </c>
      <c r="E160" s="8" t="s">
        <v>568</v>
      </c>
      <c r="F160" s="15" t="s">
        <v>634</v>
      </c>
      <c r="G160" s="8" t="s">
        <v>28</v>
      </c>
      <c r="H160" s="8" t="s">
        <v>28</v>
      </c>
      <c r="I160" s="8" t="s">
        <v>28</v>
      </c>
      <c r="J160" s="8" t="s">
        <v>28</v>
      </c>
      <c r="K160" s="8" t="s">
        <v>29</v>
      </c>
      <c r="L160" s="8" t="s">
        <v>28</v>
      </c>
      <c r="M160" s="8" t="s">
        <v>28</v>
      </c>
      <c r="N160" s="8" t="s">
        <v>28</v>
      </c>
      <c r="O160" s="8" t="s">
        <v>650</v>
      </c>
      <c r="P160" s="8">
        <v>100</v>
      </c>
      <c r="Q160" s="5">
        <v>18</v>
      </c>
      <c r="R160" s="5">
        <f t="shared" si="5"/>
        <v>18</v>
      </c>
      <c r="S160" s="5">
        <f t="shared" si="6"/>
        <v>118</v>
      </c>
      <c r="T160" s="8">
        <v>0</v>
      </c>
      <c r="U160" s="8" t="s">
        <v>31</v>
      </c>
      <c r="V160" s="8" t="str">
        <f>IF(F160="","",CHOOSE(INT(MOD(MONTH(S167)-7,12)/3)+1,"Q1","Q2","Q3","Q4"))</f>
        <v>Q4</v>
      </c>
      <c r="W160" s="9" t="s">
        <v>227</v>
      </c>
    </row>
    <row r="161" spans="1:23" ht="22.5" customHeight="1" x14ac:dyDescent="0.25">
      <c r="A161">
        <v>1248</v>
      </c>
      <c r="B161" t="s">
        <v>23</v>
      </c>
      <c r="C161" s="7" t="s">
        <v>657</v>
      </c>
      <c r="D161" s="8" t="s">
        <v>25</v>
      </c>
      <c r="E161" s="8" t="s">
        <v>564</v>
      </c>
      <c r="F161" s="15" t="s">
        <v>634</v>
      </c>
      <c r="G161" s="8" t="s">
        <v>28</v>
      </c>
      <c r="H161" s="8" t="s">
        <v>28</v>
      </c>
      <c r="I161" s="8" t="s">
        <v>28</v>
      </c>
      <c r="J161" s="8" t="s">
        <v>28</v>
      </c>
      <c r="K161" s="8" t="s">
        <v>29</v>
      </c>
      <c r="L161" s="8" t="s">
        <v>28</v>
      </c>
      <c r="M161" s="8" t="s">
        <v>28</v>
      </c>
      <c r="N161" s="8" t="s">
        <v>28</v>
      </c>
      <c r="O161" s="8" t="s">
        <v>658</v>
      </c>
      <c r="P161" s="8">
        <v>2678</v>
      </c>
      <c r="Q161" s="8">
        <v>18</v>
      </c>
      <c r="R161" s="5">
        <f t="shared" si="5"/>
        <v>482.04</v>
      </c>
      <c r="S161" s="5">
        <f t="shared" si="6"/>
        <v>3160.04</v>
      </c>
      <c r="T161" s="8">
        <v>0</v>
      </c>
      <c r="U161" s="8" t="s">
        <v>31</v>
      </c>
      <c r="V161" s="8" t="str">
        <f>IF(F161="","",CHOOSE(INT(MOD(MONTH(S168)-7,12)/3)+1,"Q1","Q2","Q3","Q4"))</f>
        <v>Q1</v>
      </c>
      <c r="W161" s="9" t="s">
        <v>227</v>
      </c>
    </row>
    <row r="162" spans="1:23" ht="22.5" customHeight="1" x14ac:dyDescent="0.25">
      <c r="A162">
        <v>1246</v>
      </c>
      <c r="B162" t="s">
        <v>23</v>
      </c>
      <c r="C162" s="7" t="s">
        <v>651</v>
      </c>
      <c r="D162" s="8" t="s">
        <v>25</v>
      </c>
      <c r="E162" s="8" t="s">
        <v>621</v>
      </c>
      <c r="F162" s="15" t="s">
        <v>652</v>
      </c>
      <c r="G162" s="8" t="s">
        <v>28</v>
      </c>
      <c r="H162" s="8" t="s">
        <v>28</v>
      </c>
      <c r="I162" s="8" t="s">
        <v>28</v>
      </c>
      <c r="J162" s="8" t="s">
        <v>28</v>
      </c>
      <c r="K162" s="8" t="s">
        <v>29</v>
      </c>
      <c r="L162" s="8" t="s">
        <v>28</v>
      </c>
      <c r="M162" s="8" t="s">
        <v>28</v>
      </c>
      <c r="N162" s="8" t="s">
        <v>28</v>
      </c>
      <c r="O162" s="8" t="s">
        <v>653</v>
      </c>
      <c r="P162" s="8">
        <v>2974.75</v>
      </c>
      <c r="Q162" s="5">
        <v>18</v>
      </c>
      <c r="R162" s="5">
        <f t="shared" si="5"/>
        <v>535.45499999999993</v>
      </c>
      <c r="S162" s="5">
        <f t="shared" si="6"/>
        <v>3510.2049999999999</v>
      </c>
      <c r="T162" s="8">
        <v>0</v>
      </c>
      <c r="U162" s="8" t="s">
        <v>31</v>
      </c>
      <c r="V162" s="8" t="str">
        <f>IF(F162="","",CHOOSE(INT(MOD(MONTH(S169)-7,12)/3)+1,"Q1","Q2","Q3","Q4"))</f>
        <v>Q3</v>
      </c>
      <c r="W162" s="9" t="s">
        <v>227</v>
      </c>
    </row>
    <row r="163" spans="1:23" ht="22.5" customHeight="1" x14ac:dyDescent="0.25">
      <c r="A163">
        <v>1251</v>
      </c>
      <c r="B163" t="s">
        <v>23</v>
      </c>
      <c r="C163" s="7" t="s">
        <v>664</v>
      </c>
      <c r="D163" s="8" t="s">
        <v>25</v>
      </c>
      <c r="E163" s="8" t="s">
        <v>586</v>
      </c>
      <c r="F163" s="15" t="s">
        <v>225</v>
      </c>
      <c r="G163" s="8" t="s">
        <v>28</v>
      </c>
      <c r="H163" s="8" t="s">
        <v>28</v>
      </c>
      <c r="I163" s="8" t="s">
        <v>28</v>
      </c>
      <c r="J163" s="8" t="s">
        <v>28</v>
      </c>
      <c r="K163" s="8" t="s">
        <v>29</v>
      </c>
      <c r="L163" s="8" t="s">
        <v>28</v>
      </c>
      <c r="M163" s="8" t="s">
        <v>28</v>
      </c>
      <c r="N163" s="8" t="s">
        <v>28</v>
      </c>
      <c r="O163" s="8" t="s">
        <v>665</v>
      </c>
      <c r="P163" s="8">
        <v>3844.5</v>
      </c>
      <c r="Q163" s="5">
        <v>18</v>
      </c>
      <c r="R163" s="5">
        <f t="shared" si="5"/>
        <v>692.01</v>
      </c>
      <c r="S163" s="5">
        <f t="shared" si="6"/>
        <v>4536.51</v>
      </c>
      <c r="T163" s="8">
        <v>0</v>
      </c>
      <c r="U163" s="8" t="s">
        <v>31</v>
      </c>
      <c r="V163" s="8" t="str">
        <f>IF(F163="","",CHOOSE(INT(MOD(MONTH(S170)-7,12)/3)+1,"Q1","Q2","Q3","Q4"))</f>
        <v>Q3</v>
      </c>
      <c r="W163" s="9" t="s">
        <v>227</v>
      </c>
    </row>
    <row r="164" spans="1:23" ht="22.5" customHeight="1" x14ac:dyDescent="0.25">
      <c r="A164">
        <v>83</v>
      </c>
      <c r="B164" t="s">
        <v>23</v>
      </c>
      <c r="C164" s="7" t="s">
        <v>54</v>
      </c>
      <c r="D164" s="8" t="s">
        <v>40</v>
      </c>
      <c r="E164" s="8" t="s">
        <v>41</v>
      </c>
      <c r="F164" s="15" t="s">
        <v>42</v>
      </c>
      <c r="G164" s="8" t="s">
        <v>28</v>
      </c>
      <c r="H164" s="8" t="s">
        <v>28</v>
      </c>
      <c r="I164" s="8" t="s">
        <v>28</v>
      </c>
      <c r="J164" s="8" t="s">
        <v>28</v>
      </c>
      <c r="K164" s="8" t="s">
        <v>29</v>
      </c>
      <c r="L164" s="8" t="s">
        <v>28</v>
      </c>
      <c r="M164" s="8" t="s">
        <v>28</v>
      </c>
      <c r="N164" s="8" t="s">
        <v>28</v>
      </c>
      <c r="O164" s="8" t="s">
        <v>28</v>
      </c>
      <c r="P164" s="8">
        <v>41800</v>
      </c>
      <c r="Q164" s="5">
        <v>0</v>
      </c>
      <c r="R164" s="5">
        <f t="shared" si="5"/>
        <v>0</v>
      </c>
      <c r="S164" s="5">
        <f t="shared" si="6"/>
        <v>41800</v>
      </c>
      <c r="T164" s="8">
        <v>0</v>
      </c>
      <c r="U164" s="8" t="s">
        <v>31</v>
      </c>
      <c r="V164" s="8" t="str">
        <f>IF(F164="","",CHOOSE(INT(MOD(MONTH(S171)-7,12)/3)+1,"Q1","Q2","Q3","Q4"))</f>
        <v>Q1</v>
      </c>
      <c r="W164" s="9" t="s">
        <v>43</v>
      </c>
    </row>
    <row r="165" spans="1:23" ht="22.5" customHeight="1" x14ac:dyDescent="0.25">
      <c r="A165">
        <v>105</v>
      </c>
      <c r="B165" t="s">
        <v>23</v>
      </c>
      <c r="C165" s="7" t="s">
        <v>59</v>
      </c>
      <c r="D165" s="8" t="s">
        <v>40</v>
      </c>
      <c r="E165" s="8" t="s">
        <v>60</v>
      </c>
      <c r="F165" s="15" t="s">
        <v>42</v>
      </c>
      <c r="G165" s="8" t="s">
        <v>28</v>
      </c>
      <c r="H165" s="8" t="s">
        <v>28</v>
      </c>
      <c r="I165" s="8" t="s">
        <v>28</v>
      </c>
      <c r="J165" s="8" t="s">
        <v>28</v>
      </c>
      <c r="K165" s="8" t="s">
        <v>29</v>
      </c>
      <c r="L165" s="8" t="s">
        <v>28</v>
      </c>
      <c r="M165" s="8" t="s">
        <v>28</v>
      </c>
      <c r="N165" s="8" t="s">
        <v>28</v>
      </c>
      <c r="O165" s="8" t="s">
        <v>28</v>
      </c>
      <c r="P165" s="8">
        <v>118850</v>
      </c>
      <c r="Q165" s="5">
        <v>0</v>
      </c>
      <c r="R165" s="5">
        <f t="shared" si="5"/>
        <v>0</v>
      </c>
      <c r="S165" s="5">
        <f t="shared" si="6"/>
        <v>118850</v>
      </c>
      <c r="T165" s="8">
        <v>0</v>
      </c>
      <c r="U165" s="8" t="s">
        <v>31</v>
      </c>
      <c r="V165" s="8" t="str">
        <f>IF(F165="","",CHOOSE(INT(MOD(MONTH(S172)-7,12)/3)+1,"Q1","Q2","Q3","Q4"))</f>
        <v>Q4</v>
      </c>
      <c r="W165" s="9" t="s">
        <v>43</v>
      </c>
    </row>
    <row r="166" spans="1:23" ht="22.5" customHeight="1" x14ac:dyDescent="0.25">
      <c r="A166">
        <v>172</v>
      </c>
      <c r="B166" t="s">
        <v>23</v>
      </c>
      <c r="C166" s="7" t="s">
        <v>75</v>
      </c>
      <c r="D166" s="8" t="s">
        <v>40</v>
      </c>
      <c r="E166" s="8" t="s">
        <v>48</v>
      </c>
      <c r="F166" s="15" t="s">
        <v>72</v>
      </c>
      <c r="G166" s="8" t="s">
        <v>28</v>
      </c>
      <c r="H166" s="8" t="s">
        <v>28</v>
      </c>
      <c r="I166" s="8" t="s">
        <v>28</v>
      </c>
      <c r="J166" s="8" t="s">
        <v>28</v>
      </c>
      <c r="K166" s="8" t="s">
        <v>29</v>
      </c>
      <c r="L166" s="8" t="s">
        <v>28</v>
      </c>
      <c r="M166" s="8" t="s">
        <v>28</v>
      </c>
      <c r="N166" s="8" t="s">
        <v>28</v>
      </c>
      <c r="O166" s="8" t="s">
        <v>28</v>
      </c>
      <c r="P166" s="8">
        <v>11300</v>
      </c>
      <c r="Q166" s="5">
        <v>0</v>
      </c>
      <c r="R166" s="5">
        <f t="shared" si="5"/>
        <v>0</v>
      </c>
      <c r="S166" s="5">
        <f t="shared" si="6"/>
        <v>11300</v>
      </c>
      <c r="T166" s="8">
        <v>0</v>
      </c>
      <c r="U166" s="8" t="s">
        <v>31</v>
      </c>
      <c r="V166" s="8" t="str">
        <f>IF(F166="","",CHOOSE(INT(MOD(MONTH(S173)-7,12)/3)+1,"Q1","Q2","Q3","Q4"))</f>
        <v>Q2</v>
      </c>
      <c r="W166" s="9" t="s">
        <v>43</v>
      </c>
    </row>
    <row r="167" spans="1:23" ht="22.5" customHeight="1" x14ac:dyDescent="0.25">
      <c r="A167">
        <v>254</v>
      </c>
      <c r="B167" t="s">
        <v>23</v>
      </c>
      <c r="C167" s="7" t="s">
        <v>97</v>
      </c>
      <c r="D167" s="8" t="s">
        <v>40</v>
      </c>
      <c r="E167" s="8" t="s">
        <v>48</v>
      </c>
      <c r="F167" s="15" t="s">
        <v>98</v>
      </c>
      <c r="G167" s="8" t="s">
        <v>28</v>
      </c>
      <c r="H167" s="8" t="s">
        <v>28</v>
      </c>
      <c r="I167" s="8" t="s">
        <v>28</v>
      </c>
      <c r="J167" s="8" t="s">
        <v>28</v>
      </c>
      <c r="K167" s="8" t="s">
        <v>29</v>
      </c>
      <c r="L167" s="8" t="s">
        <v>28</v>
      </c>
      <c r="M167" s="8" t="s">
        <v>28</v>
      </c>
      <c r="N167" s="8" t="s">
        <v>28</v>
      </c>
      <c r="O167" s="8" t="s">
        <v>28</v>
      </c>
      <c r="P167" s="8">
        <v>7050</v>
      </c>
      <c r="Q167" s="5">
        <v>0</v>
      </c>
      <c r="R167" s="5">
        <f t="shared" si="5"/>
        <v>0</v>
      </c>
      <c r="S167" s="5">
        <f t="shared" si="6"/>
        <v>7050</v>
      </c>
      <c r="T167" s="8">
        <v>0</v>
      </c>
      <c r="U167" s="8" t="s">
        <v>31</v>
      </c>
      <c r="V167" s="8" t="str">
        <f>IF(F167="","",CHOOSE(INT(MOD(MONTH(S174)-7,12)/3)+1,"Q1","Q2","Q3","Q4"))</f>
        <v>Q3</v>
      </c>
      <c r="W167" s="9" t="s">
        <v>43</v>
      </c>
    </row>
    <row r="168" spans="1:23" ht="22.5" customHeight="1" x14ac:dyDescent="0.25">
      <c r="A168">
        <v>331</v>
      </c>
      <c r="B168" t="s">
        <v>23</v>
      </c>
      <c r="C168" s="7" t="s">
        <v>112</v>
      </c>
      <c r="D168" s="8" t="s">
        <v>40</v>
      </c>
      <c r="E168" s="8" t="s">
        <v>71</v>
      </c>
      <c r="F168" s="15" t="s">
        <v>113</v>
      </c>
      <c r="G168" s="8" t="s">
        <v>28</v>
      </c>
      <c r="H168" s="8" t="s">
        <v>28</v>
      </c>
      <c r="I168" s="8" t="s">
        <v>28</v>
      </c>
      <c r="J168" s="8" t="s">
        <v>28</v>
      </c>
      <c r="K168" s="8" t="s">
        <v>29</v>
      </c>
      <c r="L168" s="8" t="s">
        <v>28</v>
      </c>
      <c r="M168" s="8" t="s">
        <v>28</v>
      </c>
      <c r="N168" s="8" t="s">
        <v>28</v>
      </c>
      <c r="O168" s="8" t="s">
        <v>28</v>
      </c>
      <c r="P168" s="8">
        <v>12300</v>
      </c>
      <c r="Q168" s="8">
        <v>0</v>
      </c>
      <c r="R168" s="5">
        <f t="shared" si="5"/>
        <v>0</v>
      </c>
      <c r="S168" s="5">
        <f t="shared" si="6"/>
        <v>12300</v>
      </c>
      <c r="T168" s="8">
        <v>0</v>
      </c>
      <c r="U168" s="8" t="s">
        <v>31</v>
      </c>
      <c r="V168" s="8" t="str">
        <f>IF(F168="","",CHOOSE(INT(MOD(MONTH(S175)-7,12)/3)+1,"Q1","Q2","Q3","Q4"))</f>
        <v>Q1</v>
      </c>
      <c r="W168" s="9" t="s">
        <v>43</v>
      </c>
    </row>
    <row r="169" spans="1:23" ht="22.5" customHeight="1" x14ac:dyDescent="0.25">
      <c r="A169">
        <v>284</v>
      </c>
      <c r="B169" t="s">
        <v>23</v>
      </c>
      <c r="C169" s="7" t="s">
        <v>104</v>
      </c>
      <c r="D169" s="8" t="s">
        <v>40</v>
      </c>
      <c r="E169" s="8" t="s">
        <v>48</v>
      </c>
      <c r="F169" s="15" t="s">
        <v>98</v>
      </c>
      <c r="G169" s="8" t="s">
        <v>28</v>
      </c>
      <c r="H169" s="8" t="s">
        <v>28</v>
      </c>
      <c r="I169" s="8" t="s">
        <v>28</v>
      </c>
      <c r="J169" s="8" t="s">
        <v>28</v>
      </c>
      <c r="K169" s="8" t="s">
        <v>29</v>
      </c>
      <c r="L169" s="8" t="s">
        <v>28</v>
      </c>
      <c r="M169" s="8" t="s">
        <v>28</v>
      </c>
      <c r="N169" s="8" t="s">
        <v>28</v>
      </c>
      <c r="O169" s="8" t="s">
        <v>28</v>
      </c>
      <c r="P169" s="8">
        <v>67968.75</v>
      </c>
      <c r="Q169" s="8">
        <v>0</v>
      </c>
      <c r="R169" s="5">
        <f t="shared" si="5"/>
        <v>0</v>
      </c>
      <c r="S169" s="5">
        <f t="shared" si="6"/>
        <v>67968.75</v>
      </c>
      <c r="T169" s="8">
        <v>0</v>
      </c>
      <c r="U169" s="8" t="s">
        <v>31</v>
      </c>
      <c r="V169" s="8" t="str">
        <f>IF(F169="","",CHOOSE(INT(MOD(MONTH(S176)-7,12)/3)+1,"Q1","Q2","Q3","Q4"))</f>
        <v>Q1</v>
      </c>
      <c r="W169" s="9" t="s">
        <v>43</v>
      </c>
    </row>
    <row r="170" spans="1:23" ht="22.5" customHeight="1" x14ac:dyDescent="0.25">
      <c r="A170">
        <v>364</v>
      </c>
      <c r="B170" t="s">
        <v>23</v>
      </c>
      <c r="C170" s="7" t="s">
        <v>119</v>
      </c>
      <c r="D170" s="8" t="s">
        <v>40</v>
      </c>
      <c r="E170" s="8" t="s">
        <v>71</v>
      </c>
      <c r="F170" s="15" t="s">
        <v>113</v>
      </c>
      <c r="G170" s="8" t="s">
        <v>28</v>
      </c>
      <c r="H170" s="8" t="s">
        <v>28</v>
      </c>
      <c r="I170" s="8" t="s">
        <v>28</v>
      </c>
      <c r="J170" s="8" t="s">
        <v>28</v>
      </c>
      <c r="K170" s="8" t="s">
        <v>29</v>
      </c>
      <c r="L170" s="8" t="s">
        <v>28</v>
      </c>
      <c r="M170" s="8" t="s">
        <v>28</v>
      </c>
      <c r="N170" s="8" t="s">
        <v>28</v>
      </c>
      <c r="O170" s="8" t="s">
        <v>28</v>
      </c>
      <c r="P170" s="8">
        <v>27115</v>
      </c>
      <c r="Q170" s="8">
        <v>0</v>
      </c>
      <c r="R170" s="5">
        <f t="shared" si="5"/>
        <v>0</v>
      </c>
      <c r="S170" s="5">
        <f t="shared" si="6"/>
        <v>27115</v>
      </c>
      <c r="T170" s="8">
        <v>0</v>
      </c>
      <c r="U170" s="8" t="s">
        <v>31</v>
      </c>
      <c r="V170" s="8" t="str">
        <f>IF(F170="","",CHOOSE(INT(MOD(MONTH(S177)-7,12)/3)+1,"Q1","Q2","Q3","Q4"))</f>
        <v>Q1</v>
      </c>
      <c r="W170" s="9" t="s">
        <v>43</v>
      </c>
    </row>
    <row r="171" spans="1:23" ht="22.5" customHeight="1" x14ac:dyDescent="0.25">
      <c r="A171">
        <v>1115</v>
      </c>
      <c r="B171" t="s">
        <v>23</v>
      </c>
      <c r="C171" s="7" t="s">
        <v>342</v>
      </c>
      <c r="D171" s="8" t="s">
        <v>40</v>
      </c>
      <c r="E171" s="8" t="s">
        <v>273</v>
      </c>
      <c r="F171" s="15" t="s">
        <v>343</v>
      </c>
      <c r="G171" s="8" t="s">
        <v>28</v>
      </c>
      <c r="H171" s="8" t="s">
        <v>28</v>
      </c>
      <c r="I171" s="8" t="s">
        <v>28</v>
      </c>
      <c r="J171" s="8" t="s">
        <v>28</v>
      </c>
      <c r="K171" s="8" t="s">
        <v>29</v>
      </c>
      <c r="L171" s="8" t="s">
        <v>28</v>
      </c>
      <c r="M171" s="8" t="s">
        <v>28</v>
      </c>
      <c r="N171" s="8" t="s">
        <v>28</v>
      </c>
      <c r="O171" s="8" t="s">
        <v>28</v>
      </c>
      <c r="P171" s="8">
        <v>99239</v>
      </c>
      <c r="Q171" s="8">
        <v>0</v>
      </c>
      <c r="R171" s="5">
        <f t="shared" si="5"/>
        <v>0</v>
      </c>
      <c r="S171" s="5">
        <f t="shared" si="6"/>
        <v>99239</v>
      </c>
      <c r="T171" s="8">
        <v>0</v>
      </c>
      <c r="U171" s="8" t="s">
        <v>31</v>
      </c>
      <c r="V171" s="8" t="str">
        <f>IF(F171="","",CHOOSE(INT(MOD(MONTH(S178)-7,12)/3)+1,"Q1","Q2","Q3","Q4"))</f>
        <v>Q2</v>
      </c>
      <c r="W171" s="9" t="s">
        <v>247</v>
      </c>
    </row>
    <row r="172" spans="1:23" ht="22.5" customHeight="1" x14ac:dyDescent="0.25">
      <c r="A172">
        <v>542</v>
      </c>
      <c r="B172" t="s">
        <v>23</v>
      </c>
      <c r="C172" s="7" t="s">
        <v>154</v>
      </c>
      <c r="D172" s="8" t="s">
        <v>25</v>
      </c>
      <c r="E172" s="8" t="s">
        <v>26</v>
      </c>
      <c r="F172" s="15" t="s">
        <v>155</v>
      </c>
      <c r="G172" s="8" t="s">
        <v>28</v>
      </c>
      <c r="H172" s="8" t="s">
        <v>28</v>
      </c>
      <c r="I172" s="8" t="s">
        <v>28</v>
      </c>
      <c r="J172" s="8" t="s">
        <v>28</v>
      </c>
      <c r="K172" s="8" t="s">
        <v>29</v>
      </c>
      <c r="L172" s="8" t="s">
        <v>28</v>
      </c>
      <c r="M172" s="8" t="s">
        <v>28</v>
      </c>
      <c r="N172" s="8" t="s">
        <v>28</v>
      </c>
      <c r="O172" s="8" t="s">
        <v>116</v>
      </c>
      <c r="P172" s="8">
        <v>2347</v>
      </c>
      <c r="Q172" s="8">
        <v>0</v>
      </c>
      <c r="R172" s="5">
        <f t="shared" si="5"/>
        <v>0</v>
      </c>
      <c r="S172" s="5">
        <f t="shared" si="6"/>
        <v>2347</v>
      </c>
      <c r="T172" s="8">
        <v>0</v>
      </c>
      <c r="U172" s="8" t="s">
        <v>31</v>
      </c>
      <c r="V172" s="8" t="str">
        <f>IF(F172="","",CHOOSE(INT(MOD(MONTH(S179)-7,12)/3)+1,"Q1","Q2","Q3","Q4"))</f>
        <v>Q4</v>
      </c>
      <c r="W172" s="9" t="s">
        <v>32</v>
      </c>
    </row>
    <row r="173" spans="1:23" ht="22.5" customHeight="1" x14ac:dyDescent="0.25">
      <c r="A173">
        <v>569</v>
      </c>
      <c r="B173" t="s">
        <v>23</v>
      </c>
      <c r="C173" s="7" t="s">
        <v>158</v>
      </c>
      <c r="D173" s="8" t="s">
        <v>25</v>
      </c>
      <c r="E173" s="8" t="s">
        <v>88</v>
      </c>
      <c r="F173" s="15" t="s">
        <v>159</v>
      </c>
      <c r="G173" s="8" t="s">
        <v>28</v>
      </c>
      <c r="H173" s="8" t="s">
        <v>28</v>
      </c>
      <c r="I173" s="8" t="s">
        <v>28</v>
      </c>
      <c r="J173" s="8" t="s">
        <v>28</v>
      </c>
      <c r="K173" s="8" t="s">
        <v>29</v>
      </c>
      <c r="L173" s="8" t="s">
        <v>28</v>
      </c>
      <c r="M173" s="8" t="s">
        <v>28</v>
      </c>
      <c r="N173" s="8" t="s">
        <v>28</v>
      </c>
      <c r="O173" s="8" t="s">
        <v>160</v>
      </c>
      <c r="P173" s="8">
        <v>1850</v>
      </c>
      <c r="Q173" s="8">
        <v>18</v>
      </c>
      <c r="R173" s="5">
        <f t="shared" si="5"/>
        <v>333</v>
      </c>
      <c r="S173" s="5">
        <f t="shared" si="6"/>
        <v>2183</v>
      </c>
      <c r="T173" s="8">
        <v>0</v>
      </c>
      <c r="U173" s="8" t="s">
        <v>31</v>
      </c>
      <c r="V173" s="8" t="str">
        <f>IF(F173="","",CHOOSE(INT(MOD(MONTH(S180)-7,12)/3)+1,"Q1","Q2","Q3","Q4"))</f>
        <v>Q2</v>
      </c>
      <c r="W173" s="9" t="s">
        <v>32</v>
      </c>
    </row>
    <row r="174" spans="1:23" ht="22.5" customHeight="1" x14ac:dyDescent="0.25">
      <c r="A174">
        <v>633</v>
      </c>
      <c r="B174" t="s">
        <v>23</v>
      </c>
      <c r="C174" s="7" t="s">
        <v>171</v>
      </c>
      <c r="D174" s="8" t="s">
        <v>25</v>
      </c>
      <c r="E174" s="8" t="s">
        <v>152</v>
      </c>
      <c r="F174" s="15" t="s">
        <v>172</v>
      </c>
      <c r="G174" s="8" t="s">
        <v>28</v>
      </c>
      <c r="H174" s="8" t="s">
        <v>28</v>
      </c>
      <c r="I174" s="8" t="s">
        <v>28</v>
      </c>
      <c r="J174" s="8" t="s">
        <v>28</v>
      </c>
      <c r="K174" s="8" t="s">
        <v>29</v>
      </c>
      <c r="L174" s="8" t="s">
        <v>28</v>
      </c>
      <c r="M174" s="8" t="s">
        <v>28</v>
      </c>
      <c r="N174" s="8" t="s">
        <v>28</v>
      </c>
      <c r="O174" s="8" t="s">
        <v>79</v>
      </c>
      <c r="P174" s="8">
        <v>2595.5</v>
      </c>
      <c r="Q174" s="8">
        <v>0</v>
      </c>
      <c r="R174" s="5">
        <f t="shared" si="5"/>
        <v>0</v>
      </c>
      <c r="S174" s="5">
        <f t="shared" si="6"/>
        <v>2595.5</v>
      </c>
      <c r="T174" s="8">
        <v>0</v>
      </c>
      <c r="U174" s="8" t="s">
        <v>31</v>
      </c>
      <c r="V174" s="8" t="str">
        <f>IF(F174="","",CHOOSE(INT(MOD(MONTH(S181)-7,12)/3)+1,"Q1","Q2","Q3","Q4"))</f>
        <v>Q2</v>
      </c>
      <c r="W174" s="9" t="s">
        <v>32</v>
      </c>
    </row>
    <row r="175" spans="1:23" ht="22.5" customHeight="1" x14ac:dyDescent="0.25">
      <c r="A175">
        <v>736</v>
      </c>
      <c r="B175" t="s">
        <v>23</v>
      </c>
      <c r="C175" s="7" t="s">
        <v>187</v>
      </c>
      <c r="D175" s="8" t="s">
        <v>25</v>
      </c>
      <c r="E175" s="8" t="s">
        <v>56</v>
      </c>
      <c r="F175" s="15" t="s">
        <v>188</v>
      </c>
      <c r="G175" s="8" t="s">
        <v>28</v>
      </c>
      <c r="H175" s="8" t="s">
        <v>28</v>
      </c>
      <c r="I175" s="8" t="s">
        <v>28</v>
      </c>
      <c r="J175" s="8" t="s">
        <v>28</v>
      </c>
      <c r="K175" s="8" t="s">
        <v>29</v>
      </c>
      <c r="L175" s="8" t="s">
        <v>28</v>
      </c>
      <c r="M175" s="8" t="s">
        <v>28</v>
      </c>
      <c r="N175" s="8" t="s">
        <v>28</v>
      </c>
      <c r="O175" s="8" t="s">
        <v>116</v>
      </c>
      <c r="P175" s="8">
        <v>6079.6</v>
      </c>
      <c r="Q175" s="5">
        <v>0</v>
      </c>
      <c r="R175" s="5">
        <f t="shared" si="5"/>
        <v>0</v>
      </c>
      <c r="S175" s="5">
        <f t="shared" si="6"/>
        <v>6079.6</v>
      </c>
      <c r="T175" s="8">
        <v>0</v>
      </c>
      <c r="U175" s="8" t="s">
        <v>31</v>
      </c>
      <c r="V175" s="8" t="str">
        <f>IF(F175="","",CHOOSE(INT(MOD(MONTH(S182)-7,12)/3)+1,"Q1","Q2","Q3","Q4"))</f>
        <v>Q4</v>
      </c>
      <c r="W175" s="9" t="s">
        <v>32</v>
      </c>
    </row>
    <row r="176" spans="1:23" ht="22.5" customHeight="1" x14ac:dyDescent="0.25">
      <c r="A176">
        <v>1263</v>
      </c>
      <c r="B176" t="s">
        <v>23</v>
      </c>
      <c r="C176" s="7" t="s">
        <v>696</v>
      </c>
      <c r="D176" s="8" t="s">
        <v>25</v>
      </c>
      <c r="E176" s="8" t="s">
        <v>682</v>
      </c>
      <c r="F176" s="15" t="s">
        <v>697</v>
      </c>
      <c r="G176" s="8" t="s">
        <v>28</v>
      </c>
      <c r="H176" s="8" t="s">
        <v>28</v>
      </c>
      <c r="I176" s="8" t="s">
        <v>28</v>
      </c>
      <c r="J176" s="8" t="s">
        <v>28</v>
      </c>
      <c r="K176" s="8" t="s">
        <v>29</v>
      </c>
      <c r="L176" s="8" t="s">
        <v>28</v>
      </c>
      <c r="M176" s="8" t="s">
        <v>28</v>
      </c>
      <c r="N176" s="8" t="s">
        <v>28</v>
      </c>
      <c r="O176" s="8" t="s">
        <v>698</v>
      </c>
      <c r="P176" s="8">
        <v>39210</v>
      </c>
      <c r="Q176" s="8">
        <v>18</v>
      </c>
      <c r="R176" s="5">
        <f t="shared" si="5"/>
        <v>7057.8</v>
      </c>
      <c r="S176" s="5">
        <f t="shared" si="6"/>
        <v>46267.8</v>
      </c>
      <c r="T176" s="8">
        <v>0</v>
      </c>
      <c r="U176" s="8" t="s">
        <v>31</v>
      </c>
      <c r="V176" s="8" t="str">
        <f>IF(F176="","",CHOOSE(INT(MOD(MONTH(S183)-7,12)/3)+1,"Q1","Q2","Q3","Q4"))</f>
        <v>Q1</v>
      </c>
      <c r="W176" s="9" t="s">
        <v>227</v>
      </c>
    </row>
    <row r="177" spans="1:23" ht="22.5" customHeight="1" x14ac:dyDescent="0.25">
      <c r="A177">
        <v>1257</v>
      </c>
      <c r="B177" t="s">
        <v>23</v>
      </c>
      <c r="C177" s="7" t="s">
        <v>679</v>
      </c>
      <c r="D177" s="8" t="s">
        <v>25</v>
      </c>
      <c r="E177" s="8" t="s">
        <v>630</v>
      </c>
      <c r="F177" s="15" t="s">
        <v>640</v>
      </c>
      <c r="G177" s="8" t="s">
        <v>28</v>
      </c>
      <c r="H177" s="8" t="s">
        <v>28</v>
      </c>
      <c r="I177" s="8" t="s">
        <v>28</v>
      </c>
      <c r="J177" s="8" t="s">
        <v>28</v>
      </c>
      <c r="K177" s="8" t="s">
        <v>29</v>
      </c>
      <c r="L177" s="8" t="s">
        <v>28</v>
      </c>
      <c r="M177" s="8" t="s">
        <v>28</v>
      </c>
      <c r="N177" s="8" t="s">
        <v>28</v>
      </c>
      <c r="O177" s="8" t="s">
        <v>680</v>
      </c>
      <c r="P177" s="8">
        <v>37980.629999999997</v>
      </c>
      <c r="Q177" s="5">
        <v>18</v>
      </c>
      <c r="R177" s="5">
        <f t="shared" si="5"/>
        <v>6836.5133999999998</v>
      </c>
      <c r="S177" s="5">
        <f t="shared" si="6"/>
        <v>44817.143400000001</v>
      </c>
      <c r="T177" s="8">
        <v>0</v>
      </c>
      <c r="U177" s="8" t="s">
        <v>31</v>
      </c>
      <c r="V177" s="8" t="str">
        <f>IF(F177="","",CHOOSE(INT(MOD(MONTH(S184)-7,12)/3)+1,"Q1","Q2","Q3","Q4"))</f>
        <v>Q4</v>
      </c>
      <c r="W177" s="9" t="s">
        <v>227</v>
      </c>
    </row>
    <row r="178" spans="1:23" ht="22.5" customHeight="1" x14ac:dyDescent="0.25">
      <c r="A178">
        <v>1256</v>
      </c>
      <c r="B178" t="s">
        <v>23</v>
      </c>
      <c r="C178" s="7" t="s">
        <v>675</v>
      </c>
      <c r="D178" s="8" t="s">
        <v>25</v>
      </c>
      <c r="E178" s="8" t="s">
        <v>676</v>
      </c>
      <c r="F178" s="15" t="s">
        <v>677</v>
      </c>
      <c r="G178" s="8" t="s">
        <v>28</v>
      </c>
      <c r="H178" s="8" t="s">
        <v>28</v>
      </c>
      <c r="I178" s="8" t="s">
        <v>28</v>
      </c>
      <c r="J178" s="8" t="s">
        <v>28</v>
      </c>
      <c r="K178" s="8" t="s">
        <v>29</v>
      </c>
      <c r="L178" s="8" t="s">
        <v>28</v>
      </c>
      <c r="M178" s="8" t="s">
        <v>28</v>
      </c>
      <c r="N178" s="8" t="s">
        <v>28</v>
      </c>
      <c r="O178" s="8" t="s">
        <v>678</v>
      </c>
      <c r="P178" s="8">
        <v>13250</v>
      </c>
      <c r="Q178" s="5">
        <v>18</v>
      </c>
      <c r="R178" s="5">
        <f t="shared" si="5"/>
        <v>2385</v>
      </c>
      <c r="S178" s="5">
        <f t="shared" si="6"/>
        <v>15635</v>
      </c>
      <c r="T178" s="8">
        <v>0</v>
      </c>
      <c r="U178" s="8" t="s">
        <v>31</v>
      </c>
      <c r="V178" s="8" t="str">
        <f>IF(F178="","",CHOOSE(INT(MOD(MONTH(S185)-7,12)/3)+1,"Q1","Q2","Q3","Q4"))</f>
        <v>Q2</v>
      </c>
      <c r="W178" s="9" t="s">
        <v>227</v>
      </c>
    </row>
    <row r="179" spans="1:23" ht="22.5" customHeight="1" x14ac:dyDescent="0.25">
      <c r="A179">
        <v>1267</v>
      </c>
      <c r="B179" t="s">
        <v>23</v>
      </c>
      <c r="C179" s="7" t="s">
        <v>709</v>
      </c>
      <c r="D179" s="8" t="s">
        <v>25</v>
      </c>
      <c r="E179" s="8" t="s">
        <v>682</v>
      </c>
      <c r="F179" s="15" t="s">
        <v>704</v>
      </c>
      <c r="G179" s="8" t="s">
        <v>28</v>
      </c>
      <c r="H179" s="8" t="s">
        <v>28</v>
      </c>
      <c r="I179" s="8" t="s">
        <v>28</v>
      </c>
      <c r="J179" s="8" t="s">
        <v>28</v>
      </c>
      <c r="K179" s="8" t="s">
        <v>29</v>
      </c>
      <c r="L179" s="8" t="s">
        <v>28</v>
      </c>
      <c r="M179" s="8" t="s">
        <v>28</v>
      </c>
      <c r="N179" s="8" t="s">
        <v>28</v>
      </c>
      <c r="O179" s="8" t="s">
        <v>710</v>
      </c>
      <c r="P179" s="8">
        <v>5060</v>
      </c>
      <c r="Q179" s="5">
        <v>18</v>
      </c>
      <c r="R179" s="5">
        <f t="shared" si="5"/>
        <v>910.80000000000007</v>
      </c>
      <c r="S179" s="5">
        <f t="shared" si="6"/>
        <v>5970.8</v>
      </c>
      <c r="T179" s="8">
        <v>0</v>
      </c>
      <c r="U179" s="8" t="s">
        <v>31</v>
      </c>
      <c r="V179" s="8" t="str">
        <f>IF(F179="","",CHOOSE(INT(MOD(MONTH(S186)-7,12)/3)+1,"Q1","Q2","Q3","Q4"))</f>
        <v>Q2</v>
      </c>
      <c r="W179" s="9" t="s">
        <v>227</v>
      </c>
    </row>
    <row r="180" spans="1:23" ht="22.5" customHeight="1" x14ac:dyDescent="0.25">
      <c r="A180">
        <v>1279</v>
      </c>
      <c r="B180" t="s">
        <v>23</v>
      </c>
      <c r="C180" s="7" t="s">
        <v>741</v>
      </c>
      <c r="D180" s="8" t="s">
        <v>25</v>
      </c>
      <c r="E180" s="8" t="s">
        <v>682</v>
      </c>
      <c r="F180" s="15" t="s">
        <v>742</v>
      </c>
      <c r="G180" s="8" t="s">
        <v>28</v>
      </c>
      <c r="H180" s="8" t="s">
        <v>28</v>
      </c>
      <c r="I180" s="8" t="s">
        <v>28</v>
      </c>
      <c r="J180" s="8" t="s">
        <v>28</v>
      </c>
      <c r="K180" s="8" t="s">
        <v>29</v>
      </c>
      <c r="L180" s="8" t="s">
        <v>28</v>
      </c>
      <c r="M180" s="8" t="s">
        <v>28</v>
      </c>
      <c r="N180" s="8" t="s">
        <v>28</v>
      </c>
      <c r="O180" s="8" t="s">
        <v>743</v>
      </c>
      <c r="P180" s="8">
        <v>24742.38</v>
      </c>
      <c r="Q180" s="5">
        <v>18</v>
      </c>
      <c r="R180" s="5">
        <f t="shared" si="5"/>
        <v>4453.6283999999996</v>
      </c>
      <c r="S180" s="5">
        <f t="shared" si="6"/>
        <v>29196.008399999999</v>
      </c>
      <c r="T180" s="8">
        <v>0</v>
      </c>
      <c r="U180" s="8" t="s">
        <v>31</v>
      </c>
      <c r="V180" s="8" t="str">
        <f>IF(F180="","",CHOOSE(INT(MOD(MONTH(S187)-7,12)/3)+1,"Q1","Q2","Q3","Q4"))</f>
        <v>Q1</v>
      </c>
      <c r="W180" s="9" t="s">
        <v>227</v>
      </c>
    </row>
    <row r="181" spans="1:23" ht="22.5" customHeight="1" x14ac:dyDescent="0.25">
      <c r="A181">
        <v>1260</v>
      </c>
      <c r="B181" t="s">
        <v>23</v>
      </c>
      <c r="C181" s="7" t="s">
        <v>688</v>
      </c>
      <c r="D181" s="8" t="s">
        <v>25</v>
      </c>
      <c r="E181" s="8" t="s">
        <v>621</v>
      </c>
      <c r="F181" s="15" t="s">
        <v>689</v>
      </c>
      <c r="G181" s="8" t="s">
        <v>28</v>
      </c>
      <c r="H181" s="8" t="s">
        <v>28</v>
      </c>
      <c r="I181" s="8" t="s">
        <v>28</v>
      </c>
      <c r="J181" s="8" t="s">
        <v>28</v>
      </c>
      <c r="K181" s="8" t="s">
        <v>29</v>
      </c>
      <c r="L181" s="8" t="s">
        <v>28</v>
      </c>
      <c r="M181" s="8" t="s">
        <v>28</v>
      </c>
      <c r="N181" s="8" t="s">
        <v>28</v>
      </c>
      <c r="O181" s="8" t="s">
        <v>690</v>
      </c>
      <c r="P181" s="8">
        <v>4900</v>
      </c>
      <c r="Q181" s="8">
        <v>18</v>
      </c>
      <c r="R181" s="5">
        <f t="shared" si="5"/>
        <v>882</v>
      </c>
      <c r="S181" s="5">
        <f t="shared" si="6"/>
        <v>5782</v>
      </c>
      <c r="T181" s="8">
        <v>0</v>
      </c>
      <c r="U181" s="8" t="s">
        <v>31</v>
      </c>
      <c r="V181" s="8" t="str">
        <f>IF(F181="","",CHOOSE(INT(MOD(MONTH(S188)-7,12)/3)+1,"Q1","Q2","Q3","Q4"))</f>
        <v>Q3</v>
      </c>
      <c r="W181" s="9" t="s">
        <v>227</v>
      </c>
    </row>
    <row r="182" spans="1:23" ht="22.5" customHeight="1" x14ac:dyDescent="0.25">
      <c r="A182">
        <v>1261</v>
      </c>
      <c r="B182" t="s">
        <v>23</v>
      </c>
      <c r="C182" s="7" t="s">
        <v>691</v>
      </c>
      <c r="D182" s="8" t="s">
        <v>25</v>
      </c>
      <c r="E182" s="8" t="s">
        <v>621</v>
      </c>
      <c r="F182" s="15" t="s">
        <v>692</v>
      </c>
      <c r="G182" s="8" t="s">
        <v>28</v>
      </c>
      <c r="H182" s="8" t="s">
        <v>28</v>
      </c>
      <c r="I182" s="8" t="s">
        <v>28</v>
      </c>
      <c r="J182" s="8" t="s">
        <v>28</v>
      </c>
      <c r="K182" s="8" t="s">
        <v>29</v>
      </c>
      <c r="L182" s="8" t="s">
        <v>28</v>
      </c>
      <c r="M182" s="8" t="s">
        <v>28</v>
      </c>
      <c r="N182" s="8" t="s">
        <v>28</v>
      </c>
      <c r="O182" s="8" t="s">
        <v>693</v>
      </c>
      <c r="P182" s="8">
        <v>100</v>
      </c>
      <c r="Q182" s="5">
        <v>18</v>
      </c>
      <c r="R182" s="5">
        <f t="shared" si="5"/>
        <v>18</v>
      </c>
      <c r="S182" s="5">
        <f t="shared" si="6"/>
        <v>118</v>
      </c>
      <c r="T182" s="8">
        <v>0</v>
      </c>
      <c r="U182" s="8" t="s">
        <v>31</v>
      </c>
      <c r="V182" s="8" t="str">
        <f>IF(F182="","",CHOOSE(INT(MOD(MONTH(S189)-7,12)/3)+1,"Q1","Q2","Q3","Q4"))</f>
        <v>Q4</v>
      </c>
      <c r="W182" s="9" t="s">
        <v>227</v>
      </c>
    </row>
    <row r="183" spans="1:23" ht="22.5" customHeight="1" x14ac:dyDescent="0.25">
      <c r="A183">
        <v>1262</v>
      </c>
      <c r="B183" t="s">
        <v>23</v>
      </c>
      <c r="C183" s="7" t="s">
        <v>694</v>
      </c>
      <c r="D183" s="8" t="s">
        <v>25</v>
      </c>
      <c r="E183" s="8" t="s">
        <v>568</v>
      </c>
      <c r="F183" s="15" t="s">
        <v>692</v>
      </c>
      <c r="G183" s="8" t="s">
        <v>28</v>
      </c>
      <c r="H183" s="8" t="s">
        <v>28</v>
      </c>
      <c r="I183" s="8" t="s">
        <v>28</v>
      </c>
      <c r="J183" s="8" t="s">
        <v>28</v>
      </c>
      <c r="K183" s="8" t="s">
        <v>29</v>
      </c>
      <c r="L183" s="8" t="s">
        <v>28</v>
      </c>
      <c r="M183" s="8" t="s">
        <v>28</v>
      </c>
      <c r="N183" s="8" t="s">
        <v>28</v>
      </c>
      <c r="O183" s="8" t="s">
        <v>695</v>
      </c>
      <c r="P183" s="8">
        <v>1109</v>
      </c>
      <c r="Q183" s="5">
        <v>18</v>
      </c>
      <c r="R183" s="5">
        <f t="shared" si="5"/>
        <v>199.62</v>
      </c>
      <c r="S183" s="5">
        <f t="shared" si="6"/>
        <v>1308.6199999999999</v>
      </c>
      <c r="T183" s="8">
        <v>0</v>
      </c>
      <c r="U183" s="8" t="s">
        <v>31</v>
      </c>
      <c r="V183" s="8" t="str">
        <f>IF(F183="","",CHOOSE(INT(MOD(MONTH(S190)-7,12)/3)+1,"Q1","Q2","Q3","Q4"))</f>
        <v>Q4</v>
      </c>
      <c r="W183" s="9" t="s">
        <v>227</v>
      </c>
    </row>
    <row r="184" spans="1:23" ht="22.5" customHeight="1" x14ac:dyDescent="0.25">
      <c r="A184">
        <v>1301</v>
      </c>
      <c r="B184" t="s">
        <v>23</v>
      </c>
      <c r="C184" s="7" t="s">
        <v>767</v>
      </c>
      <c r="D184" s="8" t="s">
        <v>25</v>
      </c>
      <c r="E184" s="8" t="s">
        <v>682</v>
      </c>
      <c r="F184" s="15" t="s">
        <v>751</v>
      </c>
      <c r="G184" s="8" t="s">
        <v>762</v>
      </c>
      <c r="H184" s="8" t="s">
        <v>752</v>
      </c>
      <c r="I184" s="8" t="s">
        <v>28</v>
      </c>
      <c r="J184" s="8" t="s">
        <v>28</v>
      </c>
      <c r="K184" s="8" t="s">
        <v>29</v>
      </c>
      <c r="L184" s="8" t="s">
        <v>754</v>
      </c>
      <c r="M184" s="8" t="s">
        <v>764</v>
      </c>
      <c r="N184" s="8" t="s">
        <v>28</v>
      </c>
      <c r="O184" s="8" t="s">
        <v>28</v>
      </c>
      <c r="P184" s="8">
        <v>115</v>
      </c>
      <c r="Q184" s="5">
        <v>15</v>
      </c>
      <c r="R184" s="5">
        <f t="shared" si="5"/>
        <v>17.25</v>
      </c>
      <c r="S184" s="5">
        <f t="shared" si="6"/>
        <v>132.25</v>
      </c>
      <c r="T184" s="8">
        <v>115</v>
      </c>
      <c r="U184" s="8" t="s">
        <v>327</v>
      </c>
      <c r="V184" s="8" t="str">
        <f>IF(F184="","",CHOOSE(INT(MOD(MONTH(S191)-7,12)/3)+1,"Q1","Q2","Q3","Q4"))</f>
        <v>Q2</v>
      </c>
      <c r="W184" s="9" t="s">
        <v>227</v>
      </c>
    </row>
    <row r="185" spans="1:23" ht="22.5" customHeight="1" x14ac:dyDescent="0.25">
      <c r="A185">
        <v>1264</v>
      </c>
      <c r="B185" t="s">
        <v>23</v>
      </c>
      <c r="C185" s="7" t="s">
        <v>699</v>
      </c>
      <c r="D185" s="8" t="s">
        <v>25</v>
      </c>
      <c r="E185" s="8" t="s">
        <v>700</v>
      </c>
      <c r="F185" s="15" t="s">
        <v>701</v>
      </c>
      <c r="G185" s="8" t="s">
        <v>28</v>
      </c>
      <c r="H185" s="8" t="s">
        <v>28</v>
      </c>
      <c r="I185" s="8" t="s">
        <v>28</v>
      </c>
      <c r="J185" s="8" t="s">
        <v>28</v>
      </c>
      <c r="K185" s="8" t="s">
        <v>29</v>
      </c>
      <c r="L185" s="8" t="s">
        <v>28</v>
      </c>
      <c r="M185" s="8" t="s">
        <v>28</v>
      </c>
      <c r="N185" s="8" t="s">
        <v>28</v>
      </c>
      <c r="O185" s="8" t="s">
        <v>702</v>
      </c>
      <c r="P185" s="8">
        <v>46050</v>
      </c>
      <c r="Q185" s="5">
        <v>18</v>
      </c>
      <c r="R185" s="5">
        <f t="shared" si="5"/>
        <v>8289</v>
      </c>
      <c r="S185" s="5">
        <f t="shared" si="6"/>
        <v>54339</v>
      </c>
      <c r="T185" s="8">
        <v>0</v>
      </c>
      <c r="U185" s="8" t="s">
        <v>31</v>
      </c>
      <c r="V185" s="8" t="str">
        <f>IF(F185="","",CHOOSE(INT(MOD(MONTH(S192)-7,12)/3)+1,"Q1","Q2","Q3","Q4"))</f>
        <v>Q3</v>
      </c>
      <c r="W185" s="9" t="s">
        <v>227</v>
      </c>
    </row>
    <row r="186" spans="1:23" ht="22.5" customHeight="1" x14ac:dyDescent="0.25">
      <c r="A186">
        <v>1265</v>
      </c>
      <c r="B186" t="s">
        <v>23</v>
      </c>
      <c r="C186" s="7" t="s">
        <v>703</v>
      </c>
      <c r="D186" s="8" t="s">
        <v>25</v>
      </c>
      <c r="E186" s="8" t="s">
        <v>676</v>
      </c>
      <c r="F186" s="15" t="s">
        <v>704</v>
      </c>
      <c r="G186" s="8" t="s">
        <v>28</v>
      </c>
      <c r="H186" s="8" t="s">
        <v>28</v>
      </c>
      <c r="I186" s="8" t="s">
        <v>28</v>
      </c>
      <c r="J186" s="8" t="s">
        <v>28</v>
      </c>
      <c r="K186" s="8" t="s">
        <v>29</v>
      </c>
      <c r="L186" s="8" t="s">
        <v>28</v>
      </c>
      <c r="M186" s="8" t="s">
        <v>28</v>
      </c>
      <c r="N186" s="8" t="s">
        <v>28</v>
      </c>
      <c r="O186" s="8" t="s">
        <v>705</v>
      </c>
      <c r="P186" s="8">
        <v>5870</v>
      </c>
      <c r="Q186" s="5">
        <v>18</v>
      </c>
      <c r="R186" s="5">
        <f t="shared" si="5"/>
        <v>1056.6000000000001</v>
      </c>
      <c r="S186" s="5">
        <f t="shared" si="6"/>
        <v>6926.6</v>
      </c>
      <c r="T186" s="8">
        <v>0</v>
      </c>
      <c r="U186" s="8" t="s">
        <v>31</v>
      </c>
      <c r="V186" s="8" t="str">
        <f>IF(F186="","",CHOOSE(INT(MOD(MONTH(S193)-7,12)/3)+1,"Q1","Q2","Q3","Q4"))</f>
        <v>Q2</v>
      </c>
      <c r="W186" s="9" t="s">
        <v>227</v>
      </c>
    </row>
    <row r="187" spans="1:23" ht="22.5" customHeight="1" x14ac:dyDescent="0.25">
      <c r="A187">
        <v>1269</v>
      </c>
      <c r="B187" t="s">
        <v>23</v>
      </c>
      <c r="C187" s="7" t="s">
        <v>713</v>
      </c>
      <c r="D187" s="8" t="s">
        <v>25</v>
      </c>
      <c r="E187" s="8" t="s">
        <v>714</v>
      </c>
      <c r="F187" s="15" t="s">
        <v>715</v>
      </c>
      <c r="G187" s="8" t="s">
        <v>28</v>
      </c>
      <c r="H187" s="8" t="s">
        <v>28</v>
      </c>
      <c r="I187" s="8" t="s">
        <v>28</v>
      </c>
      <c r="J187" s="8" t="s">
        <v>28</v>
      </c>
      <c r="K187" s="8" t="s">
        <v>29</v>
      </c>
      <c r="L187" s="8" t="s">
        <v>28</v>
      </c>
      <c r="M187" s="8" t="s">
        <v>28</v>
      </c>
      <c r="N187" s="8" t="s">
        <v>28</v>
      </c>
      <c r="O187" s="8" t="s">
        <v>716</v>
      </c>
      <c r="P187" s="8">
        <v>2963.3</v>
      </c>
      <c r="Q187" s="5">
        <v>18</v>
      </c>
      <c r="R187" s="5">
        <f t="shared" si="5"/>
        <v>533.39400000000001</v>
      </c>
      <c r="S187" s="5">
        <f t="shared" si="6"/>
        <v>3496.6940000000004</v>
      </c>
      <c r="T187" s="8">
        <v>0</v>
      </c>
      <c r="U187" s="8" t="s">
        <v>31</v>
      </c>
      <c r="V187" s="8" t="str">
        <f>IF(F187="","",CHOOSE(INT(MOD(MONTH(S194)-7,12)/3)+1,"Q1","Q2","Q3","Q4"))</f>
        <v>Q3</v>
      </c>
      <c r="W187" s="9" t="s">
        <v>227</v>
      </c>
    </row>
    <row r="188" spans="1:23" ht="22.5" customHeight="1" x14ac:dyDescent="0.25">
      <c r="A188">
        <v>1266</v>
      </c>
      <c r="B188" t="s">
        <v>23</v>
      </c>
      <c r="C188" s="7" t="s">
        <v>706</v>
      </c>
      <c r="D188" s="8" t="s">
        <v>25</v>
      </c>
      <c r="E188" s="8" t="s">
        <v>700</v>
      </c>
      <c r="F188" s="15" t="s">
        <v>707</v>
      </c>
      <c r="G188" s="8" t="s">
        <v>28</v>
      </c>
      <c r="H188" s="8" t="s">
        <v>28</v>
      </c>
      <c r="I188" s="8" t="s">
        <v>28</v>
      </c>
      <c r="J188" s="8" t="s">
        <v>28</v>
      </c>
      <c r="K188" s="8" t="s">
        <v>29</v>
      </c>
      <c r="L188" s="8" t="s">
        <v>28</v>
      </c>
      <c r="M188" s="8" t="s">
        <v>28</v>
      </c>
      <c r="N188" s="8" t="s">
        <v>28</v>
      </c>
      <c r="O188" s="8" t="s">
        <v>708</v>
      </c>
      <c r="P188" s="8">
        <v>5952</v>
      </c>
      <c r="Q188" s="5">
        <v>18</v>
      </c>
      <c r="R188" s="5">
        <f t="shared" si="5"/>
        <v>1071.3600000000001</v>
      </c>
      <c r="S188" s="5">
        <f t="shared" si="6"/>
        <v>7023.3600000000006</v>
      </c>
      <c r="T188" s="8">
        <v>0</v>
      </c>
      <c r="U188" s="8" t="s">
        <v>31</v>
      </c>
      <c r="V188" s="8" t="str">
        <f>IF(F188="","",CHOOSE(INT(MOD(MONTH(S195)-7,12)/3)+1,"Q1","Q2","Q3","Q4"))</f>
        <v>Q1</v>
      </c>
      <c r="W188" s="9" t="s">
        <v>227</v>
      </c>
    </row>
    <row r="189" spans="1:23" ht="22.5" customHeight="1" x14ac:dyDescent="0.25">
      <c r="A189">
        <v>1297</v>
      </c>
      <c r="B189" t="s">
        <v>23</v>
      </c>
      <c r="C189" s="7" t="s">
        <v>761</v>
      </c>
      <c r="D189" s="8" t="s">
        <v>25</v>
      </c>
      <c r="E189" s="8" t="s">
        <v>682</v>
      </c>
      <c r="F189" s="15" t="s">
        <v>762</v>
      </c>
      <c r="G189" s="8" t="s">
        <v>752</v>
      </c>
      <c r="H189" s="8" t="s">
        <v>752</v>
      </c>
      <c r="I189" s="8" t="s">
        <v>28</v>
      </c>
      <c r="J189" s="8" t="s">
        <v>763</v>
      </c>
      <c r="K189" s="8" t="s">
        <v>29</v>
      </c>
      <c r="L189" s="8" t="s">
        <v>754</v>
      </c>
      <c r="M189" s="8" t="s">
        <v>764</v>
      </c>
      <c r="N189" s="8" t="s">
        <v>28</v>
      </c>
      <c r="O189" s="8" t="s">
        <v>28</v>
      </c>
      <c r="P189" s="8">
        <v>115</v>
      </c>
      <c r="Q189" s="5">
        <v>15</v>
      </c>
      <c r="R189" s="5">
        <f t="shared" si="5"/>
        <v>17.25</v>
      </c>
      <c r="S189" s="5">
        <f t="shared" si="6"/>
        <v>132.25</v>
      </c>
      <c r="T189" s="8">
        <v>115</v>
      </c>
      <c r="U189" s="8" t="s">
        <v>327</v>
      </c>
      <c r="V189" s="8" t="str">
        <f>IF(F189="","",CHOOSE(INT(MOD(MONTH(S196)-7,12)/3)+1,"Q1","Q2","Q3","Q4"))</f>
        <v>Q4</v>
      </c>
      <c r="W189" s="9" t="s">
        <v>227</v>
      </c>
    </row>
    <row r="190" spans="1:23" ht="22.5" customHeight="1" x14ac:dyDescent="0.25">
      <c r="A190">
        <v>1268</v>
      </c>
      <c r="B190" t="s">
        <v>23</v>
      </c>
      <c r="C190" s="7" t="s">
        <v>711</v>
      </c>
      <c r="D190" s="8" t="s">
        <v>25</v>
      </c>
      <c r="E190" s="8" t="s">
        <v>586</v>
      </c>
      <c r="F190" s="15" t="s">
        <v>704</v>
      </c>
      <c r="G190" s="8" t="s">
        <v>28</v>
      </c>
      <c r="H190" s="8" t="s">
        <v>28</v>
      </c>
      <c r="I190" s="8" t="s">
        <v>28</v>
      </c>
      <c r="J190" s="8" t="s">
        <v>28</v>
      </c>
      <c r="K190" s="8" t="s">
        <v>29</v>
      </c>
      <c r="L190" s="8" t="s">
        <v>28</v>
      </c>
      <c r="M190" s="8" t="s">
        <v>28</v>
      </c>
      <c r="N190" s="8" t="s">
        <v>28</v>
      </c>
      <c r="O190" s="8" t="s">
        <v>712</v>
      </c>
      <c r="P190" s="8">
        <v>736.6</v>
      </c>
      <c r="Q190" s="5">
        <v>18</v>
      </c>
      <c r="R190" s="5">
        <f t="shared" ref="R190:R253" si="7">P190/100*Q190</f>
        <v>132.58800000000002</v>
      </c>
      <c r="S190" s="5">
        <f t="shared" si="6"/>
        <v>869.1880000000001</v>
      </c>
      <c r="T190" s="8">
        <v>0</v>
      </c>
      <c r="U190" s="8" t="s">
        <v>31</v>
      </c>
      <c r="V190" s="8" t="str">
        <f>IF(F190="","",CHOOSE(INT(MOD(MONTH(S197)-7,12)/3)+1,"Q1","Q2","Q3","Q4"))</f>
        <v>Q2</v>
      </c>
      <c r="W190" s="9" t="s">
        <v>227</v>
      </c>
    </row>
    <row r="191" spans="1:23" ht="22.5" customHeight="1" x14ac:dyDescent="0.25">
      <c r="A191">
        <v>399</v>
      </c>
      <c r="B191" t="s">
        <v>23</v>
      </c>
      <c r="C191" s="7" t="s">
        <v>125</v>
      </c>
      <c r="D191" s="8" t="s">
        <v>40</v>
      </c>
      <c r="E191" s="8" t="s">
        <v>48</v>
      </c>
      <c r="F191" s="15" t="s">
        <v>126</v>
      </c>
      <c r="G191" s="8" t="s">
        <v>28</v>
      </c>
      <c r="H191" s="8" t="s">
        <v>28</v>
      </c>
      <c r="I191" s="8" t="s">
        <v>28</v>
      </c>
      <c r="J191" s="8" t="s">
        <v>28</v>
      </c>
      <c r="K191" s="8" t="s">
        <v>29</v>
      </c>
      <c r="L191" s="8" t="s">
        <v>28</v>
      </c>
      <c r="M191" s="8" t="s">
        <v>28</v>
      </c>
      <c r="N191" s="8" t="s">
        <v>28</v>
      </c>
      <c r="O191" s="8" t="s">
        <v>28</v>
      </c>
      <c r="P191" s="8">
        <v>4000</v>
      </c>
      <c r="Q191" s="5">
        <v>0</v>
      </c>
      <c r="R191" s="5">
        <f t="shared" si="7"/>
        <v>0</v>
      </c>
      <c r="S191" s="5">
        <f t="shared" si="6"/>
        <v>4000</v>
      </c>
      <c r="T191" s="8">
        <v>0</v>
      </c>
      <c r="U191" s="8" t="s">
        <v>31</v>
      </c>
      <c r="V191" s="8" t="str">
        <f>IF(F191="","",CHOOSE(INT(MOD(MONTH(S198)-7,12)/3)+1,"Q1","Q2","Q3","Q4"))</f>
        <v>Q4</v>
      </c>
      <c r="W191" s="9" t="s">
        <v>43</v>
      </c>
    </row>
    <row r="192" spans="1:23" ht="22.5" customHeight="1" x14ac:dyDescent="0.25">
      <c r="A192">
        <v>433</v>
      </c>
      <c r="B192" t="s">
        <v>23</v>
      </c>
      <c r="C192" s="7" t="s">
        <v>131</v>
      </c>
      <c r="D192" s="8" t="s">
        <v>40</v>
      </c>
      <c r="E192" s="8" t="s">
        <v>132</v>
      </c>
      <c r="F192" s="15" t="s">
        <v>126</v>
      </c>
      <c r="G192" s="8" t="s">
        <v>28</v>
      </c>
      <c r="H192" s="8" t="s">
        <v>28</v>
      </c>
      <c r="I192" s="8" t="s">
        <v>28</v>
      </c>
      <c r="J192" s="8" t="s">
        <v>28</v>
      </c>
      <c r="K192" s="8" t="s">
        <v>29</v>
      </c>
      <c r="L192" s="8" t="s">
        <v>28</v>
      </c>
      <c r="M192" s="8" t="s">
        <v>28</v>
      </c>
      <c r="N192" s="8" t="s">
        <v>28</v>
      </c>
      <c r="O192" s="8" t="s">
        <v>28</v>
      </c>
      <c r="P192" s="8">
        <v>61450</v>
      </c>
      <c r="Q192" s="5">
        <v>0</v>
      </c>
      <c r="R192" s="5">
        <f t="shared" si="7"/>
        <v>0</v>
      </c>
      <c r="S192" s="5">
        <f t="shared" si="6"/>
        <v>61450</v>
      </c>
      <c r="T192" s="8">
        <v>0</v>
      </c>
      <c r="U192" s="8" t="s">
        <v>31</v>
      </c>
      <c r="V192" s="8" t="str">
        <f>IF(F192="","",CHOOSE(INT(MOD(MONTH(S199)-7,12)/3)+1,"Q1","Q2","Q3","Q4"))</f>
        <v>Q3</v>
      </c>
      <c r="W192" s="9" t="s">
        <v>43</v>
      </c>
    </row>
    <row r="193" spans="1:23" ht="22.5" customHeight="1" x14ac:dyDescent="0.25">
      <c r="A193">
        <v>457</v>
      </c>
      <c r="B193" t="s">
        <v>23</v>
      </c>
      <c r="C193" s="7" t="s">
        <v>135</v>
      </c>
      <c r="D193" s="8" t="s">
        <v>40</v>
      </c>
      <c r="E193" s="8" t="s">
        <v>60</v>
      </c>
      <c r="F193" s="15" t="s">
        <v>126</v>
      </c>
      <c r="G193" s="8" t="s">
        <v>28</v>
      </c>
      <c r="H193" s="8" t="s">
        <v>28</v>
      </c>
      <c r="I193" s="8" t="s">
        <v>28</v>
      </c>
      <c r="J193" s="8" t="s">
        <v>28</v>
      </c>
      <c r="K193" s="8" t="s">
        <v>29</v>
      </c>
      <c r="L193" s="8" t="s">
        <v>28</v>
      </c>
      <c r="M193" s="8" t="s">
        <v>28</v>
      </c>
      <c r="N193" s="8" t="s">
        <v>28</v>
      </c>
      <c r="O193" s="8" t="s">
        <v>28</v>
      </c>
      <c r="P193" s="8">
        <v>8750</v>
      </c>
      <c r="Q193" s="8">
        <v>0</v>
      </c>
      <c r="R193" s="5">
        <f t="shared" si="7"/>
        <v>0</v>
      </c>
      <c r="S193" s="5">
        <f t="shared" si="6"/>
        <v>8750</v>
      </c>
      <c r="T193" s="8">
        <v>0</v>
      </c>
      <c r="U193" s="8" t="s">
        <v>31</v>
      </c>
      <c r="V193" s="8" t="str">
        <f>IF(F193="","",CHOOSE(INT(MOD(MONTH(S200)-7,12)/3)+1,"Q1","Q2","Q3","Q4"))</f>
        <v>Q4</v>
      </c>
      <c r="W193" s="9" t="s">
        <v>43</v>
      </c>
    </row>
    <row r="194" spans="1:23" ht="22.5" customHeight="1" x14ac:dyDescent="0.25">
      <c r="A194">
        <v>684</v>
      </c>
      <c r="B194" t="s">
        <v>23</v>
      </c>
      <c r="C194" s="7" t="s">
        <v>180</v>
      </c>
      <c r="D194" s="8" t="s">
        <v>40</v>
      </c>
      <c r="E194" s="8" t="s">
        <v>132</v>
      </c>
      <c r="F194" s="15" t="s">
        <v>181</v>
      </c>
      <c r="G194" s="8" t="s">
        <v>28</v>
      </c>
      <c r="H194" s="8" t="s">
        <v>28</v>
      </c>
      <c r="I194" s="8" t="s">
        <v>28</v>
      </c>
      <c r="J194" s="8" t="s">
        <v>28</v>
      </c>
      <c r="K194" s="8" t="s">
        <v>29</v>
      </c>
      <c r="L194" s="8" t="s">
        <v>28</v>
      </c>
      <c r="M194" s="8" t="s">
        <v>28</v>
      </c>
      <c r="N194" s="8" t="s">
        <v>28</v>
      </c>
      <c r="O194" s="8" t="s">
        <v>28</v>
      </c>
      <c r="P194" s="8">
        <v>1150</v>
      </c>
      <c r="Q194" s="8">
        <v>0</v>
      </c>
      <c r="R194" s="5">
        <f t="shared" si="7"/>
        <v>0</v>
      </c>
      <c r="S194" s="5">
        <f t="shared" si="6"/>
        <v>1150</v>
      </c>
      <c r="T194" s="8">
        <v>0</v>
      </c>
      <c r="U194" s="8" t="s">
        <v>31</v>
      </c>
      <c r="V194" s="8" t="str">
        <f>IF(F194="","",CHOOSE(INT(MOD(MONTH(S201)-7,12)/3)+1,"Q1","Q2","Q3","Q4"))</f>
        <v>Q3</v>
      </c>
      <c r="W194" s="9" t="s">
        <v>43</v>
      </c>
    </row>
    <row r="195" spans="1:23" ht="22.5" customHeight="1" x14ac:dyDescent="0.25">
      <c r="A195">
        <v>594</v>
      </c>
      <c r="B195" t="s">
        <v>23</v>
      </c>
      <c r="C195" s="7" t="s">
        <v>164</v>
      </c>
      <c r="D195" s="8" t="s">
        <v>40</v>
      </c>
      <c r="E195" s="8" t="s">
        <v>71</v>
      </c>
      <c r="F195" s="15" t="s">
        <v>165</v>
      </c>
      <c r="G195" s="8" t="s">
        <v>28</v>
      </c>
      <c r="H195" s="8" t="s">
        <v>28</v>
      </c>
      <c r="I195" s="8" t="s">
        <v>28</v>
      </c>
      <c r="J195" s="8" t="s">
        <v>28</v>
      </c>
      <c r="K195" s="8" t="s">
        <v>29</v>
      </c>
      <c r="L195" s="8" t="s">
        <v>28</v>
      </c>
      <c r="M195" s="8" t="s">
        <v>28</v>
      </c>
      <c r="N195" s="8" t="s">
        <v>28</v>
      </c>
      <c r="O195" s="8" t="s">
        <v>28</v>
      </c>
      <c r="P195" s="8">
        <v>15950</v>
      </c>
      <c r="Q195" s="8">
        <v>0</v>
      </c>
      <c r="R195" s="5">
        <f t="shared" si="7"/>
        <v>0</v>
      </c>
      <c r="S195" s="5">
        <f t="shared" ref="S195:S258" si="8">P195+R195</f>
        <v>15950</v>
      </c>
      <c r="T195" s="8">
        <v>0</v>
      </c>
      <c r="U195" s="8" t="s">
        <v>31</v>
      </c>
      <c r="V195" s="8" t="str">
        <f>IF(F195="","",CHOOSE(INT(MOD(MONTH(S202)-7,12)/3)+1,"Q1","Q2","Q3","Q4"))</f>
        <v>Q3</v>
      </c>
      <c r="W195" s="9" t="s">
        <v>43</v>
      </c>
    </row>
    <row r="196" spans="1:23" ht="22.5" customHeight="1" x14ac:dyDescent="0.25">
      <c r="A196">
        <v>1122</v>
      </c>
      <c r="B196" t="s">
        <v>23</v>
      </c>
      <c r="C196" s="7" t="s">
        <v>356</v>
      </c>
      <c r="D196" s="8" t="s">
        <v>40</v>
      </c>
      <c r="E196" s="8" t="s">
        <v>299</v>
      </c>
      <c r="F196" s="15" t="s">
        <v>357</v>
      </c>
      <c r="G196" s="8" t="s">
        <v>28</v>
      </c>
      <c r="H196" s="8" t="s">
        <v>28</v>
      </c>
      <c r="I196" s="8" t="s">
        <v>28</v>
      </c>
      <c r="J196" s="8" t="s">
        <v>28</v>
      </c>
      <c r="K196" s="8" t="s">
        <v>29</v>
      </c>
      <c r="L196" s="8" t="s">
        <v>28</v>
      </c>
      <c r="M196" s="8" t="s">
        <v>28</v>
      </c>
      <c r="N196" s="8" t="s">
        <v>28</v>
      </c>
      <c r="O196" s="8" t="s">
        <v>28</v>
      </c>
      <c r="P196" s="8">
        <v>24244</v>
      </c>
      <c r="Q196" s="5">
        <v>0</v>
      </c>
      <c r="R196" s="5">
        <f t="shared" si="7"/>
        <v>0</v>
      </c>
      <c r="S196" s="5">
        <f t="shared" si="8"/>
        <v>24244</v>
      </c>
      <c r="T196" s="8">
        <v>0</v>
      </c>
      <c r="U196" s="8" t="s">
        <v>31</v>
      </c>
      <c r="V196" s="8" t="str">
        <f>IF(F196="","",CHOOSE(INT(MOD(MONTH(S203)-7,12)/3)+1,"Q1","Q2","Q3","Q4"))</f>
        <v>Q4</v>
      </c>
      <c r="W196" s="9" t="s">
        <v>247</v>
      </c>
    </row>
    <row r="197" spans="1:23" ht="22.5" customHeight="1" x14ac:dyDescent="0.25">
      <c r="A197">
        <v>1126</v>
      </c>
      <c r="B197" t="s">
        <v>23</v>
      </c>
      <c r="C197" s="7" t="s">
        <v>366</v>
      </c>
      <c r="D197" s="8" t="s">
        <v>40</v>
      </c>
      <c r="E197" s="8" t="s">
        <v>316</v>
      </c>
      <c r="F197" s="15" t="s">
        <v>367</v>
      </c>
      <c r="G197" s="8" t="s">
        <v>28</v>
      </c>
      <c r="H197" s="8" t="s">
        <v>28</v>
      </c>
      <c r="I197" s="8" t="s">
        <v>28</v>
      </c>
      <c r="J197" s="8" t="s">
        <v>28</v>
      </c>
      <c r="K197" s="8" t="s">
        <v>29</v>
      </c>
      <c r="L197" s="8" t="s">
        <v>28</v>
      </c>
      <c r="M197" s="8" t="s">
        <v>28</v>
      </c>
      <c r="N197" s="8" t="s">
        <v>28</v>
      </c>
      <c r="O197" s="8" t="s">
        <v>28</v>
      </c>
      <c r="P197" s="8">
        <v>59102</v>
      </c>
      <c r="Q197" s="8">
        <v>0</v>
      </c>
      <c r="R197" s="5">
        <f t="shared" si="7"/>
        <v>0</v>
      </c>
      <c r="S197" s="5">
        <f t="shared" si="8"/>
        <v>59102</v>
      </c>
      <c r="T197" s="8">
        <v>0</v>
      </c>
      <c r="U197" s="8" t="s">
        <v>31</v>
      </c>
      <c r="V197" s="8" t="str">
        <f>IF(F197="","",CHOOSE(INT(MOD(MONTH(S204)-7,12)/3)+1,"Q1","Q2","Q3","Q4"))</f>
        <v>Q3</v>
      </c>
      <c r="W197" s="9" t="s">
        <v>247</v>
      </c>
    </row>
    <row r="198" spans="1:23" ht="22.5" customHeight="1" x14ac:dyDescent="0.25">
      <c r="A198">
        <v>1124</v>
      </c>
      <c r="B198" t="s">
        <v>23</v>
      </c>
      <c r="C198" s="7" t="s">
        <v>360</v>
      </c>
      <c r="D198" s="8" t="s">
        <v>40</v>
      </c>
      <c r="E198" s="8" t="s">
        <v>273</v>
      </c>
      <c r="F198" s="15" t="s">
        <v>361</v>
      </c>
      <c r="G198" s="8" t="s">
        <v>28</v>
      </c>
      <c r="H198" s="8" t="s">
        <v>28</v>
      </c>
      <c r="I198" s="8" t="s">
        <v>28</v>
      </c>
      <c r="J198" s="8" t="s">
        <v>28</v>
      </c>
      <c r="K198" s="8" t="s">
        <v>29</v>
      </c>
      <c r="L198" s="8" t="s">
        <v>28</v>
      </c>
      <c r="M198" s="8" t="s">
        <v>28</v>
      </c>
      <c r="N198" s="8" t="s">
        <v>28</v>
      </c>
      <c r="O198" s="8" t="s">
        <v>28</v>
      </c>
      <c r="P198" s="8">
        <v>15100</v>
      </c>
      <c r="Q198" s="5">
        <v>0</v>
      </c>
      <c r="R198" s="5">
        <f t="shared" si="7"/>
        <v>0</v>
      </c>
      <c r="S198" s="5">
        <f t="shared" si="8"/>
        <v>15100</v>
      </c>
      <c r="T198" s="8">
        <v>0</v>
      </c>
      <c r="U198" s="8" t="s">
        <v>31</v>
      </c>
      <c r="V198" s="8" t="str">
        <f>IF(F198="","",CHOOSE(INT(MOD(MONTH(S205)-7,12)/3)+1,"Q1","Q2","Q3","Q4"))</f>
        <v>Q3</v>
      </c>
      <c r="W198" s="9" t="s">
        <v>247</v>
      </c>
    </row>
    <row r="199" spans="1:23" ht="22.5" customHeight="1" x14ac:dyDescent="0.25">
      <c r="A199">
        <v>862</v>
      </c>
      <c r="B199" t="s">
        <v>23</v>
      </c>
      <c r="C199" s="7" t="s">
        <v>207</v>
      </c>
      <c r="D199" s="8" t="s">
        <v>25</v>
      </c>
      <c r="E199" s="8" t="s">
        <v>56</v>
      </c>
      <c r="F199" s="15" t="s">
        <v>208</v>
      </c>
      <c r="G199" s="8" t="s">
        <v>28</v>
      </c>
      <c r="H199" s="8" t="s">
        <v>28</v>
      </c>
      <c r="I199" s="8" t="s">
        <v>28</v>
      </c>
      <c r="J199" s="8" t="s">
        <v>28</v>
      </c>
      <c r="K199" s="8" t="s">
        <v>29</v>
      </c>
      <c r="L199" s="8" t="s">
        <v>28</v>
      </c>
      <c r="M199" s="8" t="s">
        <v>28</v>
      </c>
      <c r="N199" s="8" t="s">
        <v>28</v>
      </c>
      <c r="O199" s="8" t="s">
        <v>116</v>
      </c>
      <c r="P199" s="8">
        <v>2798</v>
      </c>
      <c r="Q199" s="5">
        <v>18</v>
      </c>
      <c r="R199" s="5">
        <f t="shared" si="7"/>
        <v>503.64</v>
      </c>
      <c r="S199" s="5">
        <f t="shared" si="8"/>
        <v>3301.64</v>
      </c>
      <c r="T199" s="8">
        <v>0</v>
      </c>
      <c r="U199" s="8" t="s">
        <v>31</v>
      </c>
      <c r="V199" s="8" t="str">
        <f>IF(F199="","",CHOOSE(INT(MOD(MONTH(S206)-7,12)/3)+1,"Q1","Q2","Q3","Q4"))</f>
        <v>Q2</v>
      </c>
      <c r="W199" s="9" t="s">
        <v>32</v>
      </c>
    </row>
    <row r="200" spans="1:23" ht="22.5" customHeight="1" x14ac:dyDescent="0.25">
      <c r="A200">
        <v>1038</v>
      </c>
      <c r="B200" t="s">
        <v>23</v>
      </c>
      <c r="C200" s="7" t="s">
        <v>243</v>
      </c>
      <c r="D200" s="8" t="s">
        <v>25</v>
      </c>
      <c r="E200" s="8" t="s">
        <v>26</v>
      </c>
      <c r="F200" s="15" t="s">
        <v>244</v>
      </c>
      <c r="G200" s="8" t="s">
        <v>28</v>
      </c>
      <c r="H200" s="8" t="s">
        <v>28</v>
      </c>
      <c r="I200" s="8" t="s">
        <v>28</v>
      </c>
      <c r="J200" s="8" t="s">
        <v>28</v>
      </c>
      <c r="K200" s="8" t="s">
        <v>29</v>
      </c>
      <c r="L200" s="8" t="s">
        <v>28</v>
      </c>
      <c r="M200" s="8" t="s">
        <v>28</v>
      </c>
      <c r="N200" s="8" t="s">
        <v>28</v>
      </c>
      <c r="O200" s="8" t="s">
        <v>190</v>
      </c>
      <c r="P200" s="8">
        <v>100</v>
      </c>
      <c r="Q200" s="8">
        <v>18</v>
      </c>
      <c r="R200" s="5">
        <f t="shared" si="7"/>
        <v>18</v>
      </c>
      <c r="S200" s="5">
        <f t="shared" si="8"/>
        <v>118</v>
      </c>
      <c r="T200" s="8">
        <v>0</v>
      </c>
      <c r="U200" s="8" t="s">
        <v>31</v>
      </c>
      <c r="V200" s="8" t="str">
        <f>IF(F200="","",CHOOSE(INT(MOD(MONTH(S207)-7,12)/3)+1,"Q1","Q2","Q3","Q4"))</f>
        <v>Q3</v>
      </c>
      <c r="W200" s="9" t="s">
        <v>32</v>
      </c>
    </row>
    <row r="201" spans="1:23" ht="22.5" customHeight="1" x14ac:dyDescent="0.25">
      <c r="A201">
        <v>1144</v>
      </c>
      <c r="B201" t="s">
        <v>23</v>
      </c>
      <c r="C201" s="7" t="s">
        <v>413</v>
      </c>
      <c r="D201" s="8" t="s">
        <v>25</v>
      </c>
      <c r="E201" s="8" t="s">
        <v>56</v>
      </c>
      <c r="F201" s="15" t="s">
        <v>244</v>
      </c>
      <c r="G201" s="8" t="s">
        <v>28</v>
      </c>
      <c r="H201" s="8" t="s">
        <v>28</v>
      </c>
      <c r="I201" s="8" t="s">
        <v>28</v>
      </c>
      <c r="J201" s="8" t="s">
        <v>28</v>
      </c>
      <c r="K201" s="8" t="s">
        <v>29</v>
      </c>
      <c r="L201" s="8" t="s">
        <v>28</v>
      </c>
      <c r="M201" s="8" t="s">
        <v>28</v>
      </c>
      <c r="N201" s="8" t="s">
        <v>28</v>
      </c>
      <c r="O201" s="8" t="s">
        <v>414</v>
      </c>
      <c r="P201" s="8">
        <v>11830</v>
      </c>
      <c r="Q201" s="8">
        <v>18</v>
      </c>
      <c r="R201" s="5">
        <f t="shared" si="7"/>
        <v>2129.4</v>
      </c>
      <c r="S201" s="5">
        <f t="shared" si="8"/>
        <v>13959.4</v>
      </c>
      <c r="T201" s="8">
        <v>0</v>
      </c>
      <c r="U201" s="8" t="s">
        <v>31</v>
      </c>
      <c r="V201" s="8" t="str">
        <f>IF(F201="","",CHOOSE(INT(MOD(MONTH(S208)-7,12)/3)+1,"Q1","Q2","Q3","Q4"))</f>
        <v>Q1</v>
      </c>
      <c r="W201" s="9" t="s">
        <v>32</v>
      </c>
    </row>
    <row r="202" spans="1:23" ht="22.5" customHeight="1" x14ac:dyDescent="0.25">
      <c r="A202">
        <v>1107</v>
      </c>
      <c r="B202" t="s">
        <v>23</v>
      </c>
      <c r="C202" s="7" t="s">
        <v>318</v>
      </c>
      <c r="D202" s="8" t="s">
        <v>25</v>
      </c>
      <c r="E202" s="8" t="s">
        <v>319</v>
      </c>
      <c r="F202" s="15" t="s">
        <v>153</v>
      </c>
      <c r="G202" s="8" t="s">
        <v>28</v>
      </c>
      <c r="H202" s="8" t="s">
        <v>28</v>
      </c>
      <c r="I202" s="8" t="s">
        <v>28</v>
      </c>
      <c r="J202" s="8" t="s">
        <v>28</v>
      </c>
      <c r="K202" s="8" t="s">
        <v>29</v>
      </c>
      <c r="L202" s="8" t="s">
        <v>28</v>
      </c>
      <c r="M202" s="8" t="s">
        <v>28</v>
      </c>
      <c r="N202" s="8" t="s">
        <v>28</v>
      </c>
      <c r="O202" s="8" t="s">
        <v>262</v>
      </c>
      <c r="P202" s="8">
        <v>2488</v>
      </c>
      <c r="Q202" s="8">
        <v>18</v>
      </c>
      <c r="R202" s="5">
        <f t="shared" si="7"/>
        <v>447.84</v>
      </c>
      <c r="S202" s="5">
        <f t="shared" si="8"/>
        <v>2935.84</v>
      </c>
      <c r="T202" s="8">
        <v>0</v>
      </c>
      <c r="U202" s="8" t="s">
        <v>31</v>
      </c>
      <c r="V202" s="8" t="str">
        <f>IF(F202="","",CHOOSE(INT(MOD(MONTH(S209)-7,12)/3)+1,"Q1","Q2","Q3","Q4"))</f>
        <v>Q2</v>
      </c>
      <c r="W202" s="9" t="s">
        <v>32</v>
      </c>
    </row>
    <row r="203" spans="1:23" ht="22.5" customHeight="1" x14ac:dyDescent="0.25">
      <c r="A203">
        <v>1066</v>
      </c>
      <c r="B203" t="s">
        <v>23</v>
      </c>
      <c r="C203" s="7" t="s">
        <v>251</v>
      </c>
      <c r="D203" s="8" t="s">
        <v>25</v>
      </c>
      <c r="E203" s="8" t="s">
        <v>26</v>
      </c>
      <c r="F203" s="15" t="s">
        <v>240</v>
      </c>
      <c r="G203" s="8" t="s">
        <v>28</v>
      </c>
      <c r="H203" s="8" t="s">
        <v>28</v>
      </c>
      <c r="I203" s="8" t="s">
        <v>28</v>
      </c>
      <c r="J203" s="8" t="s">
        <v>28</v>
      </c>
      <c r="K203" s="8" t="s">
        <v>29</v>
      </c>
      <c r="L203" s="8" t="s">
        <v>28</v>
      </c>
      <c r="M203" s="8" t="s">
        <v>28</v>
      </c>
      <c r="N203" s="8" t="s">
        <v>28</v>
      </c>
      <c r="O203" s="8" t="s">
        <v>190</v>
      </c>
      <c r="P203" s="8">
        <v>100</v>
      </c>
      <c r="Q203" s="5">
        <v>18</v>
      </c>
      <c r="R203" s="5">
        <f t="shared" si="7"/>
        <v>18</v>
      </c>
      <c r="S203" s="5">
        <f t="shared" si="8"/>
        <v>118</v>
      </c>
      <c r="T203" s="8">
        <v>0</v>
      </c>
      <c r="U203" s="8" t="s">
        <v>31</v>
      </c>
      <c r="V203" s="8" t="str">
        <f>IF(F203="","",CHOOSE(INT(MOD(MONTH(S210)-7,12)/3)+1,"Q1","Q2","Q3","Q4"))</f>
        <v>Q1</v>
      </c>
      <c r="W203" s="9" t="s">
        <v>32</v>
      </c>
    </row>
    <row r="204" spans="1:23" ht="22.5" customHeight="1" x14ac:dyDescent="0.25">
      <c r="A204">
        <v>1020</v>
      </c>
      <c r="B204" t="s">
        <v>23</v>
      </c>
      <c r="C204" s="7" t="s">
        <v>239</v>
      </c>
      <c r="D204" s="8" t="s">
        <v>25</v>
      </c>
      <c r="E204" s="8" t="s">
        <v>56</v>
      </c>
      <c r="F204" s="15" t="s">
        <v>240</v>
      </c>
      <c r="G204" s="8" t="s">
        <v>28</v>
      </c>
      <c r="H204" s="8" t="s">
        <v>28</v>
      </c>
      <c r="I204" s="8" t="s">
        <v>28</v>
      </c>
      <c r="J204" s="8" t="s">
        <v>28</v>
      </c>
      <c r="K204" s="8" t="s">
        <v>29</v>
      </c>
      <c r="L204" s="8" t="s">
        <v>28</v>
      </c>
      <c r="M204" s="8" t="s">
        <v>28</v>
      </c>
      <c r="N204" s="8" t="s">
        <v>28</v>
      </c>
      <c r="O204" s="8" t="s">
        <v>202</v>
      </c>
      <c r="P204" s="8">
        <v>7050</v>
      </c>
      <c r="Q204" s="5">
        <v>15</v>
      </c>
      <c r="R204" s="5">
        <f t="shared" si="7"/>
        <v>1057.5</v>
      </c>
      <c r="S204" s="5">
        <f t="shared" si="8"/>
        <v>8107.5</v>
      </c>
      <c r="T204" s="8">
        <v>0</v>
      </c>
      <c r="U204" s="8" t="s">
        <v>31</v>
      </c>
      <c r="V204" s="8" t="str">
        <f>IF(F204="","",CHOOSE(INT(MOD(MONTH(S211)-7,12)/3)+1,"Q1","Q2","Q3","Q4"))</f>
        <v>Q4</v>
      </c>
      <c r="W204" s="9" t="s">
        <v>32</v>
      </c>
    </row>
    <row r="205" spans="1:23" ht="22.5" customHeight="1" x14ac:dyDescent="0.25">
      <c r="A205">
        <v>1121</v>
      </c>
      <c r="B205" t="s">
        <v>23</v>
      </c>
      <c r="C205" s="7" t="s">
        <v>354</v>
      </c>
      <c r="D205" s="8" t="s">
        <v>25</v>
      </c>
      <c r="E205" s="8" t="s">
        <v>330</v>
      </c>
      <c r="F205" s="15" t="s">
        <v>355</v>
      </c>
      <c r="G205" s="8" t="s">
        <v>28</v>
      </c>
      <c r="H205" s="8" t="s">
        <v>28</v>
      </c>
      <c r="I205" s="8" t="s">
        <v>28</v>
      </c>
      <c r="J205" s="8" t="s">
        <v>28</v>
      </c>
      <c r="K205" s="8" t="s">
        <v>29</v>
      </c>
      <c r="L205" s="8" t="s">
        <v>28</v>
      </c>
      <c r="M205" s="8" t="s">
        <v>28</v>
      </c>
      <c r="N205" s="8" t="s">
        <v>28</v>
      </c>
      <c r="O205" s="8" t="s">
        <v>262</v>
      </c>
      <c r="P205" s="8">
        <v>662</v>
      </c>
      <c r="Q205" s="5">
        <v>18</v>
      </c>
      <c r="R205" s="5">
        <f t="shared" si="7"/>
        <v>119.16</v>
      </c>
      <c r="S205" s="5">
        <f t="shared" si="8"/>
        <v>781.16</v>
      </c>
      <c r="T205" s="8">
        <v>0</v>
      </c>
      <c r="U205" s="8" t="s">
        <v>31</v>
      </c>
      <c r="V205" s="8" t="str">
        <f>IF(F205="","",CHOOSE(INT(MOD(MONTH(S212)-7,12)/3)+1,"Q1","Q2","Q3","Q4"))</f>
        <v>Q3</v>
      </c>
      <c r="W205" s="9" t="s">
        <v>32</v>
      </c>
    </row>
    <row r="206" spans="1:23" ht="22.5" customHeight="1" x14ac:dyDescent="0.25">
      <c r="A206">
        <v>1275</v>
      </c>
      <c r="B206" t="s">
        <v>23</v>
      </c>
      <c r="C206" s="7" t="s">
        <v>729</v>
      </c>
      <c r="D206" s="8" t="s">
        <v>25</v>
      </c>
      <c r="E206" s="8" t="s">
        <v>621</v>
      </c>
      <c r="F206" s="15" t="s">
        <v>730</v>
      </c>
      <c r="G206" s="8" t="s">
        <v>28</v>
      </c>
      <c r="H206" s="8" t="s">
        <v>28</v>
      </c>
      <c r="I206" s="8" t="s">
        <v>28</v>
      </c>
      <c r="J206" s="8" t="s">
        <v>28</v>
      </c>
      <c r="K206" s="8" t="s">
        <v>29</v>
      </c>
      <c r="L206" s="8" t="s">
        <v>28</v>
      </c>
      <c r="M206" s="8" t="s">
        <v>28</v>
      </c>
      <c r="N206" s="8" t="s">
        <v>28</v>
      </c>
      <c r="O206" s="8" t="s">
        <v>731</v>
      </c>
      <c r="P206" s="8">
        <v>29027.66</v>
      </c>
      <c r="Q206" s="5">
        <v>18</v>
      </c>
      <c r="R206" s="5">
        <f t="shared" si="7"/>
        <v>5224.9787999999999</v>
      </c>
      <c r="S206" s="5">
        <f t="shared" si="8"/>
        <v>34252.638800000001</v>
      </c>
      <c r="T206" s="8">
        <v>0</v>
      </c>
      <c r="U206" s="8" t="s">
        <v>31</v>
      </c>
      <c r="V206" s="8" t="str">
        <f>IF(F206="","",CHOOSE(INT(MOD(MONTH(S213)-7,12)/3)+1,"Q1","Q2","Q3","Q4"))</f>
        <v>Q4</v>
      </c>
      <c r="W206" s="9" t="s">
        <v>227</v>
      </c>
    </row>
    <row r="207" spans="1:23" ht="22.5" customHeight="1" x14ac:dyDescent="0.25">
      <c r="A207">
        <v>1270</v>
      </c>
      <c r="B207" t="s">
        <v>23</v>
      </c>
      <c r="C207" s="7" t="s">
        <v>717</v>
      </c>
      <c r="D207" s="8" t="s">
        <v>25</v>
      </c>
      <c r="E207" s="8" t="s">
        <v>676</v>
      </c>
      <c r="F207" s="15" t="s">
        <v>718</v>
      </c>
      <c r="G207" s="8" t="s">
        <v>28</v>
      </c>
      <c r="H207" s="8" t="s">
        <v>28</v>
      </c>
      <c r="I207" s="8" t="s">
        <v>28</v>
      </c>
      <c r="J207" s="8" t="s">
        <v>28</v>
      </c>
      <c r="K207" s="8" t="s">
        <v>29</v>
      </c>
      <c r="L207" s="8" t="s">
        <v>28</v>
      </c>
      <c r="M207" s="8" t="s">
        <v>28</v>
      </c>
      <c r="N207" s="8" t="s">
        <v>28</v>
      </c>
      <c r="O207" s="8" t="s">
        <v>719</v>
      </c>
      <c r="P207" s="8">
        <v>1000</v>
      </c>
      <c r="Q207" s="5">
        <v>18</v>
      </c>
      <c r="R207" s="5">
        <f t="shared" si="7"/>
        <v>180</v>
      </c>
      <c r="S207" s="5">
        <f t="shared" si="8"/>
        <v>1180</v>
      </c>
      <c r="T207" s="8">
        <v>0</v>
      </c>
      <c r="U207" s="8" t="s">
        <v>31</v>
      </c>
      <c r="V207" s="8" t="str">
        <f>IF(F207="","",CHOOSE(INT(MOD(MONTH(S214)-7,12)/3)+1,"Q1","Q2","Q3","Q4"))</f>
        <v>Q2</v>
      </c>
      <c r="W207" s="9" t="s">
        <v>227</v>
      </c>
    </row>
    <row r="208" spans="1:23" ht="22.5" customHeight="1" x14ac:dyDescent="0.25">
      <c r="A208">
        <v>1271</v>
      </c>
      <c r="B208" t="s">
        <v>23</v>
      </c>
      <c r="C208" s="7" t="s">
        <v>720</v>
      </c>
      <c r="D208" s="8" t="s">
        <v>25</v>
      </c>
      <c r="E208" s="8" t="s">
        <v>676</v>
      </c>
      <c r="F208" s="15" t="s">
        <v>257</v>
      </c>
      <c r="G208" s="8" t="s">
        <v>28</v>
      </c>
      <c r="H208" s="8" t="s">
        <v>28</v>
      </c>
      <c r="I208" s="8" t="s">
        <v>28</v>
      </c>
      <c r="J208" s="8" t="s">
        <v>28</v>
      </c>
      <c r="K208" s="8" t="s">
        <v>29</v>
      </c>
      <c r="L208" s="8" t="s">
        <v>28</v>
      </c>
      <c r="M208" s="8" t="s">
        <v>28</v>
      </c>
      <c r="N208" s="8" t="s">
        <v>28</v>
      </c>
      <c r="O208" s="8" t="s">
        <v>721</v>
      </c>
      <c r="P208" s="8">
        <v>2373.75</v>
      </c>
      <c r="Q208" s="5">
        <v>18</v>
      </c>
      <c r="R208" s="5">
        <f t="shared" si="7"/>
        <v>427.27500000000003</v>
      </c>
      <c r="S208" s="5">
        <f t="shared" si="8"/>
        <v>2801.0250000000001</v>
      </c>
      <c r="T208" s="8">
        <v>0</v>
      </c>
      <c r="U208" s="8" t="s">
        <v>31</v>
      </c>
      <c r="V208" s="8" t="str">
        <f>IF(F208="","",CHOOSE(INT(MOD(MONTH(S215)-7,12)/3)+1,"Q1","Q2","Q3","Q4"))</f>
        <v>Q4</v>
      </c>
      <c r="W208" s="9" t="s">
        <v>227</v>
      </c>
    </row>
    <row r="209" spans="1:23" ht="22.5" customHeight="1" x14ac:dyDescent="0.25">
      <c r="A209">
        <v>1272</v>
      </c>
      <c r="B209" t="s">
        <v>23</v>
      </c>
      <c r="C209" s="7" t="s">
        <v>722</v>
      </c>
      <c r="D209" s="8" t="s">
        <v>25</v>
      </c>
      <c r="E209" s="8" t="s">
        <v>676</v>
      </c>
      <c r="F209" s="15" t="s">
        <v>723</v>
      </c>
      <c r="G209" s="8" t="s">
        <v>28</v>
      </c>
      <c r="H209" s="8" t="s">
        <v>28</v>
      </c>
      <c r="I209" s="8" t="s">
        <v>28</v>
      </c>
      <c r="J209" s="8" t="s">
        <v>28</v>
      </c>
      <c r="K209" s="8" t="s">
        <v>29</v>
      </c>
      <c r="L209" s="8" t="s">
        <v>28</v>
      </c>
      <c r="M209" s="8" t="s">
        <v>28</v>
      </c>
      <c r="N209" s="8" t="s">
        <v>28</v>
      </c>
      <c r="O209" s="8" t="s">
        <v>724</v>
      </c>
      <c r="P209" s="8">
        <v>4630.5</v>
      </c>
      <c r="Q209" s="5">
        <v>18</v>
      </c>
      <c r="R209" s="5">
        <f t="shared" si="7"/>
        <v>833.49</v>
      </c>
      <c r="S209" s="5">
        <f t="shared" si="8"/>
        <v>5463.99</v>
      </c>
      <c r="T209" s="8">
        <v>0</v>
      </c>
      <c r="U209" s="8" t="s">
        <v>31</v>
      </c>
      <c r="V209" s="8" t="str">
        <f>IF(F209="","",CHOOSE(INT(MOD(MONTH(S216)-7,12)/3)+1,"Q1","Q2","Q3","Q4"))</f>
        <v>Q1</v>
      </c>
      <c r="W209" s="9" t="s">
        <v>227</v>
      </c>
    </row>
    <row r="210" spans="1:23" ht="22.5" customHeight="1" x14ac:dyDescent="0.25">
      <c r="A210">
        <v>1273</v>
      </c>
      <c r="B210" t="s">
        <v>23</v>
      </c>
      <c r="C210" s="7" t="s">
        <v>725</v>
      </c>
      <c r="D210" s="8" t="s">
        <v>25</v>
      </c>
      <c r="E210" s="8" t="s">
        <v>676</v>
      </c>
      <c r="F210" s="15" t="s">
        <v>677</v>
      </c>
      <c r="G210" s="8" t="s">
        <v>28</v>
      </c>
      <c r="H210" s="8" t="s">
        <v>28</v>
      </c>
      <c r="I210" s="8" t="s">
        <v>28</v>
      </c>
      <c r="J210" s="8" t="s">
        <v>28</v>
      </c>
      <c r="K210" s="8" t="s">
        <v>29</v>
      </c>
      <c r="L210" s="8" t="s">
        <v>28</v>
      </c>
      <c r="M210" s="8" t="s">
        <v>28</v>
      </c>
      <c r="N210" s="8" t="s">
        <v>28</v>
      </c>
      <c r="O210" s="8" t="s">
        <v>726</v>
      </c>
      <c r="P210" s="8">
        <v>4836.2</v>
      </c>
      <c r="Q210" s="5">
        <v>18</v>
      </c>
      <c r="R210" s="5">
        <f t="shared" si="7"/>
        <v>870.51599999999985</v>
      </c>
      <c r="S210" s="5">
        <f t="shared" si="8"/>
        <v>5706.7159999999994</v>
      </c>
      <c r="T210" s="8">
        <v>0</v>
      </c>
      <c r="U210" s="8" t="s">
        <v>31</v>
      </c>
      <c r="V210" s="8" t="str">
        <f>IF(F210="","",CHOOSE(INT(MOD(MONTH(S217)-7,12)/3)+1,"Q1","Q2","Q3","Q4"))</f>
        <v>Q2</v>
      </c>
      <c r="W210" s="9" t="s">
        <v>227</v>
      </c>
    </row>
    <row r="211" spans="1:23" ht="22.5" customHeight="1" x14ac:dyDescent="0.25">
      <c r="A211">
        <v>1274</v>
      </c>
      <c r="B211" t="s">
        <v>23</v>
      </c>
      <c r="C211" s="7" t="s">
        <v>727</v>
      </c>
      <c r="D211" s="8" t="s">
        <v>25</v>
      </c>
      <c r="E211" s="8" t="s">
        <v>586</v>
      </c>
      <c r="F211" s="15" t="s">
        <v>692</v>
      </c>
      <c r="G211" s="8" t="s">
        <v>28</v>
      </c>
      <c r="H211" s="8" t="s">
        <v>28</v>
      </c>
      <c r="I211" s="8" t="s">
        <v>28</v>
      </c>
      <c r="J211" s="8" t="s">
        <v>28</v>
      </c>
      <c r="K211" s="8" t="s">
        <v>29</v>
      </c>
      <c r="L211" s="8" t="s">
        <v>28</v>
      </c>
      <c r="M211" s="8" t="s">
        <v>28</v>
      </c>
      <c r="N211" s="8" t="s">
        <v>28</v>
      </c>
      <c r="O211" s="8" t="s">
        <v>728</v>
      </c>
      <c r="P211" s="8">
        <v>100</v>
      </c>
      <c r="Q211" s="5">
        <v>18</v>
      </c>
      <c r="R211" s="5">
        <f t="shared" si="7"/>
        <v>18</v>
      </c>
      <c r="S211" s="5">
        <f t="shared" si="8"/>
        <v>118</v>
      </c>
      <c r="T211" s="8">
        <v>0</v>
      </c>
      <c r="U211" s="8" t="s">
        <v>31</v>
      </c>
      <c r="V211" s="8" t="str">
        <f>IF(F211="","",CHOOSE(INT(MOD(MONTH(S218)-7,12)/3)+1,"Q1","Q2","Q3","Q4"))</f>
        <v>Q3</v>
      </c>
      <c r="W211" s="9" t="s">
        <v>227</v>
      </c>
    </row>
    <row r="212" spans="1:23" ht="22.5" customHeight="1" x14ac:dyDescent="0.25">
      <c r="A212">
        <v>1276</v>
      </c>
      <c r="B212" t="s">
        <v>23</v>
      </c>
      <c r="C212" s="7" t="s">
        <v>732</v>
      </c>
      <c r="D212" s="8" t="s">
        <v>25</v>
      </c>
      <c r="E212" s="8" t="s">
        <v>714</v>
      </c>
      <c r="F212" s="15" t="s">
        <v>733</v>
      </c>
      <c r="G212" s="8" t="s">
        <v>28</v>
      </c>
      <c r="H212" s="8" t="s">
        <v>28</v>
      </c>
      <c r="I212" s="8" t="s">
        <v>28</v>
      </c>
      <c r="J212" s="8" t="s">
        <v>28</v>
      </c>
      <c r="K212" s="8" t="s">
        <v>29</v>
      </c>
      <c r="L212" s="8" t="s">
        <v>28</v>
      </c>
      <c r="M212" s="8" t="s">
        <v>28</v>
      </c>
      <c r="N212" s="8" t="s">
        <v>28</v>
      </c>
      <c r="O212" s="8" t="s">
        <v>734</v>
      </c>
      <c r="P212" s="8">
        <v>1000</v>
      </c>
      <c r="Q212" s="5">
        <v>18</v>
      </c>
      <c r="R212" s="5">
        <f t="shared" si="7"/>
        <v>180</v>
      </c>
      <c r="S212" s="5">
        <f t="shared" si="8"/>
        <v>1180</v>
      </c>
      <c r="T212" s="8">
        <v>0</v>
      </c>
      <c r="U212" s="8" t="s">
        <v>31</v>
      </c>
      <c r="V212" s="8" t="str">
        <f>IF(F212="","",CHOOSE(INT(MOD(MONTH(S219)-7,12)/3)+1,"Q1","Q2","Q3","Q4"))</f>
        <v>Q1</v>
      </c>
      <c r="W212" s="9" t="s">
        <v>227</v>
      </c>
    </row>
    <row r="213" spans="1:23" ht="22.5" customHeight="1" x14ac:dyDescent="0.25">
      <c r="A213">
        <v>1277</v>
      </c>
      <c r="B213" t="s">
        <v>23</v>
      </c>
      <c r="C213" s="7" t="s">
        <v>735</v>
      </c>
      <c r="D213" s="8" t="s">
        <v>25</v>
      </c>
      <c r="E213" s="8" t="s">
        <v>714</v>
      </c>
      <c r="F213" s="15" t="s">
        <v>736</v>
      </c>
      <c r="G213" s="8" t="s">
        <v>28</v>
      </c>
      <c r="H213" s="8" t="s">
        <v>28</v>
      </c>
      <c r="I213" s="8" t="s">
        <v>28</v>
      </c>
      <c r="J213" s="8" t="s">
        <v>28</v>
      </c>
      <c r="K213" s="8" t="s">
        <v>29</v>
      </c>
      <c r="L213" s="8" t="s">
        <v>28</v>
      </c>
      <c r="M213" s="8" t="s">
        <v>28</v>
      </c>
      <c r="N213" s="8" t="s">
        <v>28</v>
      </c>
      <c r="O213" s="8" t="s">
        <v>737</v>
      </c>
      <c r="P213" s="8">
        <v>3495.91</v>
      </c>
      <c r="Q213" s="5">
        <v>18</v>
      </c>
      <c r="R213" s="5">
        <f t="shared" si="7"/>
        <v>629.26379999999995</v>
      </c>
      <c r="S213" s="5">
        <f t="shared" si="8"/>
        <v>4125.1737999999996</v>
      </c>
      <c r="T213" s="8">
        <v>0</v>
      </c>
      <c r="U213" s="8" t="s">
        <v>31</v>
      </c>
      <c r="V213" s="8" t="str">
        <f>IF(F213="","",CHOOSE(INT(MOD(MONTH(S220)-7,12)/3)+1,"Q1","Q2","Q3","Q4"))</f>
        <v>Q3</v>
      </c>
      <c r="W213" s="9" t="s">
        <v>227</v>
      </c>
    </row>
    <row r="214" spans="1:23" ht="22.5" customHeight="1" x14ac:dyDescent="0.25">
      <c r="A214">
        <v>1280</v>
      </c>
      <c r="B214" t="s">
        <v>23</v>
      </c>
      <c r="C214" s="7" t="s">
        <v>744</v>
      </c>
      <c r="D214" s="8" t="s">
        <v>25</v>
      </c>
      <c r="E214" s="8" t="s">
        <v>700</v>
      </c>
      <c r="F214" s="15" t="s">
        <v>745</v>
      </c>
      <c r="G214" s="8" t="s">
        <v>28</v>
      </c>
      <c r="H214" s="8" t="s">
        <v>28</v>
      </c>
      <c r="I214" s="8" t="s">
        <v>28</v>
      </c>
      <c r="J214" s="8" t="s">
        <v>28</v>
      </c>
      <c r="K214" s="8" t="s">
        <v>29</v>
      </c>
      <c r="L214" s="8" t="s">
        <v>28</v>
      </c>
      <c r="M214" s="8" t="s">
        <v>28</v>
      </c>
      <c r="N214" s="8" t="s">
        <v>28</v>
      </c>
      <c r="O214" s="8" t="s">
        <v>746</v>
      </c>
      <c r="P214" s="8">
        <v>51033.5</v>
      </c>
      <c r="Q214" s="5">
        <v>18</v>
      </c>
      <c r="R214" s="5">
        <f t="shared" si="7"/>
        <v>9186.0299999999988</v>
      </c>
      <c r="S214" s="5">
        <f t="shared" si="8"/>
        <v>60219.53</v>
      </c>
      <c r="T214" s="8">
        <v>0</v>
      </c>
      <c r="U214" s="8" t="s">
        <v>31</v>
      </c>
      <c r="V214" s="8" t="str">
        <f>IF(F214="","",CHOOSE(INT(MOD(MONTH(S221)-7,12)/3)+1,"Q1","Q2","Q3","Q4"))</f>
        <v>Q1</v>
      </c>
      <c r="W214" s="9" t="s">
        <v>227</v>
      </c>
    </row>
    <row r="215" spans="1:23" ht="22.5" customHeight="1" x14ac:dyDescent="0.25">
      <c r="A215">
        <v>1278</v>
      </c>
      <c r="B215" t="s">
        <v>23</v>
      </c>
      <c r="C215" s="7" t="s">
        <v>738</v>
      </c>
      <c r="D215" s="8" t="s">
        <v>25</v>
      </c>
      <c r="E215" s="8" t="s">
        <v>739</v>
      </c>
      <c r="F215" s="20">
        <v>46161</v>
      </c>
      <c r="G215" s="8" t="s">
        <v>28</v>
      </c>
      <c r="H215" s="8" t="s">
        <v>28</v>
      </c>
      <c r="I215" s="8" t="s">
        <v>28</v>
      </c>
      <c r="J215" s="8" t="s">
        <v>28</v>
      </c>
      <c r="K215" s="8" t="s">
        <v>29</v>
      </c>
      <c r="L215" s="8" t="s">
        <v>28</v>
      </c>
      <c r="M215" s="8" t="s">
        <v>28</v>
      </c>
      <c r="N215" s="8" t="s">
        <v>28</v>
      </c>
      <c r="O215" s="8" t="s">
        <v>740</v>
      </c>
      <c r="P215" s="8">
        <v>4140.5</v>
      </c>
      <c r="Q215" s="5">
        <v>18</v>
      </c>
      <c r="R215" s="5">
        <f t="shared" si="7"/>
        <v>745.29</v>
      </c>
      <c r="S215" s="5">
        <f t="shared" si="8"/>
        <v>4885.79</v>
      </c>
      <c r="T215" s="8">
        <v>0</v>
      </c>
      <c r="U215" s="8" t="s">
        <v>31</v>
      </c>
      <c r="V215" s="8" t="str">
        <f>IF(F215="","",CHOOSE(INT(MOD(MONTH(S222)-7,12)/3)+1,"Q1","Q2","Q3","Q4"))</f>
        <v>Q4</v>
      </c>
      <c r="W215" s="9" t="s">
        <v>227</v>
      </c>
    </row>
    <row r="216" spans="1:23" ht="22.5" customHeight="1" x14ac:dyDescent="0.25">
      <c r="A216">
        <v>1250</v>
      </c>
      <c r="B216" t="s">
        <v>23</v>
      </c>
      <c r="C216" s="7" t="s">
        <v>661</v>
      </c>
      <c r="D216" s="8" t="s">
        <v>25</v>
      </c>
      <c r="E216" s="8" t="s">
        <v>646</v>
      </c>
      <c r="F216" s="15" t="s">
        <v>662</v>
      </c>
      <c r="G216" s="8" t="s">
        <v>28</v>
      </c>
      <c r="H216" s="8" t="s">
        <v>28</v>
      </c>
      <c r="I216" s="8" t="s">
        <v>28</v>
      </c>
      <c r="J216" s="8" t="s">
        <v>28</v>
      </c>
      <c r="K216" s="8" t="s">
        <v>29</v>
      </c>
      <c r="L216" s="8" t="s">
        <v>28</v>
      </c>
      <c r="M216" s="8" t="s">
        <v>28</v>
      </c>
      <c r="N216" s="8" t="s">
        <v>28</v>
      </c>
      <c r="O216" s="8" t="s">
        <v>663</v>
      </c>
      <c r="P216" s="8">
        <v>3280.6</v>
      </c>
      <c r="Q216" s="8">
        <v>18</v>
      </c>
      <c r="R216" s="5">
        <f t="shared" si="7"/>
        <v>590.50799999999992</v>
      </c>
      <c r="S216" s="5">
        <f t="shared" si="8"/>
        <v>3871.1079999999997</v>
      </c>
      <c r="T216" s="8">
        <v>0</v>
      </c>
      <c r="U216" s="8" t="s">
        <v>31</v>
      </c>
      <c r="V216" s="8" t="str">
        <f>IF(F216="","",CHOOSE(INT(MOD(MONTH(S223)-7,12)/3)+1,"Q1","Q2","Q3","Q4"))</f>
        <v>Q4</v>
      </c>
      <c r="W216" s="9" t="s">
        <v>227</v>
      </c>
    </row>
    <row r="217" spans="1:23" ht="22.5" customHeight="1" x14ac:dyDescent="0.25">
      <c r="A217">
        <v>797</v>
      </c>
      <c r="B217" t="s">
        <v>23</v>
      </c>
      <c r="C217" s="7" t="s">
        <v>199</v>
      </c>
      <c r="D217" s="8" t="s">
        <v>40</v>
      </c>
      <c r="E217" s="8" t="s">
        <v>200</v>
      </c>
      <c r="F217" s="15" t="s">
        <v>143</v>
      </c>
      <c r="G217" s="8" t="s">
        <v>28</v>
      </c>
      <c r="H217" s="8" t="s">
        <v>28</v>
      </c>
      <c r="I217" s="8" t="s">
        <v>28</v>
      </c>
      <c r="J217" s="8" t="s">
        <v>28</v>
      </c>
      <c r="K217" s="8" t="s">
        <v>29</v>
      </c>
      <c r="L217" s="8" t="s">
        <v>28</v>
      </c>
      <c r="M217" s="8" t="s">
        <v>28</v>
      </c>
      <c r="N217" s="8" t="s">
        <v>28</v>
      </c>
      <c r="O217" s="8" t="s">
        <v>28</v>
      </c>
      <c r="P217" s="8">
        <v>104770</v>
      </c>
      <c r="Q217" s="8">
        <v>0</v>
      </c>
      <c r="R217" s="5">
        <f t="shared" si="7"/>
        <v>0</v>
      </c>
      <c r="S217" s="5">
        <f t="shared" si="8"/>
        <v>104770</v>
      </c>
      <c r="T217" s="8">
        <v>0</v>
      </c>
      <c r="U217" s="8" t="s">
        <v>31</v>
      </c>
      <c r="V217" s="8" t="str">
        <f>IF(F217="","",CHOOSE(INT(MOD(MONTH(S224)-7,12)/3)+1,"Q1","Q2","Q3","Q4"))</f>
        <v>Q2</v>
      </c>
      <c r="W217" s="9" t="s">
        <v>43</v>
      </c>
    </row>
    <row r="218" spans="1:23" ht="22.5" customHeight="1" x14ac:dyDescent="0.25">
      <c r="A218">
        <v>495</v>
      </c>
      <c r="B218" t="s">
        <v>23</v>
      </c>
      <c r="C218" s="7" t="s">
        <v>142</v>
      </c>
      <c r="D218" s="8" t="s">
        <v>40</v>
      </c>
      <c r="E218" s="8" t="s">
        <v>60</v>
      </c>
      <c r="F218" s="15" t="s">
        <v>143</v>
      </c>
      <c r="G218" s="8" t="s">
        <v>28</v>
      </c>
      <c r="H218" s="8" t="s">
        <v>28</v>
      </c>
      <c r="I218" s="8" t="s">
        <v>28</v>
      </c>
      <c r="J218" s="8" t="s">
        <v>28</v>
      </c>
      <c r="K218" s="8" t="s">
        <v>29</v>
      </c>
      <c r="L218" s="8" t="s">
        <v>28</v>
      </c>
      <c r="M218" s="8" t="s">
        <v>28</v>
      </c>
      <c r="N218" s="8" t="s">
        <v>28</v>
      </c>
      <c r="O218" s="8" t="s">
        <v>28</v>
      </c>
      <c r="P218" s="8">
        <v>65800</v>
      </c>
      <c r="Q218" s="5">
        <v>0</v>
      </c>
      <c r="R218" s="5">
        <f t="shared" si="7"/>
        <v>0</v>
      </c>
      <c r="S218" s="5">
        <f t="shared" si="8"/>
        <v>65800</v>
      </c>
      <c r="T218" s="8">
        <v>0</v>
      </c>
      <c r="U218" s="8" t="s">
        <v>31</v>
      </c>
      <c r="V218" s="8" t="str">
        <f>IF(F218="","",CHOOSE(INT(MOD(MONTH(S225)-7,12)/3)+1,"Q1","Q2","Q3","Q4"))</f>
        <v>Q4</v>
      </c>
      <c r="W218" s="9" t="s">
        <v>43</v>
      </c>
    </row>
    <row r="219" spans="1:23" ht="22.5" customHeight="1" x14ac:dyDescent="0.25">
      <c r="A219">
        <v>604</v>
      </c>
      <c r="B219" t="s">
        <v>23</v>
      </c>
      <c r="C219" s="7" t="s">
        <v>166</v>
      </c>
      <c r="D219" s="8" t="s">
        <v>40</v>
      </c>
      <c r="E219" s="8" t="s">
        <v>71</v>
      </c>
      <c r="F219" s="15" t="s">
        <v>167</v>
      </c>
      <c r="G219" s="8" t="s">
        <v>28</v>
      </c>
      <c r="H219" s="8" t="s">
        <v>28</v>
      </c>
      <c r="I219" s="8" t="s">
        <v>28</v>
      </c>
      <c r="J219" s="8" t="s">
        <v>28</v>
      </c>
      <c r="K219" s="8" t="s">
        <v>29</v>
      </c>
      <c r="L219" s="8" t="s">
        <v>28</v>
      </c>
      <c r="M219" s="8" t="s">
        <v>28</v>
      </c>
      <c r="N219" s="8" t="s">
        <v>28</v>
      </c>
      <c r="O219" s="8" t="s">
        <v>28</v>
      </c>
      <c r="P219" s="8">
        <v>15950</v>
      </c>
      <c r="Q219" s="8">
        <v>0</v>
      </c>
      <c r="R219" s="5">
        <f t="shared" si="7"/>
        <v>0</v>
      </c>
      <c r="S219" s="5">
        <f t="shared" si="8"/>
        <v>15950</v>
      </c>
      <c r="T219" s="8">
        <v>0</v>
      </c>
      <c r="U219" s="8" t="s">
        <v>31</v>
      </c>
      <c r="V219" s="8" t="str">
        <f>IF(F219="","",CHOOSE(INT(MOD(MONTH(S226)-7,12)/3)+1,"Q1","Q2","Q3","Q4"))</f>
        <v>Q4</v>
      </c>
      <c r="W219" s="9" t="s">
        <v>43</v>
      </c>
    </row>
    <row r="220" spans="1:23" ht="22.5" customHeight="1" x14ac:dyDescent="0.25">
      <c r="A220">
        <v>1129</v>
      </c>
      <c r="B220" t="s">
        <v>23</v>
      </c>
      <c r="C220" s="7" t="s">
        <v>373</v>
      </c>
      <c r="D220" s="8" t="s">
        <v>40</v>
      </c>
      <c r="E220" s="8" t="s">
        <v>335</v>
      </c>
      <c r="F220" s="15" t="s">
        <v>374</v>
      </c>
      <c r="G220" s="8" t="s">
        <v>28</v>
      </c>
      <c r="H220" s="8" t="s">
        <v>28</v>
      </c>
      <c r="I220" s="8" t="s">
        <v>28</v>
      </c>
      <c r="J220" s="8" t="s">
        <v>28</v>
      </c>
      <c r="K220" s="8" t="s">
        <v>29</v>
      </c>
      <c r="L220" s="8" t="s">
        <v>28</v>
      </c>
      <c r="M220" s="8" t="s">
        <v>28</v>
      </c>
      <c r="N220" s="8" t="s">
        <v>28</v>
      </c>
      <c r="O220" s="8" t="s">
        <v>28</v>
      </c>
      <c r="P220" s="8">
        <v>32944</v>
      </c>
      <c r="Q220" s="8">
        <v>0</v>
      </c>
      <c r="R220" s="5">
        <f t="shared" si="7"/>
        <v>0</v>
      </c>
      <c r="S220" s="5">
        <f t="shared" si="8"/>
        <v>32944</v>
      </c>
      <c r="T220" s="8">
        <v>0</v>
      </c>
      <c r="U220" s="8" t="s">
        <v>31</v>
      </c>
      <c r="V220" s="8" t="str">
        <f>IF(F220="","",CHOOSE(INT(MOD(MONTH(S227)-7,12)/3)+1,"Q1","Q2","Q3","Q4"))</f>
        <v>Q3</v>
      </c>
      <c r="W220" s="9" t="s">
        <v>247</v>
      </c>
    </row>
    <row r="221" spans="1:23" ht="22.5" customHeight="1" x14ac:dyDescent="0.25">
      <c r="A221">
        <v>1133</v>
      </c>
      <c r="B221" t="s">
        <v>23</v>
      </c>
      <c r="C221" s="7" t="s">
        <v>384</v>
      </c>
      <c r="D221" s="8" t="s">
        <v>40</v>
      </c>
      <c r="E221" s="8" t="s">
        <v>273</v>
      </c>
      <c r="F221" s="15" t="s">
        <v>385</v>
      </c>
      <c r="G221" s="8" t="s">
        <v>28</v>
      </c>
      <c r="H221" s="8" t="s">
        <v>28</v>
      </c>
      <c r="I221" s="8" t="s">
        <v>28</v>
      </c>
      <c r="J221" s="8" t="s">
        <v>28</v>
      </c>
      <c r="K221" s="8" t="s">
        <v>29</v>
      </c>
      <c r="L221" s="8" t="s">
        <v>28</v>
      </c>
      <c r="M221" s="8" t="s">
        <v>28</v>
      </c>
      <c r="N221" s="8" t="s">
        <v>28</v>
      </c>
      <c r="O221" s="8" t="s">
        <v>28</v>
      </c>
      <c r="P221" s="8">
        <v>15950</v>
      </c>
      <c r="Q221" s="8">
        <v>0</v>
      </c>
      <c r="R221" s="5">
        <f t="shared" si="7"/>
        <v>0</v>
      </c>
      <c r="S221" s="5">
        <f t="shared" si="8"/>
        <v>15950</v>
      </c>
      <c r="T221" s="8">
        <v>0</v>
      </c>
      <c r="U221" s="8" t="s">
        <v>31</v>
      </c>
      <c r="V221" s="8" t="str">
        <f>IF(F221="","",CHOOSE(INT(MOD(MONTH(S228)-7,12)/3)+1,"Q1","Q2","Q3","Q4"))</f>
        <v>Q2</v>
      </c>
      <c r="W221" s="9" t="s">
        <v>247</v>
      </c>
    </row>
    <row r="222" spans="1:23" ht="22.5" customHeight="1" x14ac:dyDescent="0.25">
      <c r="A222">
        <v>930</v>
      </c>
      <c r="B222" t="s">
        <v>23</v>
      </c>
      <c r="C222" s="7" t="s">
        <v>218</v>
      </c>
      <c r="D222" s="8" t="s">
        <v>25</v>
      </c>
      <c r="E222" s="8" t="s">
        <v>152</v>
      </c>
      <c r="F222" s="15" t="s">
        <v>219</v>
      </c>
      <c r="G222" s="8" t="s">
        <v>28</v>
      </c>
      <c r="H222" s="8" t="s">
        <v>28</v>
      </c>
      <c r="I222" s="8" t="s">
        <v>28</v>
      </c>
      <c r="J222" s="8" t="s">
        <v>28</v>
      </c>
      <c r="K222" s="8" t="s">
        <v>29</v>
      </c>
      <c r="L222" s="8" t="s">
        <v>28</v>
      </c>
      <c r="M222" s="8" t="s">
        <v>28</v>
      </c>
      <c r="N222" s="8" t="s">
        <v>28</v>
      </c>
      <c r="O222" s="8" t="s">
        <v>79</v>
      </c>
      <c r="P222" s="8">
        <v>2301.5</v>
      </c>
      <c r="Q222" s="5">
        <v>18</v>
      </c>
      <c r="R222" s="5">
        <f t="shared" si="7"/>
        <v>414.27</v>
      </c>
      <c r="S222" s="5">
        <f t="shared" si="8"/>
        <v>2715.77</v>
      </c>
      <c r="T222" s="8">
        <v>0</v>
      </c>
      <c r="U222" s="8" t="s">
        <v>31</v>
      </c>
      <c r="V222" s="8" t="str">
        <f>IF(F222="","",CHOOSE(INT(MOD(MONTH(S229)-7,12)/3)+1,"Q1","Q2","Q3","Q4"))</f>
        <v>Q1</v>
      </c>
      <c r="W222" s="9" t="s">
        <v>32</v>
      </c>
    </row>
    <row r="223" spans="1:23" ht="22.5" customHeight="1" x14ac:dyDescent="0.25">
      <c r="A223">
        <v>975</v>
      </c>
      <c r="B223" t="s">
        <v>23</v>
      </c>
      <c r="C223" s="7" t="s">
        <v>228</v>
      </c>
      <c r="D223" s="8" t="s">
        <v>25</v>
      </c>
      <c r="E223" s="8" t="s">
        <v>92</v>
      </c>
      <c r="F223" s="15" t="s">
        <v>229</v>
      </c>
      <c r="G223" s="8" t="s">
        <v>28</v>
      </c>
      <c r="H223" s="8" t="s">
        <v>28</v>
      </c>
      <c r="I223" s="8" t="s">
        <v>28</v>
      </c>
      <c r="J223" s="8" t="s">
        <v>28</v>
      </c>
      <c r="K223" s="8" t="s">
        <v>29</v>
      </c>
      <c r="L223" s="8" t="s">
        <v>28</v>
      </c>
      <c r="M223" s="8" t="s">
        <v>28</v>
      </c>
      <c r="N223" s="8" t="s">
        <v>28</v>
      </c>
      <c r="O223" s="8" t="s">
        <v>79</v>
      </c>
      <c r="P223" s="8">
        <v>2595</v>
      </c>
      <c r="Q223" s="5">
        <v>18</v>
      </c>
      <c r="R223" s="5">
        <f t="shared" si="7"/>
        <v>467.09999999999997</v>
      </c>
      <c r="S223" s="5">
        <f t="shared" si="8"/>
        <v>3062.1</v>
      </c>
      <c r="T223" s="8">
        <v>0</v>
      </c>
      <c r="U223" s="8" t="s">
        <v>31</v>
      </c>
      <c r="V223" s="8" t="str">
        <f>IF(F223="","",CHOOSE(INT(MOD(MONTH(S230)-7,12)/3)+1,"Q1","Q2","Q3","Q4"))</f>
        <v>Q1</v>
      </c>
      <c r="W223" s="9" t="s">
        <v>32</v>
      </c>
    </row>
    <row r="224" spans="1:23" ht="22.5" customHeight="1" x14ac:dyDescent="0.25">
      <c r="A224">
        <v>1110</v>
      </c>
      <c r="B224" t="s">
        <v>23</v>
      </c>
      <c r="C224" s="7" t="s">
        <v>329</v>
      </c>
      <c r="D224" s="8" t="s">
        <v>25</v>
      </c>
      <c r="E224" s="8" t="s">
        <v>330</v>
      </c>
      <c r="F224" s="15" t="s">
        <v>331</v>
      </c>
      <c r="G224" s="8" t="s">
        <v>28</v>
      </c>
      <c r="H224" s="8" t="s">
        <v>28</v>
      </c>
      <c r="I224" s="8" t="s">
        <v>28</v>
      </c>
      <c r="J224" s="8" t="s">
        <v>28</v>
      </c>
      <c r="K224" s="8" t="s">
        <v>29</v>
      </c>
      <c r="L224" s="8" t="s">
        <v>28</v>
      </c>
      <c r="M224" s="8" t="s">
        <v>28</v>
      </c>
      <c r="N224" s="8" t="s">
        <v>28</v>
      </c>
      <c r="O224" s="8" t="s">
        <v>160</v>
      </c>
      <c r="P224" s="8">
        <v>1525</v>
      </c>
      <c r="Q224" s="8">
        <v>18</v>
      </c>
      <c r="R224" s="5">
        <f t="shared" si="7"/>
        <v>274.5</v>
      </c>
      <c r="S224" s="5">
        <f t="shared" si="8"/>
        <v>1799.5</v>
      </c>
      <c r="T224" s="8">
        <v>0</v>
      </c>
      <c r="U224" s="8" t="s">
        <v>31</v>
      </c>
      <c r="V224" s="8" t="str">
        <f>IF(F224="","",CHOOSE(INT(MOD(MONTH(S231)-7,12)/3)+1,"Q1","Q2","Q3","Q4"))</f>
        <v>Q1</v>
      </c>
      <c r="W224" s="9" t="s">
        <v>32</v>
      </c>
    </row>
    <row r="225" spans="1:23" ht="22.5" customHeight="1" x14ac:dyDescent="0.25">
      <c r="A225">
        <v>1113</v>
      </c>
      <c r="B225" t="s">
        <v>23</v>
      </c>
      <c r="C225" s="7" t="s">
        <v>337</v>
      </c>
      <c r="D225" s="8" t="s">
        <v>25</v>
      </c>
      <c r="E225" s="8" t="s">
        <v>56</v>
      </c>
      <c r="F225" s="15" t="s">
        <v>331</v>
      </c>
      <c r="G225" s="8" t="s">
        <v>28</v>
      </c>
      <c r="H225" s="8" t="s">
        <v>28</v>
      </c>
      <c r="I225" s="8" t="s">
        <v>28</v>
      </c>
      <c r="J225" s="8" t="s">
        <v>28</v>
      </c>
      <c r="K225" s="8" t="s">
        <v>29</v>
      </c>
      <c r="L225" s="8" t="s">
        <v>28</v>
      </c>
      <c r="M225" s="8" t="s">
        <v>28</v>
      </c>
      <c r="N225" s="8" t="s">
        <v>28</v>
      </c>
      <c r="O225" s="8" t="s">
        <v>160</v>
      </c>
      <c r="P225" s="8">
        <v>120.8</v>
      </c>
      <c r="Q225" s="5">
        <v>18</v>
      </c>
      <c r="R225" s="5">
        <f t="shared" si="7"/>
        <v>21.744</v>
      </c>
      <c r="S225" s="5">
        <f t="shared" si="8"/>
        <v>142.54399999999998</v>
      </c>
      <c r="T225" s="8">
        <v>0</v>
      </c>
      <c r="U225" s="8" t="s">
        <v>31</v>
      </c>
      <c r="V225" s="8" t="str">
        <f>IF(F225="","",CHOOSE(INT(MOD(MONTH(S232)-7,12)/3)+1,"Q1","Q2","Q3","Q4"))</f>
        <v>Q2</v>
      </c>
      <c r="W225" s="9" t="s">
        <v>32</v>
      </c>
    </row>
    <row r="226" spans="1:23" ht="22.5" customHeight="1" x14ac:dyDescent="0.25">
      <c r="A226">
        <v>1102</v>
      </c>
      <c r="B226" t="s">
        <v>23</v>
      </c>
      <c r="C226" s="7" t="s">
        <v>306</v>
      </c>
      <c r="D226" s="8" t="s">
        <v>25</v>
      </c>
      <c r="E226" s="8" t="s">
        <v>294</v>
      </c>
      <c r="F226" s="15" t="s">
        <v>307</v>
      </c>
      <c r="G226" s="8" t="s">
        <v>28</v>
      </c>
      <c r="H226" s="8" t="s">
        <v>28</v>
      </c>
      <c r="I226" s="8" t="s">
        <v>28</v>
      </c>
      <c r="J226" s="8" t="s">
        <v>28</v>
      </c>
      <c r="K226" s="8" t="s">
        <v>29</v>
      </c>
      <c r="L226" s="8" t="s">
        <v>28</v>
      </c>
      <c r="M226" s="8" t="s">
        <v>28</v>
      </c>
      <c r="N226" s="8" t="s">
        <v>28</v>
      </c>
      <c r="O226" s="8" t="s">
        <v>308</v>
      </c>
      <c r="P226" s="8">
        <v>5500</v>
      </c>
      <c r="Q226" s="8">
        <v>15</v>
      </c>
      <c r="R226" s="5">
        <f t="shared" si="7"/>
        <v>825</v>
      </c>
      <c r="S226" s="5">
        <f t="shared" si="8"/>
        <v>6325</v>
      </c>
      <c r="T226" s="8">
        <v>0</v>
      </c>
      <c r="U226" s="8" t="s">
        <v>31</v>
      </c>
      <c r="V226" s="8" t="str">
        <f>IF(F226="","",CHOOSE(INT(MOD(MONTH(S233)-7,12)/3)+1,"Q1","Q2","Q3","Q4"))</f>
        <v>Q4</v>
      </c>
      <c r="W226" s="9" t="s">
        <v>32</v>
      </c>
    </row>
    <row r="227" spans="1:23" ht="22.5" customHeight="1" x14ac:dyDescent="0.25">
      <c r="A227">
        <v>1192</v>
      </c>
      <c r="B227" t="s">
        <v>23</v>
      </c>
      <c r="C227" s="7" t="s">
        <v>509</v>
      </c>
      <c r="D227" s="8" t="s">
        <v>25</v>
      </c>
      <c r="E227" s="8" t="s">
        <v>92</v>
      </c>
      <c r="F227" s="15" t="s">
        <v>510</v>
      </c>
      <c r="G227" s="8" t="s">
        <v>28</v>
      </c>
      <c r="H227" s="8" t="s">
        <v>28</v>
      </c>
      <c r="I227" s="8" t="s">
        <v>28</v>
      </c>
      <c r="J227" s="8" t="s">
        <v>28</v>
      </c>
      <c r="K227" s="8" t="s">
        <v>29</v>
      </c>
      <c r="L227" s="8" t="s">
        <v>28</v>
      </c>
      <c r="M227" s="8" t="s">
        <v>28</v>
      </c>
      <c r="N227" s="8" t="s">
        <v>28</v>
      </c>
      <c r="O227" s="8" t="s">
        <v>262</v>
      </c>
      <c r="P227" s="8">
        <v>9608</v>
      </c>
      <c r="Q227" s="5">
        <v>18</v>
      </c>
      <c r="R227" s="5">
        <f t="shared" si="7"/>
        <v>1729.44</v>
      </c>
      <c r="S227" s="5">
        <f t="shared" si="8"/>
        <v>11337.44</v>
      </c>
      <c r="T227" s="8">
        <v>0</v>
      </c>
      <c r="U227" s="8" t="s">
        <v>31</v>
      </c>
      <c r="V227" s="8" t="str">
        <f>IF(F227="","",CHOOSE(INT(MOD(MONTH(S234)-7,12)/3)+1,"Q1","Q2","Q3","Q4"))</f>
        <v>Q1</v>
      </c>
      <c r="W227" s="9" t="s">
        <v>32</v>
      </c>
    </row>
    <row r="228" spans="1:23" ht="22.5" customHeight="1" x14ac:dyDescent="0.25">
      <c r="A228">
        <v>1074</v>
      </c>
      <c r="B228" t="s">
        <v>23</v>
      </c>
      <c r="C228" s="7" t="s">
        <v>259</v>
      </c>
      <c r="D228" s="8" t="s">
        <v>25</v>
      </c>
      <c r="E228" s="8" t="s">
        <v>260</v>
      </c>
      <c r="F228" s="15" t="s">
        <v>261</v>
      </c>
      <c r="G228" s="8" t="s">
        <v>28</v>
      </c>
      <c r="H228" s="8" t="s">
        <v>28</v>
      </c>
      <c r="I228" s="8" t="s">
        <v>28</v>
      </c>
      <c r="J228" s="8" t="s">
        <v>28</v>
      </c>
      <c r="K228" s="8" t="s">
        <v>29</v>
      </c>
      <c r="L228" s="8" t="s">
        <v>28</v>
      </c>
      <c r="M228" s="8" t="s">
        <v>28</v>
      </c>
      <c r="N228" s="8" t="s">
        <v>28</v>
      </c>
      <c r="O228" s="8" t="s">
        <v>262</v>
      </c>
      <c r="P228" s="8">
        <v>602</v>
      </c>
      <c r="Q228" s="5">
        <v>18</v>
      </c>
      <c r="R228" s="5">
        <f t="shared" si="7"/>
        <v>108.35999999999999</v>
      </c>
      <c r="S228" s="5">
        <f t="shared" si="8"/>
        <v>710.36</v>
      </c>
      <c r="T228" s="8">
        <v>0</v>
      </c>
      <c r="U228" s="8" t="s">
        <v>31</v>
      </c>
      <c r="V228" s="8" t="str">
        <f>IF(F228="","",CHOOSE(INT(MOD(MONTH(S235)-7,12)/3)+1,"Q1","Q2","Q3","Q4"))</f>
        <v>Q4</v>
      </c>
      <c r="W228" s="9" t="s">
        <v>32</v>
      </c>
    </row>
    <row r="229" spans="1:23" ht="22.5" customHeight="1" x14ac:dyDescent="0.25">
      <c r="A229">
        <v>1084</v>
      </c>
      <c r="B229" t="s">
        <v>23</v>
      </c>
      <c r="C229" s="7" t="s">
        <v>275</v>
      </c>
      <c r="D229" s="8" t="s">
        <v>25</v>
      </c>
      <c r="E229" s="8" t="s">
        <v>276</v>
      </c>
      <c r="F229" s="15" t="s">
        <v>277</v>
      </c>
      <c r="G229" s="8" t="s">
        <v>28</v>
      </c>
      <c r="H229" s="8" t="s">
        <v>28</v>
      </c>
      <c r="I229" s="8" t="s">
        <v>28</v>
      </c>
      <c r="J229" s="8" t="s">
        <v>28</v>
      </c>
      <c r="K229" s="8" t="s">
        <v>29</v>
      </c>
      <c r="L229" s="8" t="s">
        <v>28</v>
      </c>
      <c r="M229" s="8" t="s">
        <v>28</v>
      </c>
      <c r="N229" s="8" t="s">
        <v>28</v>
      </c>
      <c r="O229" s="8" t="s">
        <v>278</v>
      </c>
      <c r="P229" s="8">
        <v>2646</v>
      </c>
      <c r="Q229" s="5">
        <v>18</v>
      </c>
      <c r="R229" s="5">
        <f t="shared" si="7"/>
        <v>476.28000000000003</v>
      </c>
      <c r="S229" s="5">
        <f t="shared" si="8"/>
        <v>3122.28</v>
      </c>
      <c r="T229" s="8">
        <v>0</v>
      </c>
      <c r="U229" s="8" t="s">
        <v>31</v>
      </c>
      <c r="V229" s="8" t="str">
        <f>IF(F229="","",CHOOSE(INT(MOD(MONTH(S236)-7,12)/3)+1,"Q1","Q2","Q3","Q4"))</f>
        <v>Q2</v>
      </c>
      <c r="W229" s="9" t="s">
        <v>32</v>
      </c>
    </row>
    <row r="230" spans="1:23" ht="22.5" customHeight="1" x14ac:dyDescent="0.25">
      <c r="A230">
        <v>1101</v>
      </c>
      <c r="B230" t="s">
        <v>23</v>
      </c>
      <c r="C230" s="7" t="s">
        <v>303</v>
      </c>
      <c r="D230" s="8" t="s">
        <v>25</v>
      </c>
      <c r="E230" s="8" t="s">
        <v>304</v>
      </c>
      <c r="F230" s="15" t="s">
        <v>305</v>
      </c>
      <c r="G230" s="8" t="s">
        <v>28</v>
      </c>
      <c r="H230" s="8" t="s">
        <v>28</v>
      </c>
      <c r="I230" s="8" t="s">
        <v>28</v>
      </c>
      <c r="J230" s="8" t="s">
        <v>28</v>
      </c>
      <c r="K230" s="8" t="s">
        <v>29</v>
      </c>
      <c r="L230" s="8" t="s">
        <v>28</v>
      </c>
      <c r="M230" s="8" t="s">
        <v>28</v>
      </c>
      <c r="N230" s="8" t="s">
        <v>28</v>
      </c>
      <c r="O230" s="8" t="s">
        <v>262</v>
      </c>
      <c r="P230" s="8">
        <v>200</v>
      </c>
      <c r="Q230" s="5">
        <v>18</v>
      </c>
      <c r="R230" s="5">
        <f t="shared" si="7"/>
        <v>36</v>
      </c>
      <c r="S230" s="5">
        <f t="shared" si="8"/>
        <v>236</v>
      </c>
      <c r="T230" s="8">
        <v>0</v>
      </c>
      <c r="U230" s="8" t="s">
        <v>31</v>
      </c>
      <c r="V230" s="8" t="str">
        <f>IF(F230="","",CHOOSE(INT(MOD(MONTH(S237)-7,12)/3)+1,"Q1","Q2","Q3","Q4"))</f>
        <v>Q1</v>
      </c>
      <c r="W230" s="9" t="s">
        <v>32</v>
      </c>
    </row>
    <row r="231" spans="1:23" ht="22.5" customHeight="1" x14ac:dyDescent="0.25">
      <c r="A231">
        <v>1080</v>
      </c>
      <c r="B231" t="s">
        <v>23</v>
      </c>
      <c r="C231" s="7" t="s">
        <v>269</v>
      </c>
      <c r="D231" s="8" t="s">
        <v>25</v>
      </c>
      <c r="E231" s="8" t="s">
        <v>270</v>
      </c>
      <c r="F231" s="15" t="s">
        <v>271</v>
      </c>
      <c r="G231" s="8" t="s">
        <v>28</v>
      </c>
      <c r="H231" s="8" t="s">
        <v>28</v>
      </c>
      <c r="I231" s="8" t="s">
        <v>28</v>
      </c>
      <c r="J231" s="8" t="s">
        <v>28</v>
      </c>
      <c r="K231" s="8" t="s">
        <v>29</v>
      </c>
      <c r="L231" s="8" t="s">
        <v>28</v>
      </c>
      <c r="M231" s="8" t="s">
        <v>28</v>
      </c>
      <c r="N231" s="8" t="s">
        <v>28</v>
      </c>
      <c r="O231" s="8" t="s">
        <v>262</v>
      </c>
      <c r="P231" s="8">
        <v>2058</v>
      </c>
      <c r="Q231" s="5">
        <v>18</v>
      </c>
      <c r="R231" s="5">
        <f t="shared" si="7"/>
        <v>370.43999999999994</v>
      </c>
      <c r="S231" s="5">
        <f t="shared" si="8"/>
        <v>2428.44</v>
      </c>
      <c r="T231" s="8">
        <v>0</v>
      </c>
      <c r="U231" s="8" t="s">
        <v>31</v>
      </c>
      <c r="V231" s="8" t="str">
        <f>IF(F231="","",CHOOSE(INT(MOD(MONTH(S238)-7,12)/3)+1,"Q1","Q2","Q3","Q4"))</f>
        <v>Q4</v>
      </c>
      <c r="W231" s="9" t="s">
        <v>32</v>
      </c>
    </row>
    <row r="232" spans="1:23" ht="22.5" customHeight="1" x14ac:dyDescent="0.25">
      <c r="A232">
        <v>1091</v>
      </c>
      <c r="B232" t="s">
        <v>23</v>
      </c>
      <c r="C232" s="7" t="s">
        <v>287</v>
      </c>
      <c r="D232" s="8" t="s">
        <v>25</v>
      </c>
      <c r="E232" s="8" t="s">
        <v>260</v>
      </c>
      <c r="F232" s="15" t="s">
        <v>288</v>
      </c>
      <c r="G232" s="8" t="s">
        <v>28</v>
      </c>
      <c r="H232" s="8" t="s">
        <v>28</v>
      </c>
      <c r="I232" s="8" t="s">
        <v>28</v>
      </c>
      <c r="J232" s="8" t="s">
        <v>28</v>
      </c>
      <c r="K232" s="8" t="s">
        <v>29</v>
      </c>
      <c r="L232" s="8" t="s">
        <v>28</v>
      </c>
      <c r="M232" s="8" t="s">
        <v>28</v>
      </c>
      <c r="N232" s="8" t="s">
        <v>28</v>
      </c>
      <c r="O232" s="8" t="s">
        <v>289</v>
      </c>
      <c r="P232" s="8">
        <v>14800</v>
      </c>
      <c r="Q232" s="5">
        <v>18</v>
      </c>
      <c r="R232" s="5">
        <f t="shared" si="7"/>
        <v>2664</v>
      </c>
      <c r="S232" s="5">
        <f t="shared" si="8"/>
        <v>17464</v>
      </c>
      <c r="T232" s="8">
        <v>0</v>
      </c>
      <c r="U232" s="8" t="s">
        <v>31</v>
      </c>
      <c r="V232" s="8" t="str">
        <f>IF(F232="","",CHOOSE(INT(MOD(MONTH(S239)-7,12)/3)+1,"Q1","Q2","Q3","Q4"))</f>
        <v>Q4</v>
      </c>
      <c r="W232" s="9" t="s">
        <v>32</v>
      </c>
    </row>
    <row r="233" spans="1:23" ht="22.5" customHeight="1" x14ac:dyDescent="0.25">
      <c r="A233">
        <v>669</v>
      </c>
      <c r="B233" t="s">
        <v>23</v>
      </c>
      <c r="C233" s="7" t="s">
        <v>178</v>
      </c>
      <c r="D233" s="8" t="s">
        <v>40</v>
      </c>
      <c r="E233" s="8" t="s">
        <v>60</v>
      </c>
      <c r="F233" s="15" t="s">
        <v>179</v>
      </c>
      <c r="G233" s="8" t="s">
        <v>28</v>
      </c>
      <c r="H233" s="8" t="s">
        <v>28</v>
      </c>
      <c r="I233" s="8" t="s">
        <v>28</v>
      </c>
      <c r="J233" s="8" t="s">
        <v>28</v>
      </c>
      <c r="K233" s="8" t="s">
        <v>29</v>
      </c>
      <c r="L233" s="8" t="s">
        <v>28</v>
      </c>
      <c r="M233" s="8" t="s">
        <v>28</v>
      </c>
      <c r="N233" s="8" t="s">
        <v>28</v>
      </c>
      <c r="O233" s="8" t="s">
        <v>28</v>
      </c>
      <c r="P233" s="8">
        <v>9280</v>
      </c>
      <c r="Q233" s="5">
        <v>0</v>
      </c>
      <c r="R233" s="5">
        <f t="shared" si="7"/>
        <v>0</v>
      </c>
      <c r="S233" s="5">
        <f t="shared" si="8"/>
        <v>9280</v>
      </c>
      <c r="T233" s="8">
        <v>0</v>
      </c>
      <c r="U233" s="8" t="s">
        <v>31</v>
      </c>
      <c r="V233" s="8" t="str">
        <f>IF(F233="","",CHOOSE(INT(MOD(MONTH(S240)-7,12)/3)+1,"Q1","Q2","Q3","Q4"))</f>
        <v>Q1</v>
      </c>
      <c r="W233" s="9" t="s">
        <v>43</v>
      </c>
    </row>
    <row r="234" spans="1:23" ht="22.5" customHeight="1" x14ac:dyDescent="0.25">
      <c r="A234">
        <v>696</v>
      </c>
      <c r="B234" t="s">
        <v>23</v>
      </c>
      <c r="C234" s="7" t="s">
        <v>182</v>
      </c>
      <c r="D234" s="8" t="s">
        <v>40</v>
      </c>
      <c r="E234" s="8" t="s">
        <v>71</v>
      </c>
      <c r="F234" s="15" t="s">
        <v>179</v>
      </c>
      <c r="G234" s="8" t="s">
        <v>28</v>
      </c>
      <c r="H234" s="8" t="s">
        <v>28</v>
      </c>
      <c r="I234" s="8" t="s">
        <v>28</v>
      </c>
      <c r="J234" s="8" t="s">
        <v>28</v>
      </c>
      <c r="K234" s="8" t="s">
        <v>29</v>
      </c>
      <c r="L234" s="8" t="s">
        <v>28</v>
      </c>
      <c r="M234" s="8" t="s">
        <v>28</v>
      </c>
      <c r="N234" s="8" t="s">
        <v>28</v>
      </c>
      <c r="O234" s="8" t="s">
        <v>28</v>
      </c>
      <c r="P234" s="8">
        <v>17777</v>
      </c>
      <c r="Q234" s="5">
        <v>0</v>
      </c>
      <c r="R234" s="5">
        <f t="shared" si="7"/>
        <v>0</v>
      </c>
      <c r="S234" s="5">
        <f t="shared" si="8"/>
        <v>17777</v>
      </c>
      <c r="T234" s="8">
        <v>0</v>
      </c>
      <c r="U234" s="8" t="s">
        <v>31</v>
      </c>
      <c r="V234" s="8" t="str">
        <f>IF(F234="","",CHOOSE(INT(MOD(MONTH(S241)-7,12)/3)+1,"Q1","Q2","Q3","Q4"))</f>
        <v>Q2</v>
      </c>
      <c r="W234" s="9" t="s">
        <v>43</v>
      </c>
    </row>
    <row r="235" spans="1:23" ht="22.5" customHeight="1" x14ac:dyDescent="0.25">
      <c r="A235">
        <v>1137</v>
      </c>
      <c r="B235" t="s">
        <v>23</v>
      </c>
      <c r="C235" s="7" t="s">
        <v>395</v>
      </c>
      <c r="D235" s="8" t="s">
        <v>40</v>
      </c>
      <c r="E235" s="8" t="s">
        <v>273</v>
      </c>
      <c r="F235" s="15" t="s">
        <v>396</v>
      </c>
      <c r="G235" s="8" t="s">
        <v>28</v>
      </c>
      <c r="H235" s="8" t="s">
        <v>28</v>
      </c>
      <c r="I235" s="8" t="s">
        <v>28</v>
      </c>
      <c r="J235" s="8" t="s">
        <v>28</v>
      </c>
      <c r="K235" s="8" t="s">
        <v>29</v>
      </c>
      <c r="L235" s="8" t="s">
        <v>28</v>
      </c>
      <c r="M235" s="8" t="s">
        <v>28</v>
      </c>
      <c r="N235" s="8" t="s">
        <v>28</v>
      </c>
      <c r="O235" s="8" t="s">
        <v>28</v>
      </c>
      <c r="P235" s="8">
        <v>6330</v>
      </c>
      <c r="Q235" s="5">
        <v>0</v>
      </c>
      <c r="R235" s="5">
        <f t="shared" si="7"/>
        <v>0</v>
      </c>
      <c r="S235" s="5">
        <f t="shared" si="8"/>
        <v>6330</v>
      </c>
      <c r="T235" s="8">
        <v>0</v>
      </c>
      <c r="U235" s="8" t="s">
        <v>31</v>
      </c>
      <c r="V235" s="8" t="str">
        <f>IF(F235="","",CHOOSE(INT(MOD(MONTH(S242)-7,12)/3)+1,"Q1","Q2","Q3","Q4"))</f>
        <v>Q2</v>
      </c>
      <c r="W235" s="9" t="s">
        <v>247</v>
      </c>
    </row>
    <row r="236" spans="1:23" ht="22.5" customHeight="1" x14ac:dyDescent="0.25">
      <c r="A236">
        <v>1096</v>
      </c>
      <c r="B236" t="s">
        <v>23</v>
      </c>
      <c r="C236" s="7" t="s">
        <v>293</v>
      </c>
      <c r="D236" s="8" t="s">
        <v>25</v>
      </c>
      <c r="E236" s="8" t="s">
        <v>294</v>
      </c>
      <c r="F236" s="15" t="s">
        <v>288</v>
      </c>
      <c r="G236" s="8" t="s">
        <v>28</v>
      </c>
      <c r="H236" s="8" t="s">
        <v>28</v>
      </c>
      <c r="I236" s="8" t="s">
        <v>28</v>
      </c>
      <c r="J236" s="8" t="s">
        <v>28</v>
      </c>
      <c r="K236" s="8" t="s">
        <v>29</v>
      </c>
      <c r="L236" s="8" t="s">
        <v>28</v>
      </c>
      <c r="M236" s="8" t="s">
        <v>28</v>
      </c>
      <c r="N236" s="8" t="s">
        <v>28</v>
      </c>
      <c r="O236" s="8" t="s">
        <v>295</v>
      </c>
      <c r="P236" s="8">
        <v>4945</v>
      </c>
      <c r="Q236" s="5">
        <v>18</v>
      </c>
      <c r="R236" s="5">
        <f t="shared" si="7"/>
        <v>890.1</v>
      </c>
      <c r="S236" s="5">
        <f t="shared" si="8"/>
        <v>5835.1</v>
      </c>
      <c r="T236" s="8">
        <v>0</v>
      </c>
      <c r="U236" s="8" t="s">
        <v>31</v>
      </c>
      <c r="V236" s="8" t="str">
        <f>IF(F236="","",CHOOSE(INT(MOD(MONTH(S243)-7,12)/3)+1,"Q1","Q2","Q3","Q4"))</f>
        <v>Q4</v>
      </c>
      <c r="W236" s="9" t="s">
        <v>32</v>
      </c>
    </row>
    <row r="237" spans="1:23" ht="22.5" customHeight="1" x14ac:dyDescent="0.25">
      <c r="A237">
        <v>1123</v>
      </c>
      <c r="B237" t="s">
        <v>23</v>
      </c>
      <c r="C237" s="7" t="s">
        <v>358</v>
      </c>
      <c r="D237" s="8" t="s">
        <v>25</v>
      </c>
      <c r="E237" s="8" t="s">
        <v>359</v>
      </c>
      <c r="F237" s="15" t="s">
        <v>305</v>
      </c>
      <c r="G237" s="8" t="s">
        <v>28</v>
      </c>
      <c r="H237" s="8" t="s">
        <v>28</v>
      </c>
      <c r="I237" s="8" t="s">
        <v>28</v>
      </c>
      <c r="J237" s="8" t="s">
        <v>28</v>
      </c>
      <c r="K237" s="8" t="s">
        <v>29</v>
      </c>
      <c r="L237" s="8" t="s">
        <v>28</v>
      </c>
      <c r="M237" s="8" t="s">
        <v>28</v>
      </c>
      <c r="N237" s="8" t="s">
        <v>28</v>
      </c>
      <c r="O237" s="8" t="s">
        <v>308</v>
      </c>
      <c r="P237" s="8">
        <v>1173</v>
      </c>
      <c r="Q237" s="5">
        <v>15</v>
      </c>
      <c r="R237" s="5">
        <f t="shared" si="7"/>
        <v>175.95000000000002</v>
      </c>
      <c r="S237" s="5">
        <f t="shared" si="8"/>
        <v>1348.95</v>
      </c>
      <c r="T237" s="8">
        <v>0</v>
      </c>
      <c r="U237" s="8" t="s">
        <v>31</v>
      </c>
      <c r="V237" s="8" t="str">
        <f>IF(F237="","",CHOOSE(INT(MOD(MONTH(S244)-7,12)/3)+1,"Q1","Q2","Q3","Q4"))</f>
        <v>Q1</v>
      </c>
      <c r="W237" s="9" t="s">
        <v>32</v>
      </c>
    </row>
    <row r="238" spans="1:23" ht="22.5" customHeight="1" x14ac:dyDescent="0.25">
      <c r="A238">
        <v>1116</v>
      </c>
      <c r="B238" t="s">
        <v>23</v>
      </c>
      <c r="C238" s="7" t="s">
        <v>344</v>
      </c>
      <c r="D238" s="8" t="s">
        <v>25</v>
      </c>
      <c r="E238" s="8" t="s">
        <v>260</v>
      </c>
      <c r="F238" s="15" t="s">
        <v>345</v>
      </c>
      <c r="G238" s="8" t="s">
        <v>28</v>
      </c>
      <c r="H238" s="8" t="s">
        <v>28</v>
      </c>
      <c r="I238" s="8" t="s">
        <v>28</v>
      </c>
      <c r="J238" s="8" t="s">
        <v>28</v>
      </c>
      <c r="K238" s="8" t="s">
        <v>29</v>
      </c>
      <c r="L238" s="8" t="s">
        <v>28</v>
      </c>
      <c r="M238" s="8" t="s">
        <v>28</v>
      </c>
      <c r="N238" s="8" t="s">
        <v>28</v>
      </c>
      <c r="O238" s="8" t="s">
        <v>190</v>
      </c>
      <c r="P238" s="8">
        <v>100</v>
      </c>
      <c r="Q238" s="5">
        <v>18</v>
      </c>
      <c r="R238" s="5">
        <f t="shared" si="7"/>
        <v>18</v>
      </c>
      <c r="S238" s="5">
        <f t="shared" si="8"/>
        <v>118</v>
      </c>
      <c r="T238" s="8">
        <v>0</v>
      </c>
      <c r="U238" s="8" t="s">
        <v>31</v>
      </c>
      <c r="V238" s="8" t="str">
        <f>IF(F238="","",CHOOSE(INT(MOD(MONTH(S245)-7,12)/3)+1,"Q1","Q2","Q3","Q4"))</f>
        <v>Q3</v>
      </c>
      <c r="W238" s="9" t="s">
        <v>32</v>
      </c>
    </row>
    <row r="239" spans="1:23" ht="22.5" customHeight="1" x14ac:dyDescent="0.25">
      <c r="A239">
        <v>1119</v>
      </c>
      <c r="B239" t="s">
        <v>23</v>
      </c>
      <c r="C239" s="7" t="s">
        <v>349</v>
      </c>
      <c r="D239" s="8" t="s">
        <v>25</v>
      </c>
      <c r="E239" s="8" t="s">
        <v>304</v>
      </c>
      <c r="F239" s="15" t="s">
        <v>345</v>
      </c>
      <c r="G239" s="8" t="s">
        <v>28</v>
      </c>
      <c r="H239" s="8" t="s">
        <v>28</v>
      </c>
      <c r="I239" s="8" t="s">
        <v>28</v>
      </c>
      <c r="J239" s="8" t="s">
        <v>28</v>
      </c>
      <c r="K239" s="8" t="s">
        <v>29</v>
      </c>
      <c r="L239" s="8" t="s">
        <v>28</v>
      </c>
      <c r="M239" s="8" t="s">
        <v>28</v>
      </c>
      <c r="N239" s="8" t="s">
        <v>28</v>
      </c>
      <c r="O239" s="8" t="s">
        <v>190</v>
      </c>
      <c r="P239" s="8">
        <v>100</v>
      </c>
      <c r="Q239" s="5">
        <v>18</v>
      </c>
      <c r="R239" s="5">
        <f t="shared" si="7"/>
        <v>18</v>
      </c>
      <c r="S239" s="5">
        <f t="shared" si="8"/>
        <v>118</v>
      </c>
      <c r="T239" s="8">
        <v>0</v>
      </c>
      <c r="U239" s="8" t="s">
        <v>31</v>
      </c>
      <c r="V239" s="8" t="str">
        <f>IF(F239="","",CHOOSE(INT(MOD(MONTH(S246)-7,12)/3)+1,"Q1","Q2","Q3","Q4"))</f>
        <v>Q3</v>
      </c>
      <c r="W239" s="9" t="s">
        <v>32</v>
      </c>
    </row>
    <row r="240" spans="1:23" ht="22.5" customHeight="1" x14ac:dyDescent="0.25">
      <c r="A240">
        <v>1244</v>
      </c>
      <c r="B240" t="s">
        <v>23</v>
      </c>
      <c r="C240" s="7" t="s">
        <v>645</v>
      </c>
      <c r="D240" s="8" t="s">
        <v>25</v>
      </c>
      <c r="E240" s="8" t="s">
        <v>646</v>
      </c>
      <c r="F240" s="15" t="s">
        <v>647</v>
      </c>
      <c r="G240" s="8" t="s">
        <v>28</v>
      </c>
      <c r="H240" s="8" t="s">
        <v>28</v>
      </c>
      <c r="I240" s="8" t="s">
        <v>28</v>
      </c>
      <c r="J240" s="8" t="s">
        <v>28</v>
      </c>
      <c r="K240" s="8" t="s">
        <v>29</v>
      </c>
      <c r="L240" s="8" t="s">
        <v>28</v>
      </c>
      <c r="M240" s="8" t="s">
        <v>28</v>
      </c>
      <c r="N240" s="8" t="s">
        <v>28</v>
      </c>
      <c r="O240" s="8" t="s">
        <v>648</v>
      </c>
      <c r="P240" s="8">
        <v>3280.6</v>
      </c>
      <c r="Q240" s="5">
        <v>18</v>
      </c>
      <c r="R240" s="5">
        <f t="shared" si="7"/>
        <v>590.50799999999992</v>
      </c>
      <c r="S240" s="5">
        <f t="shared" si="8"/>
        <v>3871.1079999999997</v>
      </c>
      <c r="T240" s="8">
        <v>0</v>
      </c>
      <c r="U240" s="8" t="s">
        <v>31</v>
      </c>
      <c r="V240" s="8" t="str">
        <f>IF(F240="","",CHOOSE(INT(MOD(MONTH(S247)-7,12)/3)+1,"Q1","Q2","Q3","Q4"))</f>
        <v>Q1</v>
      </c>
      <c r="W240" s="9" t="s">
        <v>227</v>
      </c>
    </row>
    <row r="241" spans="1:23" ht="22.5" customHeight="1" x14ac:dyDescent="0.25">
      <c r="A241">
        <v>1287</v>
      </c>
      <c r="B241" t="s">
        <v>23</v>
      </c>
      <c r="C241" s="7" t="s">
        <v>750</v>
      </c>
      <c r="D241" s="8" t="s">
        <v>25</v>
      </c>
      <c r="E241" s="8" t="s">
        <v>714</v>
      </c>
      <c r="F241" s="15" t="s">
        <v>751</v>
      </c>
      <c r="G241" s="8" t="s">
        <v>752</v>
      </c>
      <c r="H241" s="8" t="s">
        <v>753</v>
      </c>
      <c r="I241" s="8" t="s">
        <v>28</v>
      </c>
      <c r="J241" s="8" t="s">
        <v>28</v>
      </c>
      <c r="K241" s="8" t="s">
        <v>29</v>
      </c>
      <c r="L241" s="8" t="s">
        <v>754</v>
      </c>
      <c r="M241" s="8" t="s">
        <v>755</v>
      </c>
      <c r="N241" s="8" t="s">
        <v>28</v>
      </c>
      <c r="O241" s="8" t="s">
        <v>28</v>
      </c>
      <c r="P241" s="8">
        <v>1007.8599999999999</v>
      </c>
      <c r="Q241" s="5">
        <v>0.15</v>
      </c>
      <c r="R241" s="5">
        <f t="shared" si="7"/>
        <v>1.51179</v>
      </c>
      <c r="S241" s="5">
        <f t="shared" si="8"/>
        <v>1009.3717899999999</v>
      </c>
      <c r="T241" s="8">
        <v>1007.86</v>
      </c>
      <c r="U241" s="8" t="s">
        <v>327</v>
      </c>
      <c r="V241" s="8" t="str">
        <f>IF(F241="","",CHOOSE(INT(MOD(MONTH(S248)-7,12)/3)+1,"Q1","Q2","Q3","Q4"))</f>
        <v>Q1</v>
      </c>
      <c r="W241" s="9" t="s">
        <v>227</v>
      </c>
    </row>
    <row r="242" spans="1:23" ht="22.5" customHeight="1" x14ac:dyDescent="0.25">
      <c r="A242">
        <v>1289</v>
      </c>
      <c r="B242" t="s">
        <v>23</v>
      </c>
      <c r="C242" s="7" t="s">
        <v>756</v>
      </c>
      <c r="D242" s="8" t="s">
        <v>25</v>
      </c>
      <c r="E242" s="8" t="s">
        <v>700</v>
      </c>
      <c r="F242" s="15" t="s">
        <v>751</v>
      </c>
      <c r="G242" s="8" t="s">
        <v>752</v>
      </c>
      <c r="H242" s="8" t="s">
        <v>752</v>
      </c>
      <c r="I242" s="8" t="s">
        <v>28</v>
      </c>
      <c r="J242" s="8" t="s">
        <v>28</v>
      </c>
      <c r="K242" s="8" t="s">
        <v>29</v>
      </c>
      <c r="L242" s="8" t="s">
        <v>754</v>
      </c>
      <c r="M242" s="8" t="s">
        <v>757</v>
      </c>
      <c r="N242" s="8" t="s">
        <v>28</v>
      </c>
      <c r="O242" s="8" t="s">
        <v>758</v>
      </c>
      <c r="P242" s="8">
        <v>63779</v>
      </c>
      <c r="Q242" s="5">
        <v>0.18</v>
      </c>
      <c r="R242" s="5">
        <f t="shared" si="7"/>
        <v>114.80219999999998</v>
      </c>
      <c r="S242" s="5">
        <f t="shared" si="8"/>
        <v>63893.802199999998</v>
      </c>
      <c r="T242" s="8">
        <v>63779</v>
      </c>
      <c r="U242" s="8" t="s">
        <v>327</v>
      </c>
      <c r="V242" s="8" t="str">
        <f>IF(F242="","",CHOOSE(INT(MOD(MONTH(S249)-7,12)/3)+1,"Q1","Q2","Q3","Q4"))</f>
        <v>Q3</v>
      </c>
      <c r="W242" s="9" t="s">
        <v>227</v>
      </c>
    </row>
    <row r="243" spans="1:23" ht="22.5" customHeight="1" x14ac:dyDescent="0.25">
      <c r="A243">
        <v>1294</v>
      </c>
      <c r="B243" t="s">
        <v>23</v>
      </c>
      <c r="C243" s="7" t="s">
        <v>775</v>
      </c>
      <c r="D243" s="8" t="s">
        <v>25</v>
      </c>
      <c r="E243" s="8" t="s">
        <v>747</v>
      </c>
      <c r="F243" s="19">
        <v>46285</v>
      </c>
      <c r="G243" s="8" t="s">
        <v>752</v>
      </c>
      <c r="H243" s="8" t="s">
        <v>753</v>
      </c>
      <c r="I243" s="8" t="s">
        <v>28</v>
      </c>
      <c r="J243" s="8" t="s">
        <v>28</v>
      </c>
      <c r="K243" s="8" t="s">
        <v>29</v>
      </c>
      <c r="L243" s="8" t="s">
        <v>754</v>
      </c>
      <c r="M243" s="8" t="s">
        <v>760</v>
      </c>
      <c r="N243" s="8" t="s">
        <v>28</v>
      </c>
      <c r="O243" s="8" t="s">
        <v>777</v>
      </c>
      <c r="P243" s="8">
        <v>6336.5</v>
      </c>
      <c r="Q243" s="5">
        <v>0.15</v>
      </c>
      <c r="R243" s="5">
        <f t="shared" si="7"/>
        <v>9.5047499999999996</v>
      </c>
      <c r="S243" s="5">
        <f t="shared" si="8"/>
        <v>6346.0047500000001</v>
      </c>
      <c r="T243" s="8">
        <v>6336.5</v>
      </c>
      <c r="U243" s="8" t="s">
        <v>327</v>
      </c>
      <c r="V243" s="8" t="str">
        <f>IF(F243="","",CHOOSE(INT(MOD(MONTH(S250)-7,12)/3)+1,"Q1","Q2","Q3","Q4"))</f>
        <v>Q2</v>
      </c>
      <c r="W243" s="9" t="s">
        <v>227</v>
      </c>
    </row>
    <row r="244" spans="1:23" ht="22.5" customHeight="1" x14ac:dyDescent="0.25">
      <c r="A244">
        <v>1255</v>
      </c>
      <c r="B244" t="s">
        <v>23</v>
      </c>
      <c r="C244" s="7" t="s">
        <v>673</v>
      </c>
      <c r="D244" s="8" t="s">
        <v>25</v>
      </c>
      <c r="E244" s="8" t="s">
        <v>646</v>
      </c>
      <c r="F244" s="15" t="s">
        <v>615</v>
      </c>
      <c r="G244" s="8" t="s">
        <v>28</v>
      </c>
      <c r="H244" s="8" t="s">
        <v>28</v>
      </c>
      <c r="I244" s="8" t="s">
        <v>28</v>
      </c>
      <c r="J244" s="8" t="s">
        <v>28</v>
      </c>
      <c r="K244" s="8" t="s">
        <v>29</v>
      </c>
      <c r="L244" s="8" t="s">
        <v>28</v>
      </c>
      <c r="M244" s="8" t="s">
        <v>28</v>
      </c>
      <c r="N244" s="8" t="s">
        <v>28</v>
      </c>
      <c r="O244" s="8" t="s">
        <v>674</v>
      </c>
      <c r="P244" s="8">
        <v>3280.6</v>
      </c>
      <c r="Q244" s="5">
        <v>18</v>
      </c>
      <c r="R244" s="5">
        <f t="shared" si="7"/>
        <v>590.50799999999992</v>
      </c>
      <c r="S244" s="5">
        <f t="shared" si="8"/>
        <v>3871.1079999999997</v>
      </c>
      <c r="T244" s="8">
        <v>0</v>
      </c>
      <c r="U244" s="8" t="s">
        <v>31</v>
      </c>
      <c r="V244" s="8" t="str">
        <f>IF(F244="","",CHOOSE(INT(MOD(MONTH(S251)-7,12)/3)+1,"Q1","Q2","Q3","Q4"))</f>
        <v>Q3</v>
      </c>
      <c r="W244" s="9" t="s">
        <v>227</v>
      </c>
    </row>
    <row r="245" spans="1:23" ht="22.5" customHeight="1" x14ac:dyDescent="0.25">
      <c r="A245">
        <v>786</v>
      </c>
      <c r="B245" t="s">
        <v>23</v>
      </c>
      <c r="C245" s="7" t="s">
        <v>197</v>
      </c>
      <c r="D245" s="8" t="s">
        <v>40</v>
      </c>
      <c r="E245" s="8" t="s">
        <v>198</v>
      </c>
      <c r="F245" s="15" t="s">
        <v>179</v>
      </c>
      <c r="G245" s="8" t="s">
        <v>28</v>
      </c>
      <c r="H245" s="8" t="s">
        <v>28</v>
      </c>
      <c r="I245" s="8" t="s">
        <v>28</v>
      </c>
      <c r="J245" s="8" t="s">
        <v>28</v>
      </c>
      <c r="K245" s="8" t="s">
        <v>29</v>
      </c>
      <c r="L245" s="8" t="s">
        <v>28</v>
      </c>
      <c r="M245" s="8" t="s">
        <v>28</v>
      </c>
      <c r="N245" s="8" t="s">
        <v>28</v>
      </c>
      <c r="O245" s="8" t="s">
        <v>28</v>
      </c>
      <c r="P245" s="8">
        <v>146102</v>
      </c>
      <c r="Q245" s="5">
        <v>0</v>
      </c>
      <c r="R245" s="5">
        <f t="shared" si="7"/>
        <v>0</v>
      </c>
      <c r="S245" s="5">
        <f t="shared" si="8"/>
        <v>146102</v>
      </c>
      <c r="T245" s="8">
        <v>0</v>
      </c>
      <c r="U245" s="8" t="s">
        <v>31</v>
      </c>
      <c r="V245" s="8" t="str">
        <f t="shared" ref="V194:V257" si="9">IF(F245="","",CHOOSE(INT(MOD(MONTH(S252)-7,12)/3)+1,"Q1","Q2","Q3","Q4"))</f>
        <v>Q3</v>
      </c>
      <c r="W245" s="9" t="s">
        <v>43</v>
      </c>
    </row>
    <row r="246" spans="1:23" ht="22.5" customHeight="1" x14ac:dyDescent="0.25">
      <c r="A246">
        <v>848</v>
      </c>
      <c r="B246" t="s">
        <v>23</v>
      </c>
      <c r="C246" s="7" t="s">
        <v>206</v>
      </c>
      <c r="D246" s="8" t="s">
        <v>40</v>
      </c>
      <c r="E246" s="8" t="s">
        <v>200</v>
      </c>
      <c r="F246" s="15" t="s">
        <v>179</v>
      </c>
      <c r="G246" s="8" t="s">
        <v>28</v>
      </c>
      <c r="H246" s="8" t="s">
        <v>28</v>
      </c>
      <c r="I246" s="8" t="s">
        <v>28</v>
      </c>
      <c r="J246" s="8" t="s">
        <v>28</v>
      </c>
      <c r="K246" s="8" t="s">
        <v>29</v>
      </c>
      <c r="L246" s="8" t="s">
        <v>28</v>
      </c>
      <c r="M246" s="8" t="s">
        <v>28</v>
      </c>
      <c r="N246" s="8" t="s">
        <v>28</v>
      </c>
      <c r="O246" s="8" t="s">
        <v>28</v>
      </c>
      <c r="P246" s="8">
        <v>138446</v>
      </c>
      <c r="Q246" s="5">
        <v>0</v>
      </c>
      <c r="R246" s="5">
        <f t="shared" si="7"/>
        <v>0</v>
      </c>
      <c r="S246" s="5">
        <f t="shared" si="8"/>
        <v>138446</v>
      </c>
      <c r="T246" s="8">
        <v>0</v>
      </c>
      <c r="U246" s="8" t="s">
        <v>31</v>
      </c>
      <c r="V246" s="8" t="str">
        <f t="shared" si="9"/>
        <v>Q3</v>
      </c>
      <c r="W246" s="9" t="s">
        <v>43</v>
      </c>
    </row>
    <row r="247" spans="1:23" ht="22.5" customHeight="1" x14ac:dyDescent="0.25">
      <c r="A247">
        <v>884</v>
      </c>
      <c r="B247" t="s">
        <v>23</v>
      </c>
      <c r="C247" s="7" t="s">
        <v>212</v>
      </c>
      <c r="D247" s="8" t="s">
        <v>40</v>
      </c>
      <c r="E247" s="8" t="s">
        <v>213</v>
      </c>
      <c r="F247" s="15" t="s">
        <v>179</v>
      </c>
      <c r="G247" s="8" t="s">
        <v>28</v>
      </c>
      <c r="H247" s="8" t="s">
        <v>28</v>
      </c>
      <c r="I247" s="8" t="s">
        <v>28</v>
      </c>
      <c r="J247" s="8" t="s">
        <v>28</v>
      </c>
      <c r="K247" s="8" t="s">
        <v>29</v>
      </c>
      <c r="L247" s="8" t="s">
        <v>28</v>
      </c>
      <c r="M247" s="8" t="s">
        <v>28</v>
      </c>
      <c r="N247" s="8" t="s">
        <v>28</v>
      </c>
      <c r="O247" s="8" t="s">
        <v>28</v>
      </c>
      <c r="P247" s="8">
        <v>15950</v>
      </c>
      <c r="Q247" s="5">
        <v>0</v>
      </c>
      <c r="R247" s="5">
        <f t="shared" si="7"/>
        <v>0</v>
      </c>
      <c r="S247" s="5">
        <f t="shared" si="8"/>
        <v>15950</v>
      </c>
      <c r="T247" s="8">
        <v>0</v>
      </c>
      <c r="U247" s="8" t="s">
        <v>31</v>
      </c>
      <c r="V247" s="8" t="str">
        <f t="shared" si="9"/>
        <v>Q3</v>
      </c>
      <c r="W247" s="9" t="s">
        <v>43</v>
      </c>
    </row>
    <row r="248" spans="1:23" ht="22.5" customHeight="1" x14ac:dyDescent="0.25">
      <c r="A248">
        <v>907</v>
      </c>
      <c r="B248" t="s">
        <v>23</v>
      </c>
      <c r="C248" s="7" t="s">
        <v>216</v>
      </c>
      <c r="D248" s="8" t="s">
        <v>40</v>
      </c>
      <c r="E248" s="8" t="s">
        <v>213</v>
      </c>
      <c r="F248" s="15" t="s">
        <v>179</v>
      </c>
      <c r="G248" s="8" t="s">
        <v>28</v>
      </c>
      <c r="H248" s="8" t="s">
        <v>28</v>
      </c>
      <c r="I248" s="8" t="s">
        <v>28</v>
      </c>
      <c r="J248" s="8" t="s">
        <v>28</v>
      </c>
      <c r="K248" s="8" t="s">
        <v>29</v>
      </c>
      <c r="L248" s="8" t="s">
        <v>28</v>
      </c>
      <c r="M248" s="8" t="s">
        <v>28</v>
      </c>
      <c r="N248" s="8" t="s">
        <v>28</v>
      </c>
      <c r="O248" s="8" t="s">
        <v>28</v>
      </c>
      <c r="P248" s="8">
        <v>118900</v>
      </c>
      <c r="Q248" s="5">
        <v>0</v>
      </c>
      <c r="R248" s="5">
        <f t="shared" si="7"/>
        <v>0</v>
      </c>
      <c r="S248" s="5">
        <f t="shared" si="8"/>
        <v>118900</v>
      </c>
      <c r="T248" s="8">
        <v>0</v>
      </c>
      <c r="U248" s="8" t="s">
        <v>31</v>
      </c>
      <c r="V248" s="8" t="str">
        <f t="shared" si="9"/>
        <v>Q4</v>
      </c>
      <c r="W248" s="9" t="s">
        <v>43</v>
      </c>
    </row>
    <row r="249" spans="1:23" ht="22.5" customHeight="1" x14ac:dyDescent="0.25">
      <c r="A249">
        <v>1139</v>
      </c>
      <c r="B249" t="s">
        <v>23</v>
      </c>
      <c r="C249" s="7" t="s">
        <v>402</v>
      </c>
      <c r="D249" s="8" t="s">
        <v>40</v>
      </c>
      <c r="E249" s="8" t="s">
        <v>273</v>
      </c>
      <c r="F249" s="15" t="s">
        <v>403</v>
      </c>
      <c r="G249" s="8" t="s">
        <v>28</v>
      </c>
      <c r="H249" s="8" t="s">
        <v>28</v>
      </c>
      <c r="I249" s="8" t="s">
        <v>28</v>
      </c>
      <c r="J249" s="8" t="s">
        <v>28</v>
      </c>
      <c r="K249" s="8" t="s">
        <v>29</v>
      </c>
      <c r="L249" s="8" t="s">
        <v>28</v>
      </c>
      <c r="M249" s="8" t="s">
        <v>28</v>
      </c>
      <c r="N249" s="8" t="s">
        <v>28</v>
      </c>
      <c r="O249" s="8" t="s">
        <v>28</v>
      </c>
      <c r="P249" s="8">
        <v>18342.5</v>
      </c>
      <c r="Q249" s="5">
        <v>0</v>
      </c>
      <c r="R249" s="5">
        <f t="shared" si="7"/>
        <v>0</v>
      </c>
      <c r="S249" s="5">
        <f t="shared" si="8"/>
        <v>18342.5</v>
      </c>
      <c r="T249" s="8">
        <v>0</v>
      </c>
      <c r="U249" s="8" t="s">
        <v>31</v>
      </c>
      <c r="V249" s="8" t="str">
        <f t="shared" si="9"/>
        <v>Q2</v>
      </c>
      <c r="W249" s="9" t="s">
        <v>247</v>
      </c>
    </row>
    <row r="250" spans="1:23" ht="22.5" customHeight="1" x14ac:dyDescent="0.25">
      <c r="A250">
        <v>1142</v>
      </c>
      <c r="B250" t="s">
        <v>23</v>
      </c>
      <c r="C250" s="7" t="s">
        <v>409</v>
      </c>
      <c r="D250" s="8" t="s">
        <v>40</v>
      </c>
      <c r="E250" s="8" t="s">
        <v>299</v>
      </c>
      <c r="F250" s="15" t="s">
        <v>410</v>
      </c>
      <c r="G250" s="8" t="s">
        <v>28</v>
      </c>
      <c r="H250" s="8" t="s">
        <v>28</v>
      </c>
      <c r="I250" s="8" t="s">
        <v>28</v>
      </c>
      <c r="J250" s="8" t="s">
        <v>28</v>
      </c>
      <c r="K250" s="8" t="s">
        <v>29</v>
      </c>
      <c r="L250" s="8" t="s">
        <v>28</v>
      </c>
      <c r="M250" s="8" t="s">
        <v>28</v>
      </c>
      <c r="N250" s="8" t="s">
        <v>28</v>
      </c>
      <c r="O250" s="8" t="s">
        <v>28</v>
      </c>
      <c r="P250" s="8">
        <v>16006.84</v>
      </c>
      <c r="Q250" s="5">
        <v>0</v>
      </c>
      <c r="R250" s="5">
        <f t="shared" si="7"/>
        <v>0</v>
      </c>
      <c r="S250" s="5">
        <f t="shared" si="8"/>
        <v>16006.84</v>
      </c>
      <c r="T250" s="8">
        <v>0</v>
      </c>
      <c r="U250" s="8" t="s">
        <v>31</v>
      </c>
      <c r="V250" s="8" t="str">
        <f t="shared" si="9"/>
        <v>Q1</v>
      </c>
      <c r="W250" s="9" t="s">
        <v>247</v>
      </c>
    </row>
    <row r="251" spans="1:23" ht="22.5" customHeight="1" x14ac:dyDescent="0.25">
      <c r="A251">
        <v>1143</v>
      </c>
      <c r="B251" t="s">
        <v>23</v>
      </c>
      <c r="C251" s="7" t="s">
        <v>411</v>
      </c>
      <c r="D251" s="8" t="s">
        <v>40</v>
      </c>
      <c r="E251" s="8" t="s">
        <v>335</v>
      </c>
      <c r="F251" s="15" t="s">
        <v>412</v>
      </c>
      <c r="G251" s="8" t="s">
        <v>28</v>
      </c>
      <c r="H251" s="8" t="s">
        <v>28</v>
      </c>
      <c r="I251" s="8" t="s">
        <v>28</v>
      </c>
      <c r="J251" s="8" t="s">
        <v>28</v>
      </c>
      <c r="K251" s="8" t="s">
        <v>29</v>
      </c>
      <c r="L251" s="8" t="s">
        <v>28</v>
      </c>
      <c r="M251" s="8" t="s">
        <v>28</v>
      </c>
      <c r="N251" s="8" t="s">
        <v>28</v>
      </c>
      <c r="O251" s="8" t="s">
        <v>28</v>
      </c>
      <c r="P251" s="8">
        <v>11774</v>
      </c>
      <c r="Q251" s="5">
        <v>0</v>
      </c>
      <c r="R251" s="5">
        <f t="shared" si="7"/>
        <v>0</v>
      </c>
      <c r="S251" s="5">
        <f t="shared" si="8"/>
        <v>11774</v>
      </c>
      <c r="T251" s="8">
        <v>0</v>
      </c>
      <c r="U251" s="8" t="s">
        <v>31</v>
      </c>
      <c r="V251" s="8" t="str">
        <f t="shared" si="9"/>
        <v>Q4</v>
      </c>
      <c r="W251" s="9" t="s">
        <v>247</v>
      </c>
    </row>
    <row r="252" spans="1:23" ht="22.5" customHeight="1" x14ac:dyDescent="0.25">
      <c r="A252">
        <v>1145</v>
      </c>
      <c r="B252" t="s">
        <v>23</v>
      </c>
      <c r="C252" s="7" t="s">
        <v>415</v>
      </c>
      <c r="D252" s="8" t="s">
        <v>40</v>
      </c>
      <c r="E252" s="8" t="s">
        <v>273</v>
      </c>
      <c r="F252" s="15" t="s">
        <v>416</v>
      </c>
      <c r="G252" s="8" t="s">
        <v>28</v>
      </c>
      <c r="H252" s="8" t="s">
        <v>28</v>
      </c>
      <c r="I252" s="8" t="s">
        <v>28</v>
      </c>
      <c r="J252" s="8" t="s">
        <v>28</v>
      </c>
      <c r="K252" s="8" t="s">
        <v>29</v>
      </c>
      <c r="L252" s="8" t="s">
        <v>28</v>
      </c>
      <c r="M252" s="8" t="s">
        <v>28</v>
      </c>
      <c r="N252" s="8" t="s">
        <v>28</v>
      </c>
      <c r="O252" s="8" t="s">
        <v>28</v>
      </c>
      <c r="P252" s="8">
        <v>60720</v>
      </c>
      <c r="Q252" s="5">
        <v>0</v>
      </c>
      <c r="R252" s="5">
        <f t="shared" si="7"/>
        <v>0</v>
      </c>
      <c r="S252" s="5">
        <f t="shared" si="8"/>
        <v>60720</v>
      </c>
      <c r="T252" s="8">
        <v>0</v>
      </c>
      <c r="U252" s="8" t="s">
        <v>31</v>
      </c>
      <c r="V252" s="8" t="str">
        <f t="shared" si="9"/>
        <v>Q2</v>
      </c>
      <c r="W252" s="9" t="s">
        <v>247</v>
      </c>
    </row>
    <row r="253" spans="1:23" ht="22.5" customHeight="1" x14ac:dyDescent="0.25">
      <c r="A253">
        <v>1147</v>
      </c>
      <c r="B253" t="s">
        <v>23</v>
      </c>
      <c r="C253" s="7" t="s">
        <v>418</v>
      </c>
      <c r="D253" s="8" t="s">
        <v>40</v>
      </c>
      <c r="E253" s="8" t="s">
        <v>273</v>
      </c>
      <c r="F253" s="15" t="s">
        <v>419</v>
      </c>
      <c r="G253" s="8" t="s">
        <v>28</v>
      </c>
      <c r="H253" s="8" t="s">
        <v>28</v>
      </c>
      <c r="I253" s="8" t="s">
        <v>28</v>
      </c>
      <c r="J253" s="8" t="s">
        <v>28</v>
      </c>
      <c r="K253" s="8" t="s">
        <v>29</v>
      </c>
      <c r="L253" s="8" t="s">
        <v>28</v>
      </c>
      <c r="M253" s="8" t="s">
        <v>28</v>
      </c>
      <c r="N253" s="8" t="s">
        <v>28</v>
      </c>
      <c r="O253" s="8" t="s">
        <v>28</v>
      </c>
      <c r="P253" s="8">
        <v>18342.5</v>
      </c>
      <c r="Q253" s="5">
        <v>0</v>
      </c>
      <c r="R253" s="5">
        <f t="shared" si="7"/>
        <v>0</v>
      </c>
      <c r="S253" s="5">
        <f t="shared" si="8"/>
        <v>18342.5</v>
      </c>
      <c r="T253" s="8">
        <v>0</v>
      </c>
      <c r="U253" s="8" t="s">
        <v>31</v>
      </c>
      <c r="V253" s="8" t="str">
        <f t="shared" si="9"/>
        <v>Q4</v>
      </c>
      <c r="W253" s="9" t="s">
        <v>247</v>
      </c>
    </row>
    <row r="254" spans="1:23" ht="22.5" customHeight="1" x14ac:dyDescent="0.25">
      <c r="A254">
        <v>1146</v>
      </c>
      <c r="B254" t="s">
        <v>23</v>
      </c>
      <c r="C254" s="7" t="s">
        <v>417</v>
      </c>
      <c r="D254" s="8" t="s">
        <v>25</v>
      </c>
      <c r="E254" s="8" t="s">
        <v>390</v>
      </c>
      <c r="F254" s="15" t="s">
        <v>345</v>
      </c>
      <c r="G254" s="8" t="s">
        <v>28</v>
      </c>
      <c r="H254" s="8" t="s">
        <v>28</v>
      </c>
      <c r="I254" s="8" t="s">
        <v>28</v>
      </c>
      <c r="J254" s="8" t="s">
        <v>28</v>
      </c>
      <c r="K254" s="8" t="s">
        <v>29</v>
      </c>
      <c r="L254" s="8" t="s">
        <v>28</v>
      </c>
      <c r="M254" s="8" t="s">
        <v>28</v>
      </c>
      <c r="N254" s="8" t="s">
        <v>28</v>
      </c>
      <c r="O254" s="8" t="s">
        <v>202</v>
      </c>
      <c r="P254" s="8">
        <v>7050</v>
      </c>
      <c r="Q254" s="5">
        <v>15</v>
      </c>
      <c r="R254" s="5">
        <f t="shared" ref="R254:R316" si="10">P254/100*Q254</f>
        <v>1057.5</v>
      </c>
      <c r="S254" s="5">
        <f t="shared" si="8"/>
        <v>8107.5</v>
      </c>
      <c r="T254" s="8">
        <v>0</v>
      </c>
      <c r="U254" s="8" t="s">
        <v>31</v>
      </c>
      <c r="V254" s="8" t="str">
        <f t="shared" si="9"/>
        <v>Q3</v>
      </c>
      <c r="W254" s="9" t="s">
        <v>32</v>
      </c>
    </row>
    <row r="255" spans="1:23" ht="22.5" customHeight="1" x14ac:dyDescent="0.25">
      <c r="A255">
        <v>1128</v>
      </c>
      <c r="B255" t="s">
        <v>23</v>
      </c>
      <c r="C255" s="7" t="s">
        <v>370</v>
      </c>
      <c r="D255" s="8" t="s">
        <v>25</v>
      </c>
      <c r="E255" s="8" t="s">
        <v>294</v>
      </c>
      <c r="F255" s="15" t="s">
        <v>371</v>
      </c>
      <c r="G255" s="8" t="s">
        <v>28</v>
      </c>
      <c r="H255" s="8" t="s">
        <v>28</v>
      </c>
      <c r="I255" s="8" t="s">
        <v>28</v>
      </c>
      <c r="J255" s="8" t="s">
        <v>28</v>
      </c>
      <c r="K255" s="8" t="s">
        <v>29</v>
      </c>
      <c r="L255" s="8" t="s">
        <v>28</v>
      </c>
      <c r="M255" s="8" t="s">
        <v>28</v>
      </c>
      <c r="N255" s="8" t="s">
        <v>28</v>
      </c>
      <c r="O255" s="8" t="s">
        <v>372</v>
      </c>
      <c r="P255" s="8">
        <v>1960</v>
      </c>
      <c r="Q255" s="5">
        <v>18</v>
      </c>
      <c r="R255" s="5">
        <f t="shared" si="10"/>
        <v>352.8</v>
      </c>
      <c r="S255" s="5">
        <f t="shared" si="8"/>
        <v>2312.8000000000002</v>
      </c>
      <c r="T255" s="8">
        <v>0</v>
      </c>
      <c r="U255" s="8" t="s">
        <v>31</v>
      </c>
      <c r="V255" s="8" t="str">
        <f t="shared" si="9"/>
        <v>Q4</v>
      </c>
      <c r="W255" s="9" t="s">
        <v>32</v>
      </c>
    </row>
    <row r="256" spans="1:23" ht="22.5" customHeight="1" x14ac:dyDescent="0.25">
      <c r="A256">
        <v>1131</v>
      </c>
      <c r="B256" t="s">
        <v>23</v>
      </c>
      <c r="C256" s="7" t="s">
        <v>378</v>
      </c>
      <c r="D256" s="8" t="s">
        <v>25</v>
      </c>
      <c r="E256" s="8" t="s">
        <v>294</v>
      </c>
      <c r="F256" s="15" t="s">
        <v>379</v>
      </c>
      <c r="G256" s="8" t="s">
        <v>28</v>
      </c>
      <c r="H256" s="8" t="s">
        <v>28</v>
      </c>
      <c r="I256" s="8" t="s">
        <v>28</v>
      </c>
      <c r="J256" s="8" t="s">
        <v>28</v>
      </c>
      <c r="K256" s="8" t="s">
        <v>29</v>
      </c>
      <c r="L256" s="8" t="s">
        <v>28</v>
      </c>
      <c r="M256" s="8" t="s">
        <v>28</v>
      </c>
      <c r="N256" s="8" t="s">
        <v>28</v>
      </c>
      <c r="O256" s="8" t="s">
        <v>380</v>
      </c>
      <c r="P256" s="8">
        <v>2450</v>
      </c>
      <c r="Q256" s="5">
        <v>18</v>
      </c>
      <c r="R256" s="5">
        <f t="shared" si="10"/>
        <v>441</v>
      </c>
      <c r="S256" s="5">
        <f t="shared" si="8"/>
        <v>2891</v>
      </c>
      <c r="T256" s="8">
        <v>0</v>
      </c>
      <c r="U256" s="8" t="s">
        <v>31</v>
      </c>
      <c r="V256" s="8" t="str">
        <f t="shared" si="9"/>
        <v>Q3</v>
      </c>
      <c r="W256" s="9" t="s">
        <v>32</v>
      </c>
    </row>
    <row r="257" spans="1:23" ht="22.5" customHeight="1" x14ac:dyDescent="0.25">
      <c r="A257">
        <v>1134</v>
      </c>
      <c r="B257" t="s">
        <v>23</v>
      </c>
      <c r="C257" s="7" t="s">
        <v>386</v>
      </c>
      <c r="D257" s="8" t="s">
        <v>25</v>
      </c>
      <c r="E257" s="8" t="s">
        <v>270</v>
      </c>
      <c r="F257" s="15" t="s">
        <v>387</v>
      </c>
      <c r="G257" s="8" t="s">
        <v>28</v>
      </c>
      <c r="H257" s="8" t="s">
        <v>28</v>
      </c>
      <c r="I257" s="8" t="s">
        <v>28</v>
      </c>
      <c r="J257" s="8" t="s">
        <v>28</v>
      </c>
      <c r="K257" s="8" t="s">
        <v>29</v>
      </c>
      <c r="L257" s="8" t="s">
        <v>28</v>
      </c>
      <c r="M257" s="8" t="s">
        <v>28</v>
      </c>
      <c r="N257" s="8" t="s">
        <v>28</v>
      </c>
      <c r="O257" s="8" t="s">
        <v>388</v>
      </c>
      <c r="P257" s="8">
        <v>30825</v>
      </c>
      <c r="Q257" s="5">
        <v>18</v>
      </c>
      <c r="R257" s="5">
        <f t="shared" si="10"/>
        <v>5548.5</v>
      </c>
      <c r="S257" s="5">
        <f t="shared" si="8"/>
        <v>36373.5</v>
      </c>
      <c r="T257" s="8">
        <v>0</v>
      </c>
      <c r="U257" s="8" t="s">
        <v>31</v>
      </c>
      <c r="V257" s="8" t="str">
        <f t="shared" si="9"/>
        <v>Q1</v>
      </c>
      <c r="W257" s="9" t="s">
        <v>32</v>
      </c>
    </row>
    <row r="258" spans="1:23" ht="22.5" customHeight="1" x14ac:dyDescent="0.25">
      <c r="A258">
        <v>1135</v>
      </c>
      <c r="B258" t="s">
        <v>23</v>
      </c>
      <c r="C258" s="7" t="s">
        <v>389</v>
      </c>
      <c r="D258" s="8" t="s">
        <v>25</v>
      </c>
      <c r="E258" s="8" t="s">
        <v>390</v>
      </c>
      <c r="F258" s="15" t="s">
        <v>391</v>
      </c>
      <c r="G258" s="8" t="s">
        <v>28</v>
      </c>
      <c r="H258" s="8" t="s">
        <v>28</v>
      </c>
      <c r="I258" s="8" t="s">
        <v>28</v>
      </c>
      <c r="J258" s="8" t="s">
        <v>28</v>
      </c>
      <c r="K258" s="8" t="s">
        <v>29</v>
      </c>
      <c r="L258" s="8" t="s">
        <v>28</v>
      </c>
      <c r="M258" s="8" t="s">
        <v>28</v>
      </c>
      <c r="N258" s="8" t="s">
        <v>28</v>
      </c>
      <c r="O258" s="8" t="s">
        <v>392</v>
      </c>
      <c r="P258" s="8">
        <v>28319.599999999999</v>
      </c>
      <c r="Q258" s="5">
        <v>18</v>
      </c>
      <c r="R258" s="5">
        <f t="shared" si="10"/>
        <v>5097.5279999999993</v>
      </c>
      <c r="S258" s="5">
        <f t="shared" si="8"/>
        <v>33417.127999999997</v>
      </c>
      <c r="T258" s="8">
        <v>0</v>
      </c>
      <c r="U258" s="8" t="s">
        <v>31</v>
      </c>
      <c r="V258" s="8" t="str">
        <f t="shared" ref="V258:V321" si="11">IF(F258="","",CHOOSE(INT(MOD(MONTH(S265)-7,12)/3)+1,"Q1","Q2","Q3","Q4"))</f>
        <v>Q3</v>
      </c>
      <c r="W258" s="9" t="s">
        <v>32</v>
      </c>
    </row>
    <row r="259" spans="1:23" ht="22.5" customHeight="1" x14ac:dyDescent="0.25">
      <c r="A259">
        <v>1140</v>
      </c>
      <c r="B259" t="s">
        <v>23</v>
      </c>
      <c r="C259" s="7" t="s">
        <v>404</v>
      </c>
      <c r="D259" s="8" t="s">
        <v>25</v>
      </c>
      <c r="E259" s="8" t="s">
        <v>359</v>
      </c>
      <c r="F259" s="15" t="s">
        <v>405</v>
      </c>
      <c r="G259" s="8" t="s">
        <v>28</v>
      </c>
      <c r="H259" s="8" t="s">
        <v>28</v>
      </c>
      <c r="I259" s="8" t="s">
        <v>28</v>
      </c>
      <c r="J259" s="8" t="s">
        <v>28</v>
      </c>
      <c r="K259" s="8" t="s">
        <v>29</v>
      </c>
      <c r="L259" s="8" t="s">
        <v>28</v>
      </c>
      <c r="M259" s="8" t="s">
        <v>28</v>
      </c>
      <c r="N259" s="8" t="s">
        <v>28</v>
      </c>
      <c r="O259" s="8" t="s">
        <v>388</v>
      </c>
      <c r="P259" s="8">
        <v>13599</v>
      </c>
      <c r="Q259" s="5">
        <v>18</v>
      </c>
      <c r="R259" s="5">
        <f t="shared" si="10"/>
        <v>2447.8200000000002</v>
      </c>
      <c r="S259" s="5">
        <f t="shared" ref="S259:S316" si="12">P259+R259</f>
        <v>16046.82</v>
      </c>
      <c r="T259" s="8">
        <v>0</v>
      </c>
      <c r="U259" s="8" t="s">
        <v>31</v>
      </c>
      <c r="V259" s="8" t="str">
        <f t="shared" si="11"/>
        <v>Q2</v>
      </c>
      <c r="W259" s="9" t="s">
        <v>32</v>
      </c>
    </row>
    <row r="260" spans="1:23" ht="22.5" customHeight="1" x14ac:dyDescent="0.25">
      <c r="A260">
        <v>1141</v>
      </c>
      <c r="B260" t="s">
        <v>23</v>
      </c>
      <c r="C260" s="7" t="s">
        <v>406</v>
      </c>
      <c r="D260" s="8" t="s">
        <v>25</v>
      </c>
      <c r="E260" s="8" t="s">
        <v>294</v>
      </c>
      <c r="F260" s="15" t="s">
        <v>407</v>
      </c>
      <c r="G260" s="8" t="s">
        <v>28</v>
      </c>
      <c r="H260" s="8" t="s">
        <v>28</v>
      </c>
      <c r="I260" s="8" t="s">
        <v>28</v>
      </c>
      <c r="J260" s="8" t="s">
        <v>28</v>
      </c>
      <c r="K260" s="8" t="s">
        <v>29</v>
      </c>
      <c r="L260" s="8" t="s">
        <v>28</v>
      </c>
      <c r="M260" s="8" t="s">
        <v>28</v>
      </c>
      <c r="N260" s="8" t="s">
        <v>28</v>
      </c>
      <c r="O260" s="8" t="s">
        <v>408</v>
      </c>
      <c r="P260" s="8">
        <v>1635</v>
      </c>
      <c r="Q260" s="5">
        <v>18</v>
      </c>
      <c r="R260" s="5">
        <f t="shared" si="10"/>
        <v>294.3</v>
      </c>
      <c r="S260" s="5">
        <f t="shared" si="12"/>
        <v>1929.3</v>
      </c>
      <c r="T260" s="8">
        <v>0</v>
      </c>
      <c r="U260" s="8" t="s">
        <v>31</v>
      </c>
      <c r="V260" s="8" t="str">
        <f t="shared" si="11"/>
        <v>Q4</v>
      </c>
      <c r="W260" s="9" t="s">
        <v>32</v>
      </c>
    </row>
    <row r="261" spans="1:23" ht="22.5" customHeight="1" x14ac:dyDescent="0.25">
      <c r="A261">
        <v>1148</v>
      </c>
      <c r="B261" t="s">
        <v>23</v>
      </c>
      <c r="C261" s="7" t="s">
        <v>420</v>
      </c>
      <c r="D261" s="8" t="s">
        <v>25</v>
      </c>
      <c r="E261" s="8" t="s">
        <v>390</v>
      </c>
      <c r="F261" s="15" t="s">
        <v>421</v>
      </c>
      <c r="G261" s="8" t="s">
        <v>28</v>
      </c>
      <c r="H261" s="8" t="s">
        <v>28</v>
      </c>
      <c r="I261" s="8" t="s">
        <v>28</v>
      </c>
      <c r="J261" s="8" t="s">
        <v>28</v>
      </c>
      <c r="K261" s="8" t="s">
        <v>29</v>
      </c>
      <c r="L261" s="8" t="s">
        <v>28</v>
      </c>
      <c r="M261" s="8" t="s">
        <v>28</v>
      </c>
      <c r="N261" s="8" t="s">
        <v>28</v>
      </c>
      <c r="O261" s="8" t="s">
        <v>262</v>
      </c>
      <c r="P261" s="8">
        <v>5597.8</v>
      </c>
      <c r="Q261" s="5">
        <v>18</v>
      </c>
      <c r="R261" s="5">
        <f t="shared" si="10"/>
        <v>1007.604</v>
      </c>
      <c r="S261" s="5">
        <f t="shared" si="12"/>
        <v>6605.4040000000005</v>
      </c>
      <c r="T261" s="8">
        <v>0</v>
      </c>
      <c r="U261" s="8" t="s">
        <v>31</v>
      </c>
      <c r="V261" s="8" t="str">
        <f t="shared" si="11"/>
        <v>Q1</v>
      </c>
      <c r="W261" s="9" t="s">
        <v>32</v>
      </c>
    </row>
    <row r="262" spans="1:23" ht="22.5" customHeight="1" x14ac:dyDescent="0.25">
      <c r="A262">
        <v>1150</v>
      </c>
      <c r="B262" t="s">
        <v>23</v>
      </c>
      <c r="C262" s="7" t="s">
        <v>424</v>
      </c>
      <c r="D262" s="8" t="s">
        <v>25</v>
      </c>
      <c r="E262" s="8" t="s">
        <v>359</v>
      </c>
      <c r="F262" s="15" t="s">
        <v>425</v>
      </c>
      <c r="G262" s="8" t="s">
        <v>28</v>
      </c>
      <c r="H262" s="8" t="s">
        <v>28</v>
      </c>
      <c r="I262" s="8" t="s">
        <v>28</v>
      </c>
      <c r="J262" s="8" t="s">
        <v>28</v>
      </c>
      <c r="K262" s="8" t="s">
        <v>29</v>
      </c>
      <c r="L262" s="8" t="s">
        <v>28</v>
      </c>
      <c r="M262" s="8" t="s">
        <v>28</v>
      </c>
      <c r="N262" s="8" t="s">
        <v>28</v>
      </c>
      <c r="O262" s="8" t="s">
        <v>79</v>
      </c>
      <c r="P262" s="8">
        <v>2616</v>
      </c>
      <c r="Q262" s="5">
        <v>18</v>
      </c>
      <c r="R262" s="5">
        <f t="shared" si="10"/>
        <v>470.88</v>
      </c>
      <c r="S262" s="5">
        <f t="shared" si="12"/>
        <v>3086.88</v>
      </c>
      <c r="T262" s="8">
        <v>0</v>
      </c>
      <c r="U262" s="8" t="s">
        <v>31</v>
      </c>
      <c r="V262" s="8" t="str">
        <f t="shared" si="11"/>
        <v>Q3</v>
      </c>
      <c r="W262" s="9" t="s">
        <v>32</v>
      </c>
    </row>
    <row r="263" spans="1:23" ht="22.5" customHeight="1" x14ac:dyDescent="0.25">
      <c r="A263">
        <v>1151</v>
      </c>
      <c r="B263" t="s">
        <v>23</v>
      </c>
      <c r="C263" s="7" t="s">
        <v>426</v>
      </c>
      <c r="D263" s="8" t="s">
        <v>25</v>
      </c>
      <c r="E263" s="8" t="s">
        <v>270</v>
      </c>
      <c r="F263" s="15" t="s">
        <v>427</v>
      </c>
      <c r="G263" s="8" t="s">
        <v>28</v>
      </c>
      <c r="H263" s="8" t="s">
        <v>28</v>
      </c>
      <c r="I263" s="8" t="s">
        <v>28</v>
      </c>
      <c r="J263" s="8" t="s">
        <v>28</v>
      </c>
      <c r="K263" s="8" t="s">
        <v>29</v>
      </c>
      <c r="L263" s="8" t="s">
        <v>28</v>
      </c>
      <c r="M263" s="8" t="s">
        <v>28</v>
      </c>
      <c r="N263" s="8" t="s">
        <v>28</v>
      </c>
      <c r="O263" s="8" t="s">
        <v>428</v>
      </c>
      <c r="P263" s="8">
        <v>45250</v>
      </c>
      <c r="Q263" s="5">
        <v>18</v>
      </c>
      <c r="R263" s="5">
        <f t="shared" si="10"/>
        <v>8145</v>
      </c>
      <c r="S263" s="5">
        <f t="shared" si="12"/>
        <v>53395</v>
      </c>
      <c r="T263" s="8">
        <v>0</v>
      </c>
      <c r="U263" s="8" t="s">
        <v>31</v>
      </c>
      <c r="V263" s="8" t="str">
        <f t="shared" si="11"/>
        <v>Q1</v>
      </c>
      <c r="W263" s="9" t="s">
        <v>32</v>
      </c>
    </row>
    <row r="264" spans="1:23" ht="22.5" customHeight="1" x14ac:dyDescent="0.25">
      <c r="A264">
        <v>1154</v>
      </c>
      <c r="B264" t="s">
        <v>23</v>
      </c>
      <c r="C264" s="7" t="s">
        <v>433</v>
      </c>
      <c r="D264" s="8" t="s">
        <v>25</v>
      </c>
      <c r="E264" s="8" t="s">
        <v>270</v>
      </c>
      <c r="F264" s="15" t="s">
        <v>434</v>
      </c>
      <c r="G264" s="8" t="s">
        <v>28</v>
      </c>
      <c r="H264" s="8" t="s">
        <v>28</v>
      </c>
      <c r="I264" s="8" t="s">
        <v>28</v>
      </c>
      <c r="J264" s="8" t="s">
        <v>28</v>
      </c>
      <c r="K264" s="8" t="s">
        <v>29</v>
      </c>
      <c r="L264" s="8" t="s">
        <v>28</v>
      </c>
      <c r="M264" s="8" t="s">
        <v>28</v>
      </c>
      <c r="N264" s="8" t="s">
        <v>28</v>
      </c>
      <c r="O264" s="8" t="s">
        <v>160</v>
      </c>
      <c r="P264" s="8">
        <v>5420</v>
      </c>
      <c r="Q264" s="5">
        <v>18</v>
      </c>
      <c r="R264" s="5">
        <f t="shared" si="10"/>
        <v>975.6</v>
      </c>
      <c r="S264" s="5">
        <f t="shared" si="12"/>
        <v>6395.6</v>
      </c>
      <c r="T264" s="8">
        <v>0</v>
      </c>
      <c r="U264" s="8" t="s">
        <v>31</v>
      </c>
      <c r="V264" s="8" t="str">
        <f t="shared" si="11"/>
        <v>Q2</v>
      </c>
      <c r="W264" s="9" t="s">
        <v>32</v>
      </c>
    </row>
    <row r="265" spans="1:23" ht="22.5" customHeight="1" x14ac:dyDescent="0.25">
      <c r="A265">
        <v>1156</v>
      </c>
      <c r="B265" t="s">
        <v>23</v>
      </c>
      <c r="C265" s="7" t="s">
        <v>437</v>
      </c>
      <c r="D265" s="8" t="s">
        <v>25</v>
      </c>
      <c r="E265" s="8" t="s">
        <v>260</v>
      </c>
      <c r="F265" s="15" t="s">
        <v>434</v>
      </c>
      <c r="G265" s="8" t="s">
        <v>28</v>
      </c>
      <c r="H265" s="8" t="s">
        <v>28</v>
      </c>
      <c r="I265" s="8" t="s">
        <v>28</v>
      </c>
      <c r="J265" s="8" t="s">
        <v>28</v>
      </c>
      <c r="K265" s="8" t="s">
        <v>29</v>
      </c>
      <c r="L265" s="8" t="s">
        <v>28</v>
      </c>
      <c r="M265" s="8" t="s">
        <v>28</v>
      </c>
      <c r="N265" s="8" t="s">
        <v>28</v>
      </c>
      <c r="O265" s="8" t="s">
        <v>202</v>
      </c>
      <c r="P265" s="8">
        <v>7050</v>
      </c>
      <c r="Q265" s="5">
        <v>15</v>
      </c>
      <c r="R265" s="5">
        <f t="shared" si="10"/>
        <v>1057.5</v>
      </c>
      <c r="S265" s="5">
        <f t="shared" si="12"/>
        <v>8107.5</v>
      </c>
      <c r="T265" s="8">
        <v>0</v>
      </c>
      <c r="U265" s="8" t="s">
        <v>31</v>
      </c>
      <c r="V265" s="8" t="str">
        <f t="shared" si="11"/>
        <v>Q3</v>
      </c>
      <c r="W265" s="9" t="s">
        <v>32</v>
      </c>
    </row>
    <row r="266" spans="1:23" ht="22.5" customHeight="1" x14ac:dyDescent="0.25">
      <c r="A266">
        <v>1157</v>
      </c>
      <c r="B266" t="s">
        <v>23</v>
      </c>
      <c r="C266" s="7" t="s">
        <v>438</v>
      </c>
      <c r="D266" s="8" t="s">
        <v>25</v>
      </c>
      <c r="E266" s="8" t="s">
        <v>390</v>
      </c>
      <c r="F266" s="15" t="s">
        <v>434</v>
      </c>
      <c r="G266" s="8" t="s">
        <v>28</v>
      </c>
      <c r="H266" s="8" t="s">
        <v>28</v>
      </c>
      <c r="I266" s="8" t="s">
        <v>28</v>
      </c>
      <c r="J266" s="8" t="s">
        <v>28</v>
      </c>
      <c r="K266" s="8" t="s">
        <v>29</v>
      </c>
      <c r="L266" s="8" t="s">
        <v>28</v>
      </c>
      <c r="M266" s="8" t="s">
        <v>28</v>
      </c>
      <c r="N266" s="8" t="s">
        <v>28</v>
      </c>
      <c r="O266" s="8" t="s">
        <v>160</v>
      </c>
      <c r="P266" s="8">
        <v>8320</v>
      </c>
      <c r="Q266" s="5">
        <v>18</v>
      </c>
      <c r="R266" s="5">
        <f t="shared" si="10"/>
        <v>1497.6000000000001</v>
      </c>
      <c r="S266" s="5">
        <f t="shared" si="12"/>
        <v>9817.6</v>
      </c>
      <c r="T266" s="8">
        <v>0</v>
      </c>
      <c r="U266" s="8" t="s">
        <v>31</v>
      </c>
      <c r="V266" s="8" t="str">
        <f t="shared" si="11"/>
        <v>Q1</v>
      </c>
      <c r="W266" s="9" t="s">
        <v>32</v>
      </c>
    </row>
    <row r="267" spans="1:23" ht="22.5" customHeight="1" x14ac:dyDescent="0.25">
      <c r="A267">
        <v>1160</v>
      </c>
      <c r="B267" t="s">
        <v>23</v>
      </c>
      <c r="C267" s="7" t="s">
        <v>444</v>
      </c>
      <c r="D267" s="8" t="s">
        <v>25</v>
      </c>
      <c r="E267" s="8" t="s">
        <v>304</v>
      </c>
      <c r="F267" s="15" t="s">
        <v>434</v>
      </c>
      <c r="G267" s="8" t="s">
        <v>28</v>
      </c>
      <c r="H267" s="8" t="s">
        <v>28</v>
      </c>
      <c r="I267" s="8" t="s">
        <v>28</v>
      </c>
      <c r="J267" s="8" t="s">
        <v>28</v>
      </c>
      <c r="K267" s="8" t="s">
        <v>29</v>
      </c>
      <c r="L267" s="8" t="s">
        <v>28</v>
      </c>
      <c r="M267" s="8" t="s">
        <v>28</v>
      </c>
      <c r="N267" s="8" t="s">
        <v>28</v>
      </c>
      <c r="O267" s="8" t="s">
        <v>190</v>
      </c>
      <c r="P267" s="8">
        <v>100</v>
      </c>
      <c r="Q267" s="5">
        <v>18</v>
      </c>
      <c r="R267" s="5">
        <f t="shared" si="10"/>
        <v>18</v>
      </c>
      <c r="S267" s="5">
        <f t="shared" si="12"/>
        <v>118</v>
      </c>
      <c r="T267" s="8">
        <v>0</v>
      </c>
      <c r="U267" s="8" t="s">
        <v>31</v>
      </c>
      <c r="V267" s="8" t="str">
        <f t="shared" si="11"/>
        <v>Q3</v>
      </c>
      <c r="W267" s="9" t="s">
        <v>32</v>
      </c>
    </row>
    <row r="268" spans="1:23" ht="22.5" customHeight="1" x14ac:dyDescent="0.25">
      <c r="A268">
        <v>1161</v>
      </c>
      <c r="B268" t="s">
        <v>23</v>
      </c>
      <c r="C268" s="7" t="s">
        <v>445</v>
      </c>
      <c r="D268" s="8" t="s">
        <v>25</v>
      </c>
      <c r="E268" s="8" t="s">
        <v>260</v>
      </c>
      <c r="F268" s="15" t="s">
        <v>371</v>
      </c>
      <c r="G268" s="8" t="s">
        <v>28</v>
      </c>
      <c r="H268" s="8" t="s">
        <v>28</v>
      </c>
      <c r="I268" s="8" t="s">
        <v>28</v>
      </c>
      <c r="J268" s="8" t="s">
        <v>28</v>
      </c>
      <c r="K268" s="8" t="s">
        <v>29</v>
      </c>
      <c r="L268" s="8" t="s">
        <v>28</v>
      </c>
      <c r="M268" s="8" t="s">
        <v>28</v>
      </c>
      <c r="N268" s="8" t="s">
        <v>28</v>
      </c>
      <c r="O268" s="8" t="s">
        <v>388</v>
      </c>
      <c r="P268" s="8">
        <v>17224.5</v>
      </c>
      <c r="Q268" s="5">
        <v>18</v>
      </c>
      <c r="R268" s="5">
        <f t="shared" si="10"/>
        <v>3100.41</v>
      </c>
      <c r="S268" s="5">
        <f t="shared" si="12"/>
        <v>20324.91</v>
      </c>
      <c r="T268" s="8">
        <v>0</v>
      </c>
      <c r="U268" s="8" t="s">
        <v>31</v>
      </c>
      <c r="V268" s="8" t="str">
        <f t="shared" si="11"/>
        <v>Q1</v>
      </c>
      <c r="W268" s="9" t="s">
        <v>32</v>
      </c>
    </row>
    <row r="269" spans="1:23" ht="22.5" customHeight="1" x14ac:dyDescent="0.25">
      <c r="A269">
        <v>1164</v>
      </c>
      <c r="B269" t="s">
        <v>23</v>
      </c>
      <c r="C269" s="7" t="s">
        <v>452</v>
      </c>
      <c r="D269" s="8" t="s">
        <v>25</v>
      </c>
      <c r="E269" s="8" t="s">
        <v>359</v>
      </c>
      <c r="F269" s="15" t="s">
        <v>379</v>
      </c>
      <c r="G269" s="8" t="s">
        <v>28</v>
      </c>
      <c r="H269" s="8" t="s">
        <v>28</v>
      </c>
      <c r="I269" s="8" t="s">
        <v>28</v>
      </c>
      <c r="J269" s="8" t="s">
        <v>28</v>
      </c>
      <c r="K269" s="8" t="s">
        <v>29</v>
      </c>
      <c r="L269" s="8" t="s">
        <v>28</v>
      </c>
      <c r="M269" s="8" t="s">
        <v>28</v>
      </c>
      <c r="N269" s="8" t="s">
        <v>28</v>
      </c>
      <c r="O269" s="8" t="s">
        <v>453</v>
      </c>
      <c r="P269" s="8">
        <v>9938</v>
      </c>
      <c r="Q269" s="5">
        <v>18</v>
      </c>
      <c r="R269" s="5">
        <f t="shared" si="10"/>
        <v>1788.84</v>
      </c>
      <c r="S269" s="5">
        <f t="shared" si="12"/>
        <v>11726.84</v>
      </c>
      <c r="T269" s="8">
        <v>0</v>
      </c>
      <c r="U269" s="8" t="s">
        <v>31</v>
      </c>
      <c r="V269" s="8" t="str">
        <f t="shared" si="11"/>
        <v>Q3</v>
      </c>
      <c r="W269" s="9" t="s">
        <v>32</v>
      </c>
    </row>
    <row r="270" spans="1:23" ht="22.5" customHeight="1" x14ac:dyDescent="0.25">
      <c r="A270">
        <v>1166</v>
      </c>
      <c r="B270" t="s">
        <v>23</v>
      </c>
      <c r="C270" s="7" t="s">
        <v>456</v>
      </c>
      <c r="D270" s="8" t="s">
        <v>25</v>
      </c>
      <c r="E270" s="8" t="s">
        <v>270</v>
      </c>
      <c r="F270" s="15" t="s">
        <v>457</v>
      </c>
      <c r="G270" s="8" t="s">
        <v>28</v>
      </c>
      <c r="H270" s="8" t="s">
        <v>28</v>
      </c>
      <c r="I270" s="8" t="s">
        <v>28</v>
      </c>
      <c r="J270" s="8" t="s">
        <v>28</v>
      </c>
      <c r="K270" s="8" t="s">
        <v>29</v>
      </c>
      <c r="L270" s="8" t="s">
        <v>28</v>
      </c>
      <c r="M270" s="8" t="s">
        <v>28</v>
      </c>
      <c r="N270" s="8" t="s">
        <v>28</v>
      </c>
      <c r="O270" s="8" t="s">
        <v>458</v>
      </c>
      <c r="P270" s="8">
        <v>9770.6</v>
      </c>
      <c r="Q270" s="5">
        <v>18</v>
      </c>
      <c r="R270" s="5">
        <f t="shared" si="10"/>
        <v>1758.7080000000001</v>
      </c>
      <c r="S270" s="5">
        <f t="shared" si="12"/>
        <v>11529.308000000001</v>
      </c>
      <c r="T270" s="8">
        <v>0</v>
      </c>
      <c r="U270" s="8" t="s">
        <v>31</v>
      </c>
      <c r="V270" s="8" t="str">
        <f t="shared" si="11"/>
        <v>Q4</v>
      </c>
      <c r="W270" s="9" t="s">
        <v>32</v>
      </c>
    </row>
    <row r="271" spans="1:23" ht="22.5" customHeight="1" x14ac:dyDescent="0.25">
      <c r="A271">
        <v>1168</v>
      </c>
      <c r="B271" t="s">
        <v>23</v>
      </c>
      <c r="C271" s="7" t="s">
        <v>461</v>
      </c>
      <c r="D271" s="8" t="s">
        <v>25</v>
      </c>
      <c r="E271" s="8" t="s">
        <v>260</v>
      </c>
      <c r="F271" s="15" t="s">
        <v>462</v>
      </c>
      <c r="G271" s="8" t="s">
        <v>28</v>
      </c>
      <c r="H271" s="8" t="s">
        <v>28</v>
      </c>
      <c r="I271" s="8" t="s">
        <v>28</v>
      </c>
      <c r="J271" s="8" t="s">
        <v>28</v>
      </c>
      <c r="K271" s="8" t="s">
        <v>29</v>
      </c>
      <c r="L271" s="8" t="s">
        <v>28</v>
      </c>
      <c r="M271" s="8" t="s">
        <v>28</v>
      </c>
      <c r="N271" s="8" t="s">
        <v>28</v>
      </c>
      <c r="O271" s="8" t="s">
        <v>170</v>
      </c>
      <c r="P271" s="8">
        <v>16050</v>
      </c>
      <c r="Q271" s="5">
        <v>18</v>
      </c>
      <c r="R271" s="5">
        <f t="shared" si="10"/>
        <v>2889</v>
      </c>
      <c r="S271" s="5">
        <f t="shared" si="12"/>
        <v>18939</v>
      </c>
      <c r="T271" s="8">
        <v>0</v>
      </c>
      <c r="U271" s="8" t="s">
        <v>31</v>
      </c>
      <c r="V271" s="8" t="str">
        <f t="shared" si="11"/>
        <v>Q3</v>
      </c>
      <c r="W271" s="9" t="s">
        <v>32</v>
      </c>
    </row>
    <row r="272" spans="1:23" ht="22.5" customHeight="1" x14ac:dyDescent="0.25">
      <c r="A272">
        <v>941</v>
      </c>
      <c r="B272" t="s">
        <v>23</v>
      </c>
      <c r="C272" s="7" t="s">
        <v>220</v>
      </c>
      <c r="D272" s="8" t="s">
        <v>40</v>
      </c>
      <c r="E272" s="8" t="s">
        <v>213</v>
      </c>
      <c r="F272" s="15" t="s">
        <v>221</v>
      </c>
      <c r="G272" s="8" t="s">
        <v>28</v>
      </c>
      <c r="H272" s="8" t="s">
        <v>28</v>
      </c>
      <c r="I272" s="8" t="s">
        <v>28</v>
      </c>
      <c r="J272" s="8" t="s">
        <v>28</v>
      </c>
      <c r="K272" s="8" t="s">
        <v>29</v>
      </c>
      <c r="L272" s="8" t="s">
        <v>28</v>
      </c>
      <c r="M272" s="8" t="s">
        <v>28</v>
      </c>
      <c r="N272" s="8" t="s">
        <v>28</v>
      </c>
      <c r="O272" s="8" t="s">
        <v>28</v>
      </c>
      <c r="P272" s="8">
        <v>29650</v>
      </c>
      <c r="Q272" s="5">
        <v>0</v>
      </c>
      <c r="R272" s="5">
        <f t="shared" si="10"/>
        <v>0</v>
      </c>
      <c r="S272" s="5">
        <f t="shared" si="12"/>
        <v>29650</v>
      </c>
      <c r="T272" s="8">
        <v>0</v>
      </c>
      <c r="U272" s="8" t="s">
        <v>31</v>
      </c>
      <c r="V272" s="8" t="str">
        <f t="shared" si="11"/>
        <v>Q4</v>
      </c>
      <c r="W272" s="9" t="s">
        <v>43</v>
      </c>
    </row>
    <row r="273" spans="1:23" ht="22.5" customHeight="1" x14ac:dyDescent="0.25">
      <c r="A273">
        <v>986</v>
      </c>
      <c r="B273" t="s">
        <v>23</v>
      </c>
      <c r="C273" s="7" t="s">
        <v>230</v>
      </c>
      <c r="D273" s="8" t="s">
        <v>40</v>
      </c>
      <c r="E273" s="8" t="s">
        <v>213</v>
      </c>
      <c r="F273" s="15" t="s">
        <v>231</v>
      </c>
      <c r="G273" s="8" t="s">
        <v>28</v>
      </c>
      <c r="H273" s="8" t="s">
        <v>28</v>
      </c>
      <c r="I273" s="8" t="s">
        <v>28</v>
      </c>
      <c r="J273" s="8" t="s">
        <v>28</v>
      </c>
      <c r="K273" s="8" t="s">
        <v>29</v>
      </c>
      <c r="L273" s="8" t="s">
        <v>28</v>
      </c>
      <c r="M273" s="8" t="s">
        <v>28</v>
      </c>
      <c r="N273" s="8" t="s">
        <v>28</v>
      </c>
      <c r="O273" s="8" t="s">
        <v>28</v>
      </c>
      <c r="P273" s="8">
        <v>15950</v>
      </c>
      <c r="Q273" s="5">
        <v>0</v>
      </c>
      <c r="R273" s="5">
        <f t="shared" si="10"/>
        <v>0</v>
      </c>
      <c r="S273" s="5">
        <f t="shared" si="12"/>
        <v>15950</v>
      </c>
      <c r="T273" s="8">
        <v>0</v>
      </c>
      <c r="U273" s="8" t="s">
        <v>31</v>
      </c>
      <c r="V273" s="8" t="str">
        <f t="shared" si="11"/>
        <v>Q4</v>
      </c>
      <c r="W273" s="9" t="s">
        <v>43</v>
      </c>
    </row>
    <row r="274" spans="1:23" ht="22.5" customHeight="1" x14ac:dyDescent="0.25">
      <c r="A274">
        <v>1149</v>
      </c>
      <c r="B274" t="s">
        <v>23</v>
      </c>
      <c r="C274" s="7" t="s">
        <v>422</v>
      </c>
      <c r="D274" s="8" t="s">
        <v>40</v>
      </c>
      <c r="E274" s="8" t="s">
        <v>273</v>
      </c>
      <c r="F274" s="15" t="s">
        <v>423</v>
      </c>
      <c r="G274" s="8" t="s">
        <v>28</v>
      </c>
      <c r="H274" s="8" t="s">
        <v>28</v>
      </c>
      <c r="I274" s="8" t="s">
        <v>28</v>
      </c>
      <c r="J274" s="8" t="s">
        <v>28</v>
      </c>
      <c r="K274" s="8" t="s">
        <v>29</v>
      </c>
      <c r="L274" s="8" t="s">
        <v>28</v>
      </c>
      <c r="M274" s="8" t="s">
        <v>28</v>
      </c>
      <c r="N274" s="8" t="s">
        <v>28</v>
      </c>
      <c r="O274" s="8" t="s">
        <v>28</v>
      </c>
      <c r="P274" s="8">
        <v>18342.5</v>
      </c>
      <c r="Q274" s="5">
        <v>0</v>
      </c>
      <c r="R274" s="5">
        <f t="shared" si="10"/>
        <v>0</v>
      </c>
      <c r="S274" s="5">
        <f t="shared" si="12"/>
        <v>18342.5</v>
      </c>
      <c r="T274" s="8">
        <v>0</v>
      </c>
      <c r="U274" s="8" t="s">
        <v>31</v>
      </c>
      <c r="V274" s="8" t="str">
        <f t="shared" si="11"/>
        <v>Q1</v>
      </c>
      <c r="W274" s="9" t="s">
        <v>247</v>
      </c>
    </row>
    <row r="275" spans="1:23" ht="22.5" customHeight="1" x14ac:dyDescent="0.25">
      <c r="A275">
        <v>1152</v>
      </c>
      <c r="B275" t="s">
        <v>23</v>
      </c>
      <c r="C275" s="7" t="s">
        <v>429</v>
      </c>
      <c r="D275" s="8" t="s">
        <v>40</v>
      </c>
      <c r="E275" s="8" t="s">
        <v>273</v>
      </c>
      <c r="F275" s="15" t="s">
        <v>430</v>
      </c>
      <c r="G275" s="8" t="s">
        <v>28</v>
      </c>
      <c r="H275" s="8" t="s">
        <v>28</v>
      </c>
      <c r="I275" s="8" t="s">
        <v>28</v>
      </c>
      <c r="J275" s="8" t="s">
        <v>28</v>
      </c>
      <c r="K275" s="8" t="s">
        <v>29</v>
      </c>
      <c r="L275" s="8" t="s">
        <v>28</v>
      </c>
      <c r="M275" s="8" t="s">
        <v>28</v>
      </c>
      <c r="N275" s="8" t="s">
        <v>28</v>
      </c>
      <c r="O275" s="8" t="s">
        <v>28</v>
      </c>
      <c r="P275" s="8">
        <v>23943</v>
      </c>
      <c r="Q275" s="5">
        <v>0</v>
      </c>
      <c r="R275" s="5">
        <f t="shared" si="10"/>
        <v>0</v>
      </c>
      <c r="S275" s="5">
        <f t="shared" si="12"/>
        <v>23943</v>
      </c>
      <c r="T275" s="8">
        <v>0</v>
      </c>
      <c r="U275" s="8" t="s">
        <v>31</v>
      </c>
      <c r="V275" s="8" t="str">
        <f t="shared" si="11"/>
        <v>Q1</v>
      </c>
      <c r="W275" s="9" t="s">
        <v>247</v>
      </c>
    </row>
    <row r="276" spans="1:23" ht="22.5" customHeight="1" x14ac:dyDescent="0.25">
      <c r="A276">
        <v>1169</v>
      </c>
      <c r="B276" t="s">
        <v>23</v>
      </c>
      <c r="C276" s="7" t="s">
        <v>463</v>
      </c>
      <c r="D276" s="8" t="s">
        <v>25</v>
      </c>
      <c r="E276" s="8" t="s">
        <v>359</v>
      </c>
      <c r="F276" s="15" t="s">
        <v>464</v>
      </c>
      <c r="G276" s="8" t="s">
        <v>28</v>
      </c>
      <c r="H276" s="8" t="s">
        <v>28</v>
      </c>
      <c r="I276" s="8" t="s">
        <v>28</v>
      </c>
      <c r="J276" s="8" t="s">
        <v>28</v>
      </c>
      <c r="K276" s="8" t="s">
        <v>29</v>
      </c>
      <c r="L276" s="8" t="s">
        <v>28</v>
      </c>
      <c r="M276" s="8" t="s">
        <v>28</v>
      </c>
      <c r="N276" s="8" t="s">
        <v>28</v>
      </c>
      <c r="O276" s="8" t="s">
        <v>465</v>
      </c>
      <c r="P276" s="8">
        <v>28848.38</v>
      </c>
      <c r="Q276" s="5">
        <v>18</v>
      </c>
      <c r="R276" s="5">
        <f t="shared" si="10"/>
        <v>5192.7084000000004</v>
      </c>
      <c r="S276" s="5">
        <f t="shared" si="12"/>
        <v>34041.088400000001</v>
      </c>
      <c r="T276" s="8">
        <v>0</v>
      </c>
      <c r="U276" s="8" t="s">
        <v>31</v>
      </c>
      <c r="V276" s="8" t="str">
        <f t="shared" si="11"/>
        <v>Q4</v>
      </c>
      <c r="W276" s="9" t="s">
        <v>32</v>
      </c>
    </row>
    <row r="277" spans="1:23" ht="22.5" customHeight="1" x14ac:dyDescent="0.25">
      <c r="A277">
        <v>1171</v>
      </c>
      <c r="B277" t="s">
        <v>23</v>
      </c>
      <c r="C277" s="7" t="s">
        <v>469</v>
      </c>
      <c r="D277" s="8" t="s">
        <v>25</v>
      </c>
      <c r="E277" s="8" t="s">
        <v>390</v>
      </c>
      <c r="F277" s="15" t="s">
        <v>470</v>
      </c>
      <c r="G277" s="8" t="s">
        <v>28</v>
      </c>
      <c r="H277" s="8" t="s">
        <v>28</v>
      </c>
      <c r="I277" s="8" t="s">
        <v>28</v>
      </c>
      <c r="J277" s="8" t="s">
        <v>28</v>
      </c>
      <c r="K277" s="8" t="s">
        <v>29</v>
      </c>
      <c r="L277" s="8" t="s">
        <v>28</v>
      </c>
      <c r="M277" s="8" t="s">
        <v>28</v>
      </c>
      <c r="N277" s="8" t="s">
        <v>28</v>
      </c>
      <c r="O277" s="8" t="s">
        <v>471</v>
      </c>
      <c r="P277" s="8">
        <v>3825.98</v>
      </c>
      <c r="Q277" s="5">
        <v>18</v>
      </c>
      <c r="R277" s="5">
        <f t="shared" si="10"/>
        <v>688.67639999999994</v>
      </c>
      <c r="S277" s="5">
        <f t="shared" si="12"/>
        <v>4514.6563999999998</v>
      </c>
      <c r="T277" s="8">
        <v>0</v>
      </c>
      <c r="U277" s="8" t="s">
        <v>31</v>
      </c>
      <c r="V277" s="8" t="str">
        <f t="shared" si="11"/>
        <v>Q2</v>
      </c>
      <c r="W277" s="9" t="s">
        <v>32</v>
      </c>
    </row>
    <row r="278" spans="1:23" ht="22.5" customHeight="1" x14ac:dyDescent="0.25">
      <c r="A278">
        <v>1174</v>
      </c>
      <c r="B278" t="s">
        <v>23</v>
      </c>
      <c r="C278" s="7" t="s">
        <v>475</v>
      </c>
      <c r="D278" s="8" t="s">
        <v>25</v>
      </c>
      <c r="E278" s="8" t="s">
        <v>304</v>
      </c>
      <c r="F278" s="15" t="s">
        <v>476</v>
      </c>
      <c r="G278" s="8" t="s">
        <v>28</v>
      </c>
      <c r="H278" s="8" t="s">
        <v>28</v>
      </c>
      <c r="I278" s="8" t="s">
        <v>28</v>
      </c>
      <c r="J278" s="8" t="s">
        <v>28</v>
      </c>
      <c r="K278" s="8" t="s">
        <v>29</v>
      </c>
      <c r="L278" s="8" t="s">
        <v>28</v>
      </c>
      <c r="M278" s="8" t="s">
        <v>28</v>
      </c>
      <c r="N278" s="8" t="s">
        <v>28</v>
      </c>
      <c r="O278" s="8" t="s">
        <v>428</v>
      </c>
      <c r="P278" s="8">
        <v>51734.98</v>
      </c>
      <c r="Q278" s="5">
        <v>18</v>
      </c>
      <c r="R278" s="5">
        <f t="shared" si="10"/>
        <v>9312.2964000000011</v>
      </c>
      <c r="S278" s="5">
        <f t="shared" si="12"/>
        <v>61047.276400000002</v>
      </c>
      <c r="T278" s="8">
        <v>0</v>
      </c>
      <c r="U278" s="8" t="s">
        <v>31</v>
      </c>
      <c r="V278" s="8" t="str">
        <f t="shared" si="11"/>
        <v>Q1</v>
      </c>
      <c r="W278" s="9" t="s">
        <v>32</v>
      </c>
    </row>
    <row r="279" spans="1:23" ht="22.5" customHeight="1" x14ac:dyDescent="0.25">
      <c r="A279">
        <v>1181</v>
      </c>
      <c r="B279" t="s">
        <v>23</v>
      </c>
      <c r="C279" s="7" t="s">
        <v>488</v>
      </c>
      <c r="D279" s="8" t="s">
        <v>25</v>
      </c>
      <c r="E279" s="8" t="s">
        <v>390</v>
      </c>
      <c r="F279" s="15" t="s">
        <v>37</v>
      </c>
      <c r="G279" s="8" t="s">
        <v>28</v>
      </c>
      <c r="H279" s="8" t="s">
        <v>28</v>
      </c>
      <c r="I279" s="8" t="s">
        <v>28</v>
      </c>
      <c r="J279" s="8" t="s">
        <v>28</v>
      </c>
      <c r="K279" s="8" t="s">
        <v>29</v>
      </c>
      <c r="L279" s="8" t="s">
        <v>28</v>
      </c>
      <c r="M279" s="8" t="s">
        <v>28</v>
      </c>
      <c r="N279" s="8" t="s">
        <v>28</v>
      </c>
      <c r="O279" s="8" t="s">
        <v>489</v>
      </c>
      <c r="P279" s="8">
        <v>40647.050000000003</v>
      </c>
      <c r="Q279" s="5">
        <v>18</v>
      </c>
      <c r="R279" s="5">
        <f t="shared" si="10"/>
        <v>7316.4690000000001</v>
      </c>
      <c r="S279" s="5">
        <f t="shared" si="12"/>
        <v>47963.519</v>
      </c>
      <c r="T279" s="8">
        <v>0</v>
      </c>
      <c r="U279" s="8" t="s">
        <v>31</v>
      </c>
      <c r="V279" s="8" t="str">
        <f t="shared" si="11"/>
        <v>Q3</v>
      </c>
      <c r="W279" s="9" t="s">
        <v>32</v>
      </c>
    </row>
    <row r="280" spans="1:23" ht="22.5" customHeight="1" x14ac:dyDescent="0.25">
      <c r="A280">
        <v>1198</v>
      </c>
      <c r="B280" t="s">
        <v>23</v>
      </c>
      <c r="C280" s="7" t="s">
        <v>527</v>
      </c>
      <c r="D280" s="8" t="s">
        <v>25</v>
      </c>
      <c r="E280" s="8" t="s">
        <v>390</v>
      </c>
      <c r="F280" s="15" t="s">
        <v>528</v>
      </c>
      <c r="G280" s="8" t="s">
        <v>28</v>
      </c>
      <c r="H280" s="8" t="s">
        <v>28</v>
      </c>
      <c r="I280" s="8" t="s">
        <v>28</v>
      </c>
      <c r="J280" s="8" t="s">
        <v>28</v>
      </c>
      <c r="K280" s="8" t="s">
        <v>29</v>
      </c>
      <c r="L280" s="8" t="s">
        <v>28</v>
      </c>
      <c r="M280" s="8" t="s">
        <v>28</v>
      </c>
      <c r="N280" s="8" t="s">
        <v>28</v>
      </c>
      <c r="O280" s="8" t="s">
        <v>516</v>
      </c>
      <c r="P280" s="8">
        <v>62952.97</v>
      </c>
      <c r="Q280" s="5">
        <v>18</v>
      </c>
      <c r="R280" s="5">
        <f t="shared" si="10"/>
        <v>11331.534600000001</v>
      </c>
      <c r="S280" s="5">
        <f t="shared" si="12"/>
        <v>74284.5046</v>
      </c>
      <c r="T280" s="8">
        <v>0</v>
      </c>
      <c r="U280" s="8" t="s">
        <v>31</v>
      </c>
      <c r="V280" s="8" t="str">
        <f t="shared" si="11"/>
        <v>Q3</v>
      </c>
      <c r="W280" s="9" t="s">
        <v>32</v>
      </c>
    </row>
    <row r="281" spans="1:23" ht="22.5" customHeight="1" x14ac:dyDescent="0.25">
      <c r="A281">
        <v>1176</v>
      </c>
      <c r="B281" t="s">
        <v>23</v>
      </c>
      <c r="C281" s="7" t="s">
        <v>479</v>
      </c>
      <c r="D281" s="8" t="s">
        <v>25</v>
      </c>
      <c r="E281" s="8" t="s">
        <v>294</v>
      </c>
      <c r="F281" s="15" t="s">
        <v>480</v>
      </c>
      <c r="G281" s="8" t="s">
        <v>28</v>
      </c>
      <c r="H281" s="8" t="s">
        <v>28</v>
      </c>
      <c r="I281" s="8" t="s">
        <v>28</v>
      </c>
      <c r="J281" s="8" t="s">
        <v>28</v>
      </c>
      <c r="K281" s="8" t="s">
        <v>29</v>
      </c>
      <c r="L281" s="8" t="s">
        <v>28</v>
      </c>
      <c r="M281" s="8" t="s">
        <v>28</v>
      </c>
      <c r="N281" s="8" t="s">
        <v>28</v>
      </c>
      <c r="O281" s="8" t="s">
        <v>90</v>
      </c>
      <c r="P281" s="8">
        <v>19667.5</v>
      </c>
      <c r="Q281" s="5">
        <v>18</v>
      </c>
      <c r="R281" s="5">
        <f t="shared" si="10"/>
        <v>3540.15</v>
      </c>
      <c r="S281" s="5">
        <f t="shared" si="12"/>
        <v>23207.65</v>
      </c>
      <c r="T281" s="8">
        <v>0</v>
      </c>
      <c r="U281" s="8" t="s">
        <v>31</v>
      </c>
      <c r="V281" s="8" t="str">
        <f t="shared" si="11"/>
        <v>Q3</v>
      </c>
      <c r="W281" s="9" t="s">
        <v>32</v>
      </c>
    </row>
    <row r="282" spans="1:23" ht="22.5" customHeight="1" x14ac:dyDescent="0.25">
      <c r="A282">
        <v>1177</v>
      </c>
      <c r="B282" t="s">
        <v>23</v>
      </c>
      <c r="C282" s="7" t="s">
        <v>481</v>
      </c>
      <c r="D282" s="8" t="s">
        <v>25</v>
      </c>
      <c r="E282" s="8" t="s">
        <v>304</v>
      </c>
      <c r="F282" s="15" t="s">
        <v>482</v>
      </c>
      <c r="G282" s="8" t="s">
        <v>28</v>
      </c>
      <c r="H282" s="8" t="s">
        <v>28</v>
      </c>
      <c r="I282" s="8" t="s">
        <v>28</v>
      </c>
      <c r="J282" s="8" t="s">
        <v>28</v>
      </c>
      <c r="K282" s="8" t="s">
        <v>29</v>
      </c>
      <c r="L282" s="8" t="s">
        <v>28</v>
      </c>
      <c r="M282" s="8" t="s">
        <v>28</v>
      </c>
      <c r="N282" s="8" t="s">
        <v>28</v>
      </c>
      <c r="O282" s="8" t="s">
        <v>465</v>
      </c>
      <c r="P282" s="8">
        <v>33588.25</v>
      </c>
      <c r="Q282" s="5">
        <v>18</v>
      </c>
      <c r="R282" s="5">
        <f t="shared" si="10"/>
        <v>6045.8850000000002</v>
      </c>
      <c r="S282" s="5">
        <f t="shared" si="12"/>
        <v>39634.135000000002</v>
      </c>
      <c r="T282" s="8">
        <v>0</v>
      </c>
      <c r="U282" s="8" t="s">
        <v>31</v>
      </c>
      <c r="V282" s="8" t="str">
        <f t="shared" si="11"/>
        <v>Q3</v>
      </c>
      <c r="W282" s="9" t="s">
        <v>32</v>
      </c>
    </row>
    <row r="283" spans="1:23" ht="22.5" customHeight="1" x14ac:dyDescent="0.25">
      <c r="A283">
        <v>1180</v>
      </c>
      <c r="B283" t="s">
        <v>23</v>
      </c>
      <c r="C283" s="7" t="s">
        <v>486</v>
      </c>
      <c r="D283" s="8" t="s">
        <v>25</v>
      </c>
      <c r="E283" s="8" t="s">
        <v>270</v>
      </c>
      <c r="F283" s="15" t="s">
        <v>345</v>
      </c>
      <c r="G283" s="8" t="s">
        <v>28</v>
      </c>
      <c r="H283" s="8" t="s">
        <v>28</v>
      </c>
      <c r="I283" s="8" t="s">
        <v>28</v>
      </c>
      <c r="J283" s="8" t="s">
        <v>28</v>
      </c>
      <c r="K283" s="8" t="s">
        <v>29</v>
      </c>
      <c r="L283" s="8" t="s">
        <v>28</v>
      </c>
      <c r="M283" s="8" t="s">
        <v>28</v>
      </c>
      <c r="N283" s="8" t="s">
        <v>28</v>
      </c>
      <c r="O283" s="8" t="s">
        <v>487</v>
      </c>
      <c r="P283" s="8">
        <v>7100</v>
      </c>
      <c r="Q283" s="5">
        <v>15</v>
      </c>
      <c r="R283" s="5">
        <f t="shared" si="10"/>
        <v>1065</v>
      </c>
      <c r="S283" s="5">
        <f t="shared" si="12"/>
        <v>8165</v>
      </c>
      <c r="T283" s="8">
        <v>0</v>
      </c>
      <c r="U283" s="8" t="s">
        <v>31</v>
      </c>
      <c r="V283" s="8" t="str">
        <f t="shared" si="11"/>
        <v>Q2</v>
      </c>
      <c r="W283" s="9" t="s">
        <v>32</v>
      </c>
    </row>
    <row r="284" spans="1:23" ht="22.5" customHeight="1" x14ac:dyDescent="0.25">
      <c r="A284">
        <v>998</v>
      </c>
      <c r="B284" t="s">
        <v>23</v>
      </c>
      <c r="C284" s="7" t="s">
        <v>232</v>
      </c>
      <c r="D284" s="8" t="s">
        <v>40</v>
      </c>
      <c r="E284" s="8" t="s">
        <v>233</v>
      </c>
      <c r="F284" s="15" t="s">
        <v>234</v>
      </c>
      <c r="G284" s="8" t="s">
        <v>28</v>
      </c>
      <c r="H284" s="8" t="s">
        <v>28</v>
      </c>
      <c r="I284" s="8" t="s">
        <v>28</v>
      </c>
      <c r="J284" s="8" t="s">
        <v>28</v>
      </c>
      <c r="K284" s="8" t="s">
        <v>29</v>
      </c>
      <c r="L284" s="8" t="s">
        <v>28</v>
      </c>
      <c r="M284" s="8" t="s">
        <v>28</v>
      </c>
      <c r="N284" s="8" t="s">
        <v>28</v>
      </c>
      <c r="O284" s="8" t="s">
        <v>28</v>
      </c>
      <c r="P284" s="8">
        <v>93090</v>
      </c>
      <c r="Q284" s="5">
        <v>0</v>
      </c>
      <c r="R284" s="5">
        <f t="shared" si="10"/>
        <v>0</v>
      </c>
      <c r="S284" s="5">
        <f t="shared" si="12"/>
        <v>93090</v>
      </c>
      <c r="T284" s="8">
        <v>0</v>
      </c>
      <c r="U284" s="8" t="s">
        <v>31</v>
      </c>
      <c r="V284" s="8" t="str">
        <f t="shared" si="11"/>
        <v>Q3</v>
      </c>
      <c r="W284" s="9" t="s">
        <v>43</v>
      </c>
    </row>
    <row r="285" spans="1:23" ht="22.5" customHeight="1" x14ac:dyDescent="0.25">
      <c r="A285">
        <v>1050</v>
      </c>
      <c r="B285" t="s">
        <v>23</v>
      </c>
      <c r="C285" s="7" t="s">
        <v>245</v>
      </c>
      <c r="D285" s="8" t="s">
        <v>40</v>
      </c>
      <c r="E285" s="8" t="s">
        <v>213</v>
      </c>
      <c r="F285" s="15" t="s">
        <v>246</v>
      </c>
      <c r="G285" s="8" t="s">
        <v>28</v>
      </c>
      <c r="H285" s="8" t="s">
        <v>28</v>
      </c>
      <c r="I285" s="8" t="s">
        <v>28</v>
      </c>
      <c r="J285" s="8" t="s">
        <v>28</v>
      </c>
      <c r="K285" s="8" t="s">
        <v>29</v>
      </c>
      <c r="L285" s="8" t="s">
        <v>28</v>
      </c>
      <c r="M285" s="8" t="s">
        <v>28</v>
      </c>
      <c r="N285" s="8" t="s">
        <v>28</v>
      </c>
      <c r="O285" s="8" t="s">
        <v>28</v>
      </c>
      <c r="P285" s="8">
        <v>15950</v>
      </c>
      <c r="Q285" s="5">
        <v>0</v>
      </c>
      <c r="R285" s="5">
        <f t="shared" si="10"/>
        <v>0</v>
      </c>
      <c r="S285" s="5">
        <f t="shared" si="12"/>
        <v>15950</v>
      </c>
      <c r="T285" s="8">
        <v>0</v>
      </c>
      <c r="U285" s="8" t="s">
        <v>31</v>
      </c>
      <c r="V285" s="8" t="str">
        <f t="shared" si="11"/>
        <v>Q3</v>
      </c>
      <c r="W285" s="9" t="s">
        <v>247</v>
      </c>
    </row>
    <row r="286" spans="1:23" ht="22.5" customHeight="1" x14ac:dyDescent="0.25">
      <c r="A286">
        <v>1153</v>
      </c>
      <c r="B286" t="s">
        <v>23</v>
      </c>
      <c r="C286" s="7" t="s">
        <v>431</v>
      </c>
      <c r="D286" s="8" t="s">
        <v>40</v>
      </c>
      <c r="E286" s="8" t="s">
        <v>273</v>
      </c>
      <c r="F286" s="15" t="s">
        <v>432</v>
      </c>
      <c r="G286" s="8" t="s">
        <v>28</v>
      </c>
      <c r="H286" s="8" t="s">
        <v>28</v>
      </c>
      <c r="I286" s="8" t="s">
        <v>28</v>
      </c>
      <c r="J286" s="8" t="s">
        <v>28</v>
      </c>
      <c r="K286" s="8" t="s">
        <v>29</v>
      </c>
      <c r="L286" s="8" t="s">
        <v>28</v>
      </c>
      <c r="M286" s="8" t="s">
        <v>28</v>
      </c>
      <c r="N286" s="8" t="s">
        <v>28</v>
      </c>
      <c r="O286" s="8" t="s">
        <v>28</v>
      </c>
      <c r="P286" s="8">
        <v>18342.5</v>
      </c>
      <c r="Q286" s="5">
        <v>0</v>
      </c>
      <c r="R286" s="5">
        <f t="shared" si="10"/>
        <v>0</v>
      </c>
      <c r="S286" s="5">
        <f t="shared" si="12"/>
        <v>18342.5</v>
      </c>
      <c r="T286" s="8">
        <v>0</v>
      </c>
      <c r="U286" s="8" t="s">
        <v>31</v>
      </c>
      <c r="V286" s="8" t="str">
        <f t="shared" si="11"/>
        <v>Q4</v>
      </c>
      <c r="W286" s="9" t="s">
        <v>247</v>
      </c>
    </row>
    <row r="287" spans="1:23" ht="22.5" customHeight="1" x14ac:dyDescent="0.25">
      <c r="A287">
        <v>1193</v>
      </c>
      <c r="B287" t="s">
        <v>23</v>
      </c>
      <c r="C287" s="7" t="s">
        <v>511</v>
      </c>
      <c r="D287" s="8" t="s">
        <v>25</v>
      </c>
      <c r="E287" s="8" t="s">
        <v>260</v>
      </c>
      <c r="F287" s="15" t="s">
        <v>512</v>
      </c>
      <c r="G287" s="8" t="s">
        <v>28</v>
      </c>
      <c r="H287" s="8" t="s">
        <v>28</v>
      </c>
      <c r="I287" s="8" t="s">
        <v>28</v>
      </c>
      <c r="J287" s="8" t="s">
        <v>28</v>
      </c>
      <c r="K287" s="8" t="s">
        <v>29</v>
      </c>
      <c r="L287" s="8" t="s">
        <v>28</v>
      </c>
      <c r="M287" s="8" t="s">
        <v>28</v>
      </c>
      <c r="N287" s="8" t="s">
        <v>28</v>
      </c>
      <c r="O287" s="8" t="s">
        <v>513</v>
      </c>
      <c r="P287" s="8">
        <v>57278.71</v>
      </c>
      <c r="Q287" s="5">
        <v>18</v>
      </c>
      <c r="R287" s="5">
        <f t="shared" si="10"/>
        <v>10310.167799999999</v>
      </c>
      <c r="S287" s="5">
        <f t="shared" si="12"/>
        <v>67588.877800000002</v>
      </c>
      <c r="T287" s="8">
        <v>0</v>
      </c>
      <c r="U287" s="8" t="s">
        <v>31</v>
      </c>
      <c r="V287" s="8" t="str">
        <f t="shared" si="11"/>
        <v>Q3</v>
      </c>
      <c r="W287" s="9" t="s">
        <v>32</v>
      </c>
    </row>
    <row r="288" spans="1:23" ht="22.5" customHeight="1" x14ac:dyDescent="0.25">
      <c r="A288">
        <v>1197</v>
      </c>
      <c r="B288" t="s">
        <v>23</v>
      </c>
      <c r="C288" s="7" t="s">
        <v>524</v>
      </c>
      <c r="D288" s="8" t="s">
        <v>25</v>
      </c>
      <c r="E288" s="8" t="s">
        <v>525</v>
      </c>
      <c r="F288" s="15" t="s">
        <v>526</v>
      </c>
      <c r="G288" s="8" t="s">
        <v>28</v>
      </c>
      <c r="H288" s="8" t="s">
        <v>28</v>
      </c>
      <c r="I288" s="8" t="s">
        <v>28</v>
      </c>
      <c r="J288" s="8" t="s">
        <v>28</v>
      </c>
      <c r="K288" s="8" t="s">
        <v>29</v>
      </c>
      <c r="L288" s="8" t="s">
        <v>28</v>
      </c>
      <c r="M288" s="8" t="s">
        <v>28</v>
      </c>
      <c r="N288" s="8" t="s">
        <v>28</v>
      </c>
      <c r="O288" s="8" t="s">
        <v>523</v>
      </c>
      <c r="P288" s="8">
        <v>325</v>
      </c>
      <c r="Q288" s="5">
        <v>18</v>
      </c>
      <c r="R288" s="5">
        <f t="shared" si="10"/>
        <v>58.5</v>
      </c>
      <c r="S288" s="5">
        <f t="shared" si="12"/>
        <v>383.5</v>
      </c>
      <c r="T288" s="8">
        <v>0</v>
      </c>
      <c r="U288" s="8" t="s">
        <v>31</v>
      </c>
      <c r="V288" s="8" t="str">
        <f t="shared" si="11"/>
        <v>Q1</v>
      </c>
      <c r="W288" s="9" t="s">
        <v>32</v>
      </c>
    </row>
    <row r="289" spans="1:23" ht="22.5" customHeight="1" x14ac:dyDescent="0.25">
      <c r="A289">
        <v>1183</v>
      </c>
      <c r="B289" t="s">
        <v>23</v>
      </c>
      <c r="C289" s="7" t="s">
        <v>492</v>
      </c>
      <c r="D289" s="8" t="s">
        <v>25</v>
      </c>
      <c r="E289" s="8" t="s">
        <v>260</v>
      </c>
      <c r="F289" s="15" t="s">
        <v>493</v>
      </c>
      <c r="G289" s="8" t="s">
        <v>28</v>
      </c>
      <c r="H289" s="8" t="s">
        <v>28</v>
      </c>
      <c r="I289" s="8" t="s">
        <v>28</v>
      </c>
      <c r="J289" s="8" t="s">
        <v>28</v>
      </c>
      <c r="K289" s="8" t="s">
        <v>29</v>
      </c>
      <c r="L289" s="8" t="s">
        <v>28</v>
      </c>
      <c r="M289" s="8" t="s">
        <v>28</v>
      </c>
      <c r="N289" s="8" t="s">
        <v>28</v>
      </c>
      <c r="O289" s="8" t="s">
        <v>202</v>
      </c>
      <c r="P289" s="8">
        <v>7050</v>
      </c>
      <c r="Q289" s="5">
        <v>15</v>
      </c>
      <c r="R289" s="5">
        <f t="shared" si="10"/>
        <v>1057.5</v>
      </c>
      <c r="S289" s="5">
        <f t="shared" si="12"/>
        <v>8107.5</v>
      </c>
      <c r="T289" s="8">
        <v>0</v>
      </c>
      <c r="U289" s="8" t="s">
        <v>31</v>
      </c>
      <c r="V289" s="8" t="str">
        <f t="shared" si="11"/>
        <v>Q4</v>
      </c>
      <c r="W289" s="9" t="s">
        <v>32</v>
      </c>
    </row>
    <row r="290" spans="1:23" ht="22.5" customHeight="1" x14ac:dyDescent="0.25">
      <c r="A290">
        <v>1186</v>
      </c>
      <c r="B290" t="s">
        <v>23</v>
      </c>
      <c r="C290" s="7" t="s">
        <v>495</v>
      </c>
      <c r="D290" s="8" t="s">
        <v>25</v>
      </c>
      <c r="E290" s="8" t="s">
        <v>359</v>
      </c>
      <c r="F290" s="15" t="s">
        <v>434</v>
      </c>
      <c r="G290" s="8" t="s">
        <v>28</v>
      </c>
      <c r="H290" s="8" t="s">
        <v>28</v>
      </c>
      <c r="I290" s="8" t="s">
        <v>28</v>
      </c>
      <c r="J290" s="8" t="s">
        <v>28</v>
      </c>
      <c r="K290" s="8" t="s">
        <v>29</v>
      </c>
      <c r="L290" s="8" t="s">
        <v>28</v>
      </c>
      <c r="M290" s="8" t="s">
        <v>28</v>
      </c>
      <c r="N290" s="8" t="s">
        <v>28</v>
      </c>
      <c r="O290" s="8" t="s">
        <v>496</v>
      </c>
      <c r="P290" s="8">
        <v>5344</v>
      </c>
      <c r="Q290" s="5">
        <v>15</v>
      </c>
      <c r="R290" s="5">
        <f t="shared" si="10"/>
        <v>801.59999999999991</v>
      </c>
      <c r="S290" s="5">
        <f t="shared" si="12"/>
        <v>6145.6</v>
      </c>
      <c r="T290" s="8">
        <v>0</v>
      </c>
      <c r="U290" s="8" t="s">
        <v>31</v>
      </c>
      <c r="V290" s="8" t="str">
        <f t="shared" si="11"/>
        <v>Q4</v>
      </c>
      <c r="W290" s="9" t="s">
        <v>32</v>
      </c>
    </row>
    <row r="291" spans="1:23" ht="22.5" customHeight="1" x14ac:dyDescent="0.25">
      <c r="A291">
        <v>1194</v>
      </c>
      <c r="B291" t="s">
        <v>23</v>
      </c>
      <c r="C291" s="7" t="s">
        <v>514</v>
      </c>
      <c r="D291" s="8" t="s">
        <v>25</v>
      </c>
      <c r="E291" s="8" t="s">
        <v>260</v>
      </c>
      <c r="F291" s="15" t="s">
        <v>515</v>
      </c>
      <c r="G291" s="8" t="s">
        <v>28</v>
      </c>
      <c r="H291" s="8" t="s">
        <v>28</v>
      </c>
      <c r="I291" s="8" t="s">
        <v>28</v>
      </c>
      <c r="J291" s="8" t="s">
        <v>28</v>
      </c>
      <c r="K291" s="8" t="s">
        <v>29</v>
      </c>
      <c r="L291" s="8" t="s">
        <v>28</v>
      </c>
      <c r="M291" s="8" t="s">
        <v>28</v>
      </c>
      <c r="N291" s="8" t="s">
        <v>28</v>
      </c>
      <c r="O291" s="8" t="s">
        <v>516</v>
      </c>
      <c r="P291" s="8">
        <v>57006.51</v>
      </c>
      <c r="Q291" s="5">
        <v>18</v>
      </c>
      <c r="R291" s="5">
        <f t="shared" si="10"/>
        <v>10261.1718</v>
      </c>
      <c r="S291" s="5">
        <f t="shared" si="12"/>
        <v>67267.681800000006</v>
      </c>
      <c r="T291" s="8">
        <v>0</v>
      </c>
      <c r="U291" s="8" t="s">
        <v>31</v>
      </c>
      <c r="V291" s="8" t="str">
        <f t="shared" si="11"/>
        <v>Q1</v>
      </c>
      <c r="W291" s="9" t="s">
        <v>32</v>
      </c>
    </row>
    <row r="292" spans="1:23" ht="22.5" customHeight="1" x14ac:dyDescent="0.25">
      <c r="A292">
        <v>1191</v>
      </c>
      <c r="B292" t="s">
        <v>23</v>
      </c>
      <c r="C292" s="7" t="s">
        <v>505</v>
      </c>
      <c r="D292" s="8" t="s">
        <v>25</v>
      </c>
      <c r="E292" s="8" t="s">
        <v>506</v>
      </c>
      <c r="F292" s="15" t="s">
        <v>507</v>
      </c>
      <c r="G292" s="8" t="s">
        <v>28</v>
      </c>
      <c r="H292" s="8" t="s">
        <v>28</v>
      </c>
      <c r="I292" s="8" t="s">
        <v>28</v>
      </c>
      <c r="J292" s="8" t="s">
        <v>28</v>
      </c>
      <c r="K292" s="8" t="s">
        <v>29</v>
      </c>
      <c r="L292" s="8" t="s">
        <v>28</v>
      </c>
      <c r="M292" s="8" t="s">
        <v>28</v>
      </c>
      <c r="N292" s="8" t="s">
        <v>28</v>
      </c>
      <c r="O292" s="8" t="s">
        <v>508</v>
      </c>
      <c r="P292" s="8">
        <v>5495.28</v>
      </c>
      <c r="Q292" s="8">
        <v>0</v>
      </c>
      <c r="R292" s="5">
        <f t="shared" si="10"/>
        <v>0</v>
      </c>
      <c r="S292" s="5">
        <f t="shared" si="12"/>
        <v>5495.28</v>
      </c>
      <c r="T292" s="8">
        <v>0</v>
      </c>
      <c r="U292" s="8" t="s">
        <v>31</v>
      </c>
      <c r="V292" s="8" t="str">
        <f t="shared" si="11"/>
        <v>Q4</v>
      </c>
      <c r="W292" s="9" t="s">
        <v>32</v>
      </c>
    </row>
    <row r="293" spans="1:23" ht="22.5" customHeight="1" x14ac:dyDescent="0.25">
      <c r="A293">
        <v>1190</v>
      </c>
      <c r="B293" t="s">
        <v>23</v>
      </c>
      <c r="C293" s="7" t="s">
        <v>502</v>
      </c>
      <c r="D293" s="8" t="s">
        <v>25</v>
      </c>
      <c r="E293" s="8" t="s">
        <v>304</v>
      </c>
      <c r="F293" s="15" t="s">
        <v>503</v>
      </c>
      <c r="G293" s="8" t="s">
        <v>28</v>
      </c>
      <c r="H293" s="8" t="s">
        <v>28</v>
      </c>
      <c r="I293" s="8" t="s">
        <v>28</v>
      </c>
      <c r="J293" s="8" t="s">
        <v>28</v>
      </c>
      <c r="K293" s="8" t="s">
        <v>29</v>
      </c>
      <c r="L293" s="8" t="s">
        <v>28</v>
      </c>
      <c r="M293" s="8" t="s">
        <v>28</v>
      </c>
      <c r="N293" s="8" t="s">
        <v>28</v>
      </c>
      <c r="O293" s="8" t="s">
        <v>504</v>
      </c>
      <c r="P293" s="8">
        <v>403.35</v>
      </c>
      <c r="Q293" s="8">
        <v>18</v>
      </c>
      <c r="R293" s="5">
        <f t="shared" si="10"/>
        <v>72.603000000000009</v>
      </c>
      <c r="S293" s="5">
        <f t="shared" si="12"/>
        <v>475.95300000000003</v>
      </c>
      <c r="T293" s="8">
        <v>0</v>
      </c>
      <c r="U293" s="8" t="s">
        <v>31</v>
      </c>
      <c r="V293" s="8" t="str">
        <f t="shared" si="11"/>
        <v>Q1</v>
      </c>
      <c r="W293" s="9" t="s">
        <v>32</v>
      </c>
    </row>
    <row r="294" spans="1:23" ht="22.5" customHeight="1" x14ac:dyDescent="0.25">
      <c r="A294">
        <v>1189</v>
      </c>
      <c r="B294" t="s">
        <v>23</v>
      </c>
      <c r="C294" s="7" t="s">
        <v>499</v>
      </c>
      <c r="D294" s="8" t="s">
        <v>25</v>
      </c>
      <c r="E294" s="8" t="s">
        <v>304</v>
      </c>
      <c r="F294" s="15" t="s">
        <v>500</v>
      </c>
      <c r="G294" s="8" t="s">
        <v>28</v>
      </c>
      <c r="H294" s="8" t="s">
        <v>28</v>
      </c>
      <c r="I294" s="8" t="s">
        <v>28</v>
      </c>
      <c r="J294" s="8" t="s">
        <v>28</v>
      </c>
      <c r="K294" s="8" t="s">
        <v>29</v>
      </c>
      <c r="L294" s="8" t="s">
        <v>28</v>
      </c>
      <c r="M294" s="8" t="s">
        <v>28</v>
      </c>
      <c r="N294" s="8" t="s">
        <v>28</v>
      </c>
      <c r="O294" s="8" t="s">
        <v>501</v>
      </c>
      <c r="P294" s="8">
        <v>4076.85</v>
      </c>
      <c r="Q294" s="8">
        <v>18</v>
      </c>
      <c r="R294" s="5">
        <f t="shared" si="10"/>
        <v>733.83299999999997</v>
      </c>
      <c r="S294" s="5">
        <f t="shared" si="12"/>
        <v>4810.683</v>
      </c>
      <c r="T294" s="8">
        <v>0</v>
      </c>
      <c r="U294" s="8" t="s">
        <v>31</v>
      </c>
      <c r="V294" s="8" t="str">
        <f t="shared" si="11"/>
        <v>Q3</v>
      </c>
      <c r="W294" s="9" t="s">
        <v>32</v>
      </c>
    </row>
    <row r="295" spans="1:23" ht="22.5" customHeight="1" x14ac:dyDescent="0.25">
      <c r="A295">
        <v>1196</v>
      </c>
      <c r="B295" t="s">
        <v>23</v>
      </c>
      <c r="C295" s="7" t="s">
        <v>520</v>
      </c>
      <c r="D295" s="8" t="s">
        <v>25</v>
      </c>
      <c r="E295" s="8" t="s">
        <v>521</v>
      </c>
      <c r="F295" s="15" t="s">
        <v>522</v>
      </c>
      <c r="G295" s="8" t="s">
        <v>28</v>
      </c>
      <c r="H295" s="8" t="s">
        <v>28</v>
      </c>
      <c r="I295" s="8" t="s">
        <v>28</v>
      </c>
      <c r="J295" s="8" t="s">
        <v>28</v>
      </c>
      <c r="K295" s="8" t="s">
        <v>29</v>
      </c>
      <c r="L295" s="8" t="s">
        <v>28</v>
      </c>
      <c r="M295" s="8" t="s">
        <v>28</v>
      </c>
      <c r="N295" s="8" t="s">
        <v>28</v>
      </c>
      <c r="O295" s="8" t="s">
        <v>523</v>
      </c>
      <c r="P295" s="8">
        <v>1725</v>
      </c>
      <c r="Q295" s="8">
        <v>18</v>
      </c>
      <c r="R295" s="5">
        <f t="shared" si="10"/>
        <v>310.5</v>
      </c>
      <c r="S295" s="5">
        <f t="shared" si="12"/>
        <v>2035.5</v>
      </c>
      <c r="T295" s="8">
        <v>0</v>
      </c>
      <c r="U295" s="8" t="s">
        <v>31</v>
      </c>
      <c r="V295" s="8" t="str">
        <f t="shared" si="11"/>
        <v>Q4</v>
      </c>
      <c r="W295" s="9" t="s">
        <v>32</v>
      </c>
    </row>
    <row r="296" spans="1:23" ht="22.5" customHeight="1" x14ac:dyDescent="0.25">
      <c r="A296">
        <v>1185</v>
      </c>
      <c r="B296" t="s">
        <v>23</v>
      </c>
      <c r="C296" s="7" t="s">
        <v>494</v>
      </c>
      <c r="D296" s="8" t="s">
        <v>25</v>
      </c>
      <c r="E296" s="8" t="s">
        <v>304</v>
      </c>
      <c r="F296" s="15" t="s">
        <v>493</v>
      </c>
      <c r="G296" s="8" t="s">
        <v>28</v>
      </c>
      <c r="H296" s="8" t="s">
        <v>28</v>
      </c>
      <c r="I296" s="8" t="s">
        <v>28</v>
      </c>
      <c r="J296" s="8" t="s">
        <v>28</v>
      </c>
      <c r="K296" s="8" t="s">
        <v>29</v>
      </c>
      <c r="L296" s="8" t="s">
        <v>28</v>
      </c>
      <c r="M296" s="8" t="s">
        <v>28</v>
      </c>
      <c r="N296" s="8" t="s">
        <v>28</v>
      </c>
      <c r="O296" s="8" t="s">
        <v>190</v>
      </c>
      <c r="P296" s="8">
        <v>100</v>
      </c>
      <c r="Q296" s="8">
        <v>18</v>
      </c>
      <c r="R296" s="5">
        <f t="shared" si="10"/>
        <v>18</v>
      </c>
      <c r="S296" s="5">
        <f t="shared" si="12"/>
        <v>118</v>
      </c>
      <c r="T296" s="8">
        <v>0</v>
      </c>
      <c r="U296" s="8" t="s">
        <v>31</v>
      </c>
      <c r="V296" s="8" t="str">
        <f t="shared" si="11"/>
        <v>Q4</v>
      </c>
      <c r="W296" s="9" t="s">
        <v>32</v>
      </c>
    </row>
    <row r="297" spans="1:23" ht="22.5" customHeight="1" x14ac:dyDescent="0.25">
      <c r="A297">
        <v>1187</v>
      </c>
      <c r="B297" t="s">
        <v>23</v>
      </c>
      <c r="C297" s="7" t="s">
        <v>497</v>
      </c>
      <c r="D297" s="8" t="s">
        <v>25</v>
      </c>
      <c r="E297" s="8" t="s">
        <v>390</v>
      </c>
      <c r="F297" s="15" t="s">
        <v>493</v>
      </c>
      <c r="G297" s="8" t="s">
        <v>28</v>
      </c>
      <c r="H297" s="8" t="s">
        <v>28</v>
      </c>
      <c r="I297" s="8" t="s">
        <v>28</v>
      </c>
      <c r="J297" s="8" t="s">
        <v>28</v>
      </c>
      <c r="K297" s="8" t="s">
        <v>29</v>
      </c>
      <c r="L297" s="8" t="s">
        <v>28</v>
      </c>
      <c r="M297" s="8" t="s">
        <v>28</v>
      </c>
      <c r="N297" s="8" t="s">
        <v>28</v>
      </c>
      <c r="O297" s="8" t="s">
        <v>190</v>
      </c>
      <c r="P297" s="8">
        <v>100</v>
      </c>
      <c r="Q297" s="8">
        <v>18</v>
      </c>
      <c r="R297" s="5">
        <f t="shared" si="10"/>
        <v>18</v>
      </c>
      <c r="S297" s="5">
        <f t="shared" si="12"/>
        <v>118</v>
      </c>
      <c r="T297" s="8">
        <v>0</v>
      </c>
      <c r="U297" s="8" t="s">
        <v>31</v>
      </c>
      <c r="V297" s="8" t="str">
        <f t="shared" si="11"/>
        <v>Q4</v>
      </c>
      <c r="W297" s="9" t="s">
        <v>32</v>
      </c>
    </row>
    <row r="298" spans="1:23" ht="22.5" customHeight="1" x14ac:dyDescent="0.25">
      <c r="A298">
        <v>1195</v>
      </c>
      <c r="B298" t="s">
        <v>23</v>
      </c>
      <c r="C298" s="7" t="s">
        <v>517</v>
      </c>
      <c r="D298" s="8" t="s">
        <v>25</v>
      </c>
      <c r="E298" s="8" t="s">
        <v>518</v>
      </c>
      <c r="F298" s="15" t="s">
        <v>427</v>
      </c>
      <c r="G298" s="8" t="s">
        <v>28</v>
      </c>
      <c r="H298" s="8" t="s">
        <v>28</v>
      </c>
      <c r="I298" s="8" t="s">
        <v>28</v>
      </c>
      <c r="J298" s="8" t="s">
        <v>28</v>
      </c>
      <c r="K298" s="8" t="s">
        <v>29</v>
      </c>
      <c r="L298" s="8" t="s">
        <v>28</v>
      </c>
      <c r="M298" s="8" t="s">
        <v>28</v>
      </c>
      <c r="N298" s="8" t="s">
        <v>28</v>
      </c>
      <c r="O298" s="8" t="s">
        <v>519</v>
      </c>
      <c r="P298" s="8">
        <v>7605.5</v>
      </c>
      <c r="Q298" s="8">
        <v>18</v>
      </c>
      <c r="R298" s="5">
        <f t="shared" si="10"/>
        <v>1368.9900000000002</v>
      </c>
      <c r="S298" s="5">
        <f t="shared" si="12"/>
        <v>8974.49</v>
      </c>
      <c r="T298" s="8">
        <v>0</v>
      </c>
      <c r="U298" s="8" t="s">
        <v>31</v>
      </c>
      <c r="V298" s="8" t="str">
        <f t="shared" si="11"/>
        <v>Q2</v>
      </c>
      <c r="W298" s="9" t="s">
        <v>32</v>
      </c>
    </row>
    <row r="299" spans="1:23" ht="22.5" customHeight="1" x14ac:dyDescent="0.25">
      <c r="A299">
        <v>1188</v>
      </c>
      <c r="B299" t="s">
        <v>23</v>
      </c>
      <c r="C299" s="7" t="s">
        <v>498</v>
      </c>
      <c r="D299" s="8" t="s">
        <v>25</v>
      </c>
      <c r="E299" s="8" t="s">
        <v>270</v>
      </c>
      <c r="F299" s="15" t="s">
        <v>493</v>
      </c>
      <c r="G299" s="8" t="s">
        <v>28</v>
      </c>
      <c r="H299" s="8" t="s">
        <v>28</v>
      </c>
      <c r="I299" s="8" t="s">
        <v>28</v>
      </c>
      <c r="J299" s="8" t="s">
        <v>28</v>
      </c>
      <c r="K299" s="8" t="s">
        <v>29</v>
      </c>
      <c r="L299" s="8" t="s">
        <v>28</v>
      </c>
      <c r="M299" s="8" t="s">
        <v>28</v>
      </c>
      <c r="N299" s="8" t="s">
        <v>28</v>
      </c>
      <c r="O299" s="8" t="s">
        <v>190</v>
      </c>
      <c r="P299" s="8">
        <v>100</v>
      </c>
      <c r="Q299" s="8">
        <v>18</v>
      </c>
      <c r="R299" s="5">
        <f t="shared" si="10"/>
        <v>18</v>
      </c>
      <c r="S299" s="5">
        <f t="shared" si="12"/>
        <v>118</v>
      </c>
      <c r="T299" s="8">
        <v>0</v>
      </c>
      <c r="U299" s="8" t="s">
        <v>31</v>
      </c>
      <c r="V299" s="8" t="str">
        <f t="shared" si="11"/>
        <v>Q3</v>
      </c>
      <c r="W299" s="9" t="s">
        <v>32</v>
      </c>
    </row>
    <row r="300" spans="1:23" ht="22.5" customHeight="1" x14ac:dyDescent="0.25">
      <c r="A300">
        <v>1068</v>
      </c>
      <c r="B300" t="s">
        <v>23</v>
      </c>
      <c r="C300" s="7" t="s">
        <v>252</v>
      </c>
      <c r="D300" s="8" t="s">
        <v>40</v>
      </c>
      <c r="E300" s="8" t="s">
        <v>213</v>
      </c>
      <c r="F300" s="15" t="s">
        <v>253</v>
      </c>
      <c r="G300" s="8" t="s">
        <v>28</v>
      </c>
      <c r="H300" s="8" t="s">
        <v>28</v>
      </c>
      <c r="I300" s="8" t="s">
        <v>28</v>
      </c>
      <c r="J300" s="8" t="s">
        <v>28</v>
      </c>
      <c r="K300" s="8" t="s">
        <v>29</v>
      </c>
      <c r="L300" s="8" t="s">
        <v>28</v>
      </c>
      <c r="M300" s="8" t="s">
        <v>28</v>
      </c>
      <c r="N300" s="8" t="s">
        <v>28</v>
      </c>
      <c r="O300" s="8" t="s">
        <v>28</v>
      </c>
      <c r="P300" s="8">
        <v>15950</v>
      </c>
      <c r="Q300" s="8">
        <v>0</v>
      </c>
      <c r="R300" s="5">
        <f t="shared" si="10"/>
        <v>0</v>
      </c>
      <c r="S300" s="5">
        <f t="shared" si="12"/>
        <v>15950</v>
      </c>
      <c r="T300" s="8">
        <v>0</v>
      </c>
      <c r="U300" s="8" t="s">
        <v>31</v>
      </c>
      <c r="V300" s="8" t="str">
        <f t="shared" si="11"/>
        <v>Q2</v>
      </c>
      <c r="W300" s="9" t="s">
        <v>247</v>
      </c>
    </row>
    <row r="301" spans="1:23" ht="22.5" customHeight="1" x14ac:dyDescent="0.25">
      <c r="A301">
        <v>1163</v>
      </c>
      <c r="B301" t="s">
        <v>23</v>
      </c>
      <c r="C301" s="7" t="s">
        <v>449</v>
      </c>
      <c r="D301" s="8" t="s">
        <v>40</v>
      </c>
      <c r="E301" s="8" t="s">
        <v>447</v>
      </c>
      <c r="F301" s="15" t="s">
        <v>450</v>
      </c>
      <c r="G301" s="8" t="s">
        <v>28</v>
      </c>
      <c r="H301" s="8" t="s">
        <v>28</v>
      </c>
      <c r="I301" s="8" t="s">
        <v>28</v>
      </c>
      <c r="J301" s="8" t="s">
        <v>28</v>
      </c>
      <c r="K301" s="8" t="s">
        <v>29</v>
      </c>
      <c r="L301" s="8" t="s">
        <v>28</v>
      </c>
      <c r="M301" s="8" t="s">
        <v>28</v>
      </c>
      <c r="N301" s="8" t="s">
        <v>28</v>
      </c>
      <c r="O301" s="8" t="s">
        <v>28</v>
      </c>
      <c r="P301" s="8">
        <v>14291.2</v>
      </c>
      <c r="Q301" s="8">
        <v>0</v>
      </c>
      <c r="R301" s="5">
        <f t="shared" si="10"/>
        <v>0</v>
      </c>
      <c r="S301" s="5">
        <f t="shared" si="12"/>
        <v>14291.2</v>
      </c>
      <c r="T301" s="8">
        <v>0</v>
      </c>
      <c r="U301" s="8" t="s">
        <v>31</v>
      </c>
      <c r="V301" s="8" t="str">
        <f t="shared" si="11"/>
        <v>Q4</v>
      </c>
      <c r="W301" s="9" t="s">
        <v>451</v>
      </c>
    </row>
    <row r="302" spans="1:23" ht="22.5" customHeight="1" x14ac:dyDescent="0.25">
      <c r="A302">
        <v>1155</v>
      </c>
      <c r="B302" t="s">
        <v>23</v>
      </c>
      <c r="C302" s="7" t="s">
        <v>435</v>
      </c>
      <c r="D302" s="8" t="s">
        <v>40</v>
      </c>
      <c r="E302" s="8" t="s">
        <v>273</v>
      </c>
      <c r="F302" s="15" t="s">
        <v>436</v>
      </c>
      <c r="G302" s="8" t="s">
        <v>28</v>
      </c>
      <c r="H302" s="8" t="s">
        <v>28</v>
      </c>
      <c r="I302" s="8" t="s">
        <v>28</v>
      </c>
      <c r="J302" s="8" t="s">
        <v>28</v>
      </c>
      <c r="K302" s="8" t="s">
        <v>29</v>
      </c>
      <c r="L302" s="8" t="s">
        <v>28</v>
      </c>
      <c r="M302" s="8" t="s">
        <v>28</v>
      </c>
      <c r="N302" s="8" t="s">
        <v>28</v>
      </c>
      <c r="O302" s="8" t="s">
        <v>28</v>
      </c>
      <c r="P302" s="8">
        <v>20552.419999999998</v>
      </c>
      <c r="Q302" s="8">
        <v>0</v>
      </c>
      <c r="R302" s="5">
        <f t="shared" si="10"/>
        <v>0</v>
      </c>
      <c r="S302" s="5">
        <f t="shared" si="12"/>
        <v>20552.419999999998</v>
      </c>
      <c r="T302" s="8">
        <v>0</v>
      </c>
      <c r="U302" s="8" t="s">
        <v>31</v>
      </c>
      <c r="V302" s="8" t="str">
        <f t="shared" si="11"/>
        <v>Q2</v>
      </c>
      <c r="W302" s="9" t="s">
        <v>247</v>
      </c>
    </row>
    <row r="303" spans="1:23" ht="22.5" customHeight="1" x14ac:dyDescent="0.25">
      <c r="A303">
        <v>1158</v>
      </c>
      <c r="B303" t="s">
        <v>23</v>
      </c>
      <c r="C303" s="7" t="s">
        <v>439</v>
      </c>
      <c r="D303" s="8" t="s">
        <v>40</v>
      </c>
      <c r="E303" s="8" t="s">
        <v>440</v>
      </c>
      <c r="F303" s="15" t="s">
        <v>441</v>
      </c>
      <c r="G303" s="8" t="s">
        <v>28</v>
      </c>
      <c r="H303" s="8" t="s">
        <v>28</v>
      </c>
      <c r="I303" s="8" t="s">
        <v>28</v>
      </c>
      <c r="J303" s="8" t="s">
        <v>28</v>
      </c>
      <c r="K303" s="8" t="s">
        <v>29</v>
      </c>
      <c r="L303" s="8" t="s">
        <v>28</v>
      </c>
      <c r="M303" s="8" t="s">
        <v>28</v>
      </c>
      <c r="N303" s="8" t="s">
        <v>28</v>
      </c>
      <c r="O303" s="8" t="s">
        <v>28</v>
      </c>
      <c r="P303" s="8">
        <v>22442.25</v>
      </c>
      <c r="Q303" s="8">
        <v>0</v>
      </c>
      <c r="R303" s="5">
        <f t="shared" si="10"/>
        <v>0</v>
      </c>
      <c r="S303" s="5">
        <f t="shared" si="12"/>
        <v>22442.25</v>
      </c>
      <c r="T303" s="8">
        <v>0</v>
      </c>
      <c r="U303" s="8" t="s">
        <v>31</v>
      </c>
      <c r="V303" s="8" t="str">
        <f t="shared" si="11"/>
        <v>Q3</v>
      </c>
      <c r="W303" s="9" t="s">
        <v>247</v>
      </c>
    </row>
    <row r="304" spans="1:23" ht="22.5" customHeight="1" x14ac:dyDescent="0.25">
      <c r="A304">
        <v>1159</v>
      </c>
      <c r="B304" t="s">
        <v>23</v>
      </c>
      <c r="C304" s="7" t="s">
        <v>442</v>
      </c>
      <c r="D304" s="8" t="s">
        <v>40</v>
      </c>
      <c r="E304" s="8" t="s">
        <v>440</v>
      </c>
      <c r="F304" s="15" t="s">
        <v>443</v>
      </c>
      <c r="G304" s="8" t="s">
        <v>28</v>
      </c>
      <c r="H304" s="8" t="s">
        <v>28</v>
      </c>
      <c r="I304" s="8" t="s">
        <v>28</v>
      </c>
      <c r="J304" s="8" t="s">
        <v>28</v>
      </c>
      <c r="K304" s="8" t="s">
        <v>29</v>
      </c>
      <c r="L304" s="8" t="s">
        <v>28</v>
      </c>
      <c r="M304" s="8" t="s">
        <v>28</v>
      </c>
      <c r="N304" s="8" t="s">
        <v>28</v>
      </c>
      <c r="O304" s="8" t="s">
        <v>28</v>
      </c>
      <c r="P304" s="8">
        <v>157952.5</v>
      </c>
      <c r="Q304" s="8">
        <v>0</v>
      </c>
      <c r="R304" s="5">
        <f t="shared" si="10"/>
        <v>0</v>
      </c>
      <c r="S304" s="5">
        <f t="shared" si="12"/>
        <v>157952.5</v>
      </c>
      <c r="T304" s="8">
        <v>0</v>
      </c>
      <c r="U304" s="8" t="s">
        <v>31</v>
      </c>
      <c r="V304" s="8" t="str">
        <f t="shared" si="11"/>
        <v>Q1</v>
      </c>
      <c r="W304" s="9" t="s">
        <v>247</v>
      </c>
    </row>
    <row r="305" spans="1:23" ht="22.5" customHeight="1" x14ac:dyDescent="0.25">
      <c r="A305">
        <v>1162</v>
      </c>
      <c r="B305" t="s">
        <v>23</v>
      </c>
      <c r="C305" s="7" t="s">
        <v>446</v>
      </c>
      <c r="D305" s="8" t="s">
        <v>40</v>
      </c>
      <c r="E305" s="8" t="s">
        <v>447</v>
      </c>
      <c r="F305" s="15" t="s">
        <v>448</v>
      </c>
      <c r="G305" s="8" t="s">
        <v>28</v>
      </c>
      <c r="H305" s="8" t="s">
        <v>28</v>
      </c>
      <c r="I305" s="8" t="s">
        <v>28</v>
      </c>
      <c r="J305" s="8" t="s">
        <v>28</v>
      </c>
      <c r="K305" s="8" t="s">
        <v>29</v>
      </c>
      <c r="L305" s="8" t="s">
        <v>28</v>
      </c>
      <c r="M305" s="8" t="s">
        <v>28</v>
      </c>
      <c r="N305" s="8" t="s">
        <v>28</v>
      </c>
      <c r="O305" s="8" t="s">
        <v>28</v>
      </c>
      <c r="P305" s="8">
        <v>13862</v>
      </c>
      <c r="Q305" s="8">
        <v>0</v>
      </c>
      <c r="R305" s="5">
        <f t="shared" si="10"/>
        <v>0</v>
      </c>
      <c r="S305" s="5">
        <f t="shared" si="12"/>
        <v>13862</v>
      </c>
      <c r="T305" s="8">
        <v>0</v>
      </c>
      <c r="U305" s="8" t="s">
        <v>31</v>
      </c>
      <c r="V305" s="8" t="str">
        <f t="shared" si="11"/>
        <v>Q1</v>
      </c>
      <c r="W305" s="9" t="s">
        <v>247</v>
      </c>
    </row>
    <row r="306" spans="1:23" ht="22.5" customHeight="1" x14ac:dyDescent="0.25">
      <c r="A306">
        <v>1165</v>
      </c>
      <c r="B306" t="s">
        <v>23</v>
      </c>
      <c r="C306" s="7" t="s">
        <v>454</v>
      </c>
      <c r="D306" s="8" t="s">
        <v>40</v>
      </c>
      <c r="E306" s="8" t="s">
        <v>440</v>
      </c>
      <c r="F306" s="15" t="s">
        <v>455</v>
      </c>
      <c r="G306" s="8" t="s">
        <v>28</v>
      </c>
      <c r="H306" s="8" t="s">
        <v>28</v>
      </c>
      <c r="I306" s="8" t="s">
        <v>28</v>
      </c>
      <c r="J306" s="8" t="s">
        <v>28</v>
      </c>
      <c r="K306" s="8" t="s">
        <v>29</v>
      </c>
      <c r="L306" s="8" t="s">
        <v>28</v>
      </c>
      <c r="M306" s="8" t="s">
        <v>28</v>
      </c>
      <c r="N306" s="8" t="s">
        <v>28</v>
      </c>
      <c r="O306" s="8" t="s">
        <v>28</v>
      </c>
      <c r="P306" s="8">
        <v>18342.5</v>
      </c>
      <c r="Q306" s="8">
        <v>0</v>
      </c>
      <c r="R306" s="5">
        <f t="shared" si="10"/>
        <v>0</v>
      </c>
      <c r="S306" s="5">
        <f t="shared" si="12"/>
        <v>18342.5</v>
      </c>
      <c r="T306" s="8">
        <v>0</v>
      </c>
      <c r="U306" s="8" t="s">
        <v>31</v>
      </c>
      <c r="V306" s="8" t="str">
        <f t="shared" si="11"/>
        <v>Q3</v>
      </c>
      <c r="W306" s="9" t="s">
        <v>247</v>
      </c>
    </row>
    <row r="307" spans="1:23" ht="22.5" customHeight="1" x14ac:dyDescent="0.25">
      <c r="A307">
        <v>1199</v>
      </c>
      <c r="B307" t="s">
        <v>23</v>
      </c>
      <c r="C307" s="7" t="s">
        <v>529</v>
      </c>
      <c r="D307" s="8" t="s">
        <v>25</v>
      </c>
      <c r="E307" s="8" t="s">
        <v>530</v>
      </c>
      <c r="F307" s="15" t="s">
        <v>174</v>
      </c>
      <c r="G307" s="8" t="s">
        <v>28</v>
      </c>
      <c r="H307" s="8" t="s">
        <v>28</v>
      </c>
      <c r="I307" s="8" t="s">
        <v>28</v>
      </c>
      <c r="J307" s="8" t="s">
        <v>28</v>
      </c>
      <c r="K307" s="8" t="s">
        <v>29</v>
      </c>
      <c r="L307" s="8" t="s">
        <v>28</v>
      </c>
      <c r="M307" s="8" t="s">
        <v>28</v>
      </c>
      <c r="N307" s="8" t="s">
        <v>28</v>
      </c>
      <c r="O307" s="8" t="s">
        <v>531</v>
      </c>
      <c r="P307" s="8">
        <v>4938.45</v>
      </c>
      <c r="Q307" s="8">
        <v>18</v>
      </c>
      <c r="R307" s="5">
        <f t="shared" si="10"/>
        <v>888.92099999999994</v>
      </c>
      <c r="S307" s="5">
        <f t="shared" si="12"/>
        <v>5827.3710000000001</v>
      </c>
      <c r="T307" s="8">
        <v>0</v>
      </c>
      <c r="U307" s="8" t="s">
        <v>31</v>
      </c>
      <c r="V307" s="8" t="str">
        <f t="shared" si="11"/>
        <v>Q3</v>
      </c>
      <c r="W307" s="9" t="s">
        <v>32</v>
      </c>
    </row>
    <row r="308" spans="1:23" ht="22.5" customHeight="1" x14ac:dyDescent="0.25">
      <c r="A308">
        <v>1200</v>
      </c>
      <c r="B308" t="s">
        <v>23</v>
      </c>
      <c r="C308" s="7" t="s">
        <v>532</v>
      </c>
      <c r="D308" s="8" t="s">
        <v>25</v>
      </c>
      <c r="E308" s="8" t="s">
        <v>390</v>
      </c>
      <c r="F308" s="15" t="s">
        <v>533</v>
      </c>
      <c r="G308" s="8" t="s">
        <v>28</v>
      </c>
      <c r="H308" s="8" t="s">
        <v>28</v>
      </c>
      <c r="I308" s="8" t="s">
        <v>28</v>
      </c>
      <c r="J308" s="8" t="s">
        <v>28</v>
      </c>
      <c r="K308" s="8" t="s">
        <v>29</v>
      </c>
      <c r="L308" s="8" t="s">
        <v>28</v>
      </c>
      <c r="M308" s="8" t="s">
        <v>28</v>
      </c>
      <c r="N308" s="8" t="s">
        <v>28</v>
      </c>
      <c r="O308" s="8" t="s">
        <v>160</v>
      </c>
      <c r="P308" s="8">
        <v>1685</v>
      </c>
      <c r="Q308" s="8">
        <v>18</v>
      </c>
      <c r="R308" s="5">
        <f t="shared" si="10"/>
        <v>303.3</v>
      </c>
      <c r="S308" s="5">
        <f t="shared" si="12"/>
        <v>1988.3</v>
      </c>
      <c r="T308" s="8">
        <v>0</v>
      </c>
      <c r="U308" s="8" t="s">
        <v>31</v>
      </c>
      <c r="V308" s="8" t="str">
        <f t="shared" si="11"/>
        <v>Q2</v>
      </c>
      <c r="W308" s="9" t="s">
        <v>32</v>
      </c>
    </row>
    <row r="309" spans="1:23" ht="22.5" customHeight="1" x14ac:dyDescent="0.25">
      <c r="A309">
        <v>1209</v>
      </c>
      <c r="B309" t="s">
        <v>23</v>
      </c>
      <c r="C309" s="7" t="s">
        <v>552</v>
      </c>
      <c r="D309" s="8" t="s">
        <v>25</v>
      </c>
      <c r="E309" s="8" t="s">
        <v>506</v>
      </c>
      <c r="F309" s="15" t="s">
        <v>553</v>
      </c>
      <c r="G309" s="8" t="s">
        <v>28</v>
      </c>
      <c r="H309" s="8" t="s">
        <v>28</v>
      </c>
      <c r="I309" s="8" t="s">
        <v>28</v>
      </c>
      <c r="J309" s="8" t="s">
        <v>28</v>
      </c>
      <c r="K309" s="8" t="s">
        <v>29</v>
      </c>
      <c r="L309" s="8" t="s">
        <v>28</v>
      </c>
      <c r="M309" s="8" t="s">
        <v>28</v>
      </c>
      <c r="N309" s="8" t="s">
        <v>28</v>
      </c>
      <c r="O309" s="8" t="s">
        <v>554</v>
      </c>
      <c r="P309" s="8">
        <v>5870</v>
      </c>
      <c r="Q309" s="8">
        <v>18</v>
      </c>
      <c r="R309" s="5">
        <f t="shared" si="10"/>
        <v>1056.6000000000001</v>
      </c>
      <c r="S309" s="5">
        <f t="shared" si="12"/>
        <v>6926.6</v>
      </c>
      <c r="T309" s="8">
        <v>0</v>
      </c>
      <c r="U309" s="8" t="s">
        <v>31</v>
      </c>
      <c r="V309" s="8" t="str">
        <f t="shared" si="11"/>
        <v>Q1</v>
      </c>
      <c r="W309" s="9" t="s">
        <v>32</v>
      </c>
    </row>
    <row r="310" spans="1:23" ht="22.5" customHeight="1" x14ac:dyDescent="0.25">
      <c r="A310">
        <v>1201</v>
      </c>
      <c r="B310" t="s">
        <v>23</v>
      </c>
      <c r="C310" s="7" t="s">
        <v>534</v>
      </c>
      <c r="D310" s="8" t="s">
        <v>25</v>
      </c>
      <c r="E310" s="8" t="s">
        <v>506</v>
      </c>
      <c r="F310" s="15" t="s">
        <v>535</v>
      </c>
      <c r="G310" s="8" t="s">
        <v>28</v>
      </c>
      <c r="H310" s="8" t="s">
        <v>28</v>
      </c>
      <c r="I310" s="8" t="s">
        <v>28</v>
      </c>
      <c r="J310" s="8" t="s">
        <v>28</v>
      </c>
      <c r="K310" s="8" t="s">
        <v>29</v>
      </c>
      <c r="L310" s="8" t="s">
        <v>28</v>
      </c>
      <c r="M310" s="8" t="s">
        <v>28</v>
      </c>
      <c r="N310" s="8" t="s">
        <v>28</v>
      </c>
      <c r="O310" s="8" t="s">
        <v>90</v>
      </c>
      <c r="P310" s="8">
        <v>29725.1</v>
      </c>
      <c r="Q310" s="8">
        <v>18</v>
      </c>
      <c r="R310" s="5">
        <f t="shared" si="10"/>
        <v>5350.518</v>
      </c>
      <c r="S310" s="5">
        <f t="shared" si="12"/>
        <v>35075.618000000002</v>
      </c>
      <c r="T310" s="8">
        <v>0</v>
      </c>
      <c r="U310" s="8" t="s">
        <v>31</v>
      </c>
      <c r="V310" s="8" t="str">
        <f t="shared" si="11"/>
        <v>Q3</v>
      </c>
      <c r="W310" s="9" t="s">
        <v>32</v>
      </c>
    </row>
    <row r="311" spans="1:23" ht="22.5" customHeight="1" x14ac:dyDescent="0.25">
      <c r="A311">
        <v>1202</v>
      </c>
      <c r="B311" t="s">
        <v>23</v>
      </c>
      <c r="C311" s="7" t="s">
        <v>536</v>
      </c>
      <c r="D311" s="8" t="s">
        <v>25</v>
      </c>
      <c r="E311" s="8" t="s">
        <v>537</v>
      </c>
      <c r="F311" s="15" t="s">
        <v>538</v>
      </c>
      <c r="G311" s="8" t="s">
        <v>28</v>
      </c>
      <c r="H311" s="8" t="s">
        <v>28</v>
      </c>
      <c r="I311" s="8" t="s">
        <v>28</v>
      </c>
      <c r="J311" s="8" t="s">
        <v>28</v>
      </c>
      <c r="K311" s="8" t="s">
        <v>29</v>
      </c>
      <c r="L311" s="8" t="s">
        <v>28</v>
      </c>
      <c r="M311" s="8" t="s">
        <v>28</v>
      </c>
      <c r="N311" s="8" t="s">
        <v>28</v>
      </c>
      <c r="O311" s="8" t="s">
        <v>79</v>
      </c>
      <c r="P311" s="8">
        <v>2995.55</v>
      </c>
      <c r="Q311" s="8">
        <v>18</v>
      </c>
      <c r="R311" s="5">
        <f t="shared" si="10"/>
        <v>539.19900000000007</v>
      </c>
      <c r="S311" s="5">
        <f t="shared" si="12"/>
        <v>3534.7490000000003</v>
      </c>
      <c r="T311" s="8">
        <v>0</v>
      </c>
      <c r="U311" s="8" t="s">
        <v>31</v>
      </c>
      <c r="V311" s="8" t="str">
        <f t="shared" si="11"/>
        <v>Q3</v>
      </c>
      <c r="W311" s="9" t="s">
        <v>32</v>
      </c>
    </row>
    <row r="312" spans="1:23" ht="22.5" customHeight="1" x14ac:dyDescent="0.25">
      <c r="A312">
        <v>1203</v>
      </c>
      <c r="B312" t="s">
        <v>23</v>
      </c>
      <c r="C312" s="7" t="s">
        <v>539</v>
      </c>
      <c r="D312" s="8" t="s">
        <v>25</v>
      </c>
      <c r="E312" s="8" t="s">
        <v>530</v>
      </c>
      <c r="F312" s="15" t="s">
        <v>540</v>
      </c>
      <c r="G312" s="8" t="s">
        <v>28</v>
      </c>
      <c r="H312" s="8" t="s">
        <v>28</v>
      </c>
      <c r="I312" s="8" t="s">
        <v>28</v>
      </c>
      <c r="J312" s="8" t="s">
        <v>28</v>
      </c>
      <c r="K312" s="8" t="s">
        <v>29</v>
      </c>
      <c r="L312" s="8" t="s">
        <v>28</v>
      </c>
      <c r="M312" s="8" t="s">
        <v>28</v>
      </c>
      <c r="N312" s="8" t="s">
        <v>28</v>
      </c>
      <c r="O312" s="8" t="s">
        <v>541</v>
      </c>
      <c r="P312" s="8">
        <v>178.89</v>
      </c>
      <c r="Q312" s="8">
        <v>18</v>
      </c>
      <c r="R312" s="5">
        <f t="shared" si="10"/>
        <v>32.200199999999995</v>
      </c>
      <c r="S312" s="5">
        <f t="shared" si="12"/>
        <v>211.09019999999998</v>
      </c>
      <c r="T312" s="8">
        <v>0</v>
      </c>
      <c r="U312" s="8" t="s">
        <v>31</v>
      </c>
      <c r="V312" s="8" t="str">
        <f t="shared" si="11"/>
        <v>Q3</v>
      </c>
      <c r="W312" s="9" t="s">
        <v>32</v>
      </c>
    </row>
    <row r="313" spans="1:23" ht="22.5" customHeight="1" x14ac:dyDescent="0.25">
      <c r="A313">
        <v>1204</v>
      </c>
      <c r="B313" t="s">
        <v>23</v>
      </c>
      <c r="C313" s="7" t="s">
        <v>542</v>
      </c>
      <c r="D313" s="8" t="s">
        <v>25</v>
      </c>
      <c r="E313" s="8" t="s">
        <v>270</v>
      </c>
      <c r="F313" s="15" t="s">
        <v>543</v>
      </c>
      <c r="G313" s="8" t="s">
        <v>28</v>
      </c>
      <c r="H313" s="8" t="s">
        <v>28</v>
      </c>
      <c r="I313" s="8" t="s">
        <v>28</v>
      </c>
      <c r="J313" s="8" t="s">
        <v>28</v>
      </c>
      <c r="K313" s="8" t="s">
        <v>29</v>
      </c>
      <c r="L313" s="8" t="s">
        <v>28</v>
      </c>
      <c r="M313" s="8" t="s">
        <v>28</v>
      </c>
      <c r="N313" s="8" t="s">
        <v>28</v>
      </c>
      <c r="O313" s="8" t="s">
        <v>544</v>
      </c>
      <c r="P313" s="8">
        <v>5614.96</v>
      </c>
      <c r="Q313" s="8">
        <v>18</v>
      </c>
      <c r="R313" s="5">
        <f t="shared" si="10"/>
        <v>1010.6928</v>
      </c>
      <c r="S313" s="5">
        <f t="shared" si="12"/>
        <v>6625.6527999999998</v>
      </c>
      <c r="T313" s="8">
        <v>0</v>
      </c>
      <c r="U313" s="8" t="s">
        <v>31</v>
      </c>
      <c r="V313" s="8" t="str">
        <f t="shared" si="11"/>
        <v>Q3</v>
      </c>
      <c r="W313" s="9" t="s">
        <v>32</v>
      </c>
    </row>
    <row r="314" spans="1:23" ht="22.5" customHeight="1" x14ac:dyDescent="0.25">
      <c r="A314">
        <v>1205</v>
      </c>
      <c r="B314" t="s">
        <v>23</v>
      </c>
      <c r="C314" s="7" t="s">
        <v>545</v>
      </c>
      <c r="D314" s="8" t="s">
        <v>25</v>
      </c>
      <c r="E314" s="8" t="s">
        <v>270</v>
      </c>
      <c r="F314" s="15" t="s">
        <v>533</v>
      </c>
      <c r="G314" s="8" t="s">
        <v>28</v>
      </c>
      <c r="H314" s="8" t="s">
        <v>28</v>
      </c>
      <c r="I314" s="8" t="s">
        <v>28</v>
      </c>
      <c r="J314" s="8" t="s">
        <v>28</v>
      </c>
      <c r="K314" s="8" t="s">
        <v>29</v>
      </c>
      <c r="L314" s="8" t="s">
        <v>28</v>
      </c>
      <c r="M314" s="8" t="s">
        <v>28</v>
      </c>
      <c r="N314" s="8" t="s">
        <v>28</v>
      </c>
      <c r="O314" s="8" t="s">
        <v>202</v>
      </c>
      <c r="P314" s="8">
        <v>7050</v>
      </c>
      <c r="Q314" s="8">
        <v>15</v>
      </c>
      <c r="R314" s="5">
        <f t="shared" si="10"/>
        <v>1057.5</v>
      </c>
      <c r="S314" s="5">
        <f t="shared" si="12"/>
        <v>8107.5</v>
      </c>
      <c r="T314" s="8">
        <v>0</v>
      </c>
      <c r="U314" s="8" t="s">
        <v>31</v>
      </c>
      <c r="V314" s="8" t="str">
        <f t="shared" si="11"/>
        <v>Q3</v>
      </c>
      <c r="W314" s="9" t="s">
        <v>32</v>
      </c>
    </row>
    <row r="315" spans="1:23" ht="22.5" customHeight="1" x14ac:dyDescent="0.25">
      <c r="A315">
        <v>1206</v>
      </c>
      <c r="B315" t="s">
        <v>23</v>
      </c>
      <c r="C315" s="7" t="s">
        <v>546</v>
      </c>
      <c r="D315" s="8" t="s">
        <v>25</v>
      </c>
      <c r="E315" s="8" t="s">
        <v>359</v>
      </c>
      <c r="F315" s="15" t="s">
        <v>345</v>
      </c>
      <c r="G315" s="8" t="s">
        <v>28</v>
      </c>
      <c r="H315" s="8" t="s">
        <v>28</v>
      </c>
      <c r="I315" s="8" t="s">
        <v>28</v>
      </c>
      <c r="J315" s="8" t="s">
        <v>28</v>
      </c>
      <c r="K315" s="8" t="s">
        <v>29</v>
      </c>
      <c r="L315" s="8" t="s">
        <v>28</v>
      </c>
      <c r="M315" s="8" t="s">
        <v>28</v>
      </c>
      <c r="N315" s="8" t="s">
        <v>28</v>
      </c>
      <c r="O315" s="8" t="s">
        <v>547</v>
      </c>
      <c r="P315" s="8">
        <v>3100</v>
      </c>
      <c r="Q315" s="8">
        <v>15</v>
      </c>
      <c r="R315" s="5">
        <f t="shared" si="10"/>
        <v>465</v>
      </c>
      <c r="S315" s="5">
        <f t="shared" si="12"/>
        <v>3565</v>
      </c>
      <c r="T315" s="8">
        <v>0</v>
      </c>
      <c r="U315" s="8" t="s">
        <v>31</v>
      </c>
      <c r="V315" s="8" t="str">
        <f t="shared" si="11"/>
        <v>Q3</v>
      </c>
      <c r="W315" s="9" t="s">
        <v>32</v>
      </c>
    </row>
    <row r="316" spans="1:23" ht="22.5" customHeight="1" x14ac:dyDescent="0.25">
      <c r="A316">
        <v>1207</v>
      </c>
      <c r="B316" t="s">
        <v>23</v>
      </c>
      <c r="C316" s="4" t="s">
        <v>548</v>
      </c>
      <c r="D316" s="5" t="s">
        <v>25</v>
      </c>
      <c r="E316" s="5" t="s">
        <v>537</v>
      </c>
      <c r="F316" s="14" t="s">
        <v>549</v>
      </c>
      <c r="G316" s="5" t="s">
        <v>28</v>
      </c>
      <c r="H316" s="5" t="s">
        <v>28</v>
      </c>
      <c r="I316" s="5" t="s">
        <v>28</v>
      </c>
      <c r="J316" s="5" t="s">
        <v>28</v>
      </c>
      <c r="K316" s="5" t="s">
        <v>29</v>
      </c>
      <c r="L316" s="5" t="s">
        <v>28</v>
      </c>
      <c r="M316" s="5" t="s">
        <v>28</v>
      </c>
      <c r="N316" s="5" t="s">
        <v>28</v>
      </c>
      <c r="O316" s="5" t="s">
        <v>262</v>
      </c>
      <c r="P316" s="5">
        <v>2969.3</v>
      </c>
      <c r="Q316" s="5">
        <v>18</v>
      </c>
      <c r="R316" s="5">
        <f t="shared" si="10"/>
        <v>534.47400000000005</v>
      </c>
      <c r="S316" s="5">
        <f t="shared" si="12"/>
        <v>3503.7740000000003</v>
      </c>
      <c r="T316" s="5">
        <v>0</v>
      </c>
      <c r="U316" s="5" t="s">
        <v>31</v>
      </c>
      <c r="V316" s="5" t="str">
        <f t="shared" si="11"/>
        <v>Q3</v>
      </c>
      <c r="W316" s="6" t="s">
        <v>32</v>
      </c>
    </row>
  </sheetData>
  <autoFilter ref="A1:W316" xr:uid="{00000000-0001-0000-0000-000000000000}">
    <sortState xmlns:xlrd2="http://schemas.microsoft.com/office/spreadsheetml/2017/richdata2" ref="A4:W244">
      <sortCondition ref="E1:E316"/>
    </sortState>
  </autoFilter>
  <pageMargins left="0.7" right="0.7" top="0.75" bottom="0.75" header="0.3" footer="0.3"/>
  <pageSetup paperSize="9" orientation="portrait" r:id="rId1"/>
  <ignoredErrors>
    <ignoredError sqref="A1: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Rahim/Chief Mud Engineer/PetroServ/OGDCL</dc:creator>
  <cp:lastModifiedBy>Shafiq Bukhari/Sr. Chemist/DS/OGDCL</cp:lastModifiedBy>
  <dcterms:created xsi:type="dcterms:W3CDTF">2026-09-21T11:26:23Z</dcterms:created>
  <dcterms:modified xsi:type="dcterms:W3CDTF">2026-10-02T05:48:23Z</dcterms:modified>
</cp:coreProperties>
</file>