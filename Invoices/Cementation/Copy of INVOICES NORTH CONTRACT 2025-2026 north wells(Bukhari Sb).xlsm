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e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expenditrack Project\Invoices\Cementation\"/>
    </mc:Choice>
  </mc:AlternateContent>
  <xr:revisionPtr revIDLastSave="0" documentId="13_ncr:1_{FF383D5A-42DB-4C80-BB01-CE863500E2EB}" xr6:coauthVersionLast="47" xr6:coauthVersionMax="47" xr10:uidLastSave="{00000000-0000-0000-0000-000000000000}"/>
  <bookViews>
    <workbookView xWindow="2685" yWindow="2685" windowWidth="21600" windowHeight="11235" firstSheet="2" activeTab="3" xr2:uid="{00000000-000D-0000-FFFF-FFFF00000000}"/>
  </bookViews>
  <sheets>
    <sheet name="2 (6)" sheetId="20" r:id="rId1"/>
    <sheet name="2 (4)" sheetId="18" r:id="rId2"/>
    <sheet name=" NORTH WELLS" sheetId="11" r:id="rId3"/>
    <sheet name="Sheet1" sheetId="25" r:id="rId4"/>
    <sheet name="COVERING LETTER NORTH" sheetId="24" r:id="rId5"/>
    <sheet name="NORTH Wells" sheetId="21" state="hidden" r:id="rId6"/>
    <sheet name="COVERING LETTER NORTH " sheetId="22" state="hidden" r:id="rId7"/>
  </sheets>
  <functionGroups builtInGroupCount="19"/>
  <definedNames>
    <definedName name="_xlnm._FilterDatabase" localSheetId="2" hidden="1">' NORTH WELLS'!$A$9:$S$67</definedName>
    <definedName name="_xleta.N" hidden="1" xlm="1">#NAME?</definedName>
    <definedName name="_xlnm.Print_Area" localSheetId="2">' NORTH WELLS'!$A$1:$G$395</definedName>
    <definedName name="_xlnm.Print_Area" localSheetId="4">'COVERING LETTER NORTH'!$A$1:$I$31</definedName>
    <definedName name="_xlnm.Print_Area" localSheetId="6">'COVERING LETTER NORTH '!$B$1:$J$28</definedName>
    <definedName name="_xlnm.Print_Area" localSheetId="5">'NORTH Wells'!$A$1:$G$128</definedName>
    <definedName name="_xlnm.Print_Titles" localSheetId="2">' NORTH WELLS'!$1:$9</definedName>
    <definedName name="_xlnm.Print_Titles" localSheetId="5">'NORTH Wells'!$1:$8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1" i="11" l="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10" i="11"/>
  <c r="I60" i="11" l="1"/>
  <c r="J60" i="11" s="1"/>
  <c r="K60" i="11" s="1"/>
  <c r="I61" i="11"/>
  <c r="J61" i="11" s="1"/>
  <c r="I62" i="11"/>
  <c r="J62" i="11" s="1"/>
  <c r="I63" i="11"/>
  <c r="J63" i="11" s="1"/>
  <c r="K63" i="11" s="1"/>
  <c r="I64" i="11"/>
  <c r="J64" i="11" s="1"/>
  <c r="K64" i="11" s="1"/>
  <c r="I65" i="11"/>
  <c r="J65" i="11" s="1"/>
  <c r="K65" i="11" s="1"/>
  <c r="I66" i="11"/>
  <c r="J66" i="11" s="1"/>
  <c r="K66" i="11" s="1"/>
  <c r="I49" i="11"/>
  <c r="J49" i="11" s="1"/>
  <c r="I50" i="11"/>
  <c r="J50" i="11" s="1"/>
  <c r="I51" i="11"/>
  <c r="J51" i="11" s="1"/>
  <c r="I52" i="11"/>
  <c r="J52" i="11" s="1"/>
  <c r="I53" i="11"/>
  <c r="J53" i="11" s="1"/>
  <c r="I54" i="11"/>
  <c r="J54" i="11" s="1"/>
  <c r="I55" i="11"/>
  <c r="J55" i="11" s="1"/>
  <c r="I56" i="11"/>
  <c r="J56" i="11" s="1"/>
  <c r="I57" i="11"/>
  <c r="J57" i="11" s="1"/>
  <c r="I58" i="11"/>
  <c r="J58" i="11" s="1"/>
  <c r="I59" i="11"/>
  <c r="J59" i="11" s="1"/>
  <c r="K67" i="11"/>
  <c r="I48" i="11"/>
  <c r="J48" i="11" s="1"/>
  <c r="I47" i="11"/>
  <c r="I46" i="11"/>
  <c r="J46" i="11" s="1"/>
  <c r="K46" i="11" s="1"/>
  <c r="I45" i="11"/>
  <c r="J45" i="11" s="1"/>
  <c r="K45" i="11" s="1"/>
  <c r="I44" i="11"/>
  <c r="J44" i="11" s="1"/>
  <c r="K44" i="11" s="1"/>
  <c r="I43" i="11"/>
  <c r="J43" i="11" s="1"/>
  <c r="I42" i="11"/>
  <c r="J42" i="11" s="1"/>
  <c r="I41" i="11"/>
  <c r="J41" i="11" s="1"/>
  <c r="I40" i="11"/>
  <c r="J40" i="11" s="1"/>
  <c r="I39" i="11"/>
  <c r="J39" i="11" s="1"/>
  <c r="K39" i="11" s="1"/>
  <c r="I38" i="11"/>
  <c r="J38" i="11" s="1"/>
  <c r="K38" i="11" s="1"/>
  <c r="I37" i="11"/>
  <c r="J37" i="11" s="1"/>
  <c r="K37" i="11" s="1"/>
  <c r="I36" i="11"/>
  <c r="J36" i="11" s="1"/>
  <c r="K36" i="11" s="1"/>
  <c r="I35" i="11"/>
  <c r="J35" i="11" s="1"/>
  <c r="K35" i="11" s="1"/>
  <c r="I34" i="11"/>
  <c r="J34" i="11" s="1"/>
  <c r="K34" i="11" s="1"/>
  <c r="I33" i="11"/>
  <c r="J33" i="11" s="1"/>
  <c r="K33" i="11" s="1"/>
  <c r="I32" i="11"/>
  <c r="J32" i="11" s="1"/>
  <c r="K32" i="11" s="1"/>
  <c r="I31" i="11"/>
  <c r="J31" i="11" s="1"/>
  <c r="I30" i="11"/>
  <c r="J30" i="11" s="1"/>
  <c r="I29" i="11"/>
  <c r="J29" i="11" s="1"/>
  <c r="I28" i="11"/>
  <c r="J28" i="11" s="1"/>
  <c r="I27" i="11"/>
  <c r="J27" i="11" s="1"/>
  <c r="K27" i="11" s="1"/>
  <c r="I26" i="11"/>
  <c r="J26" i="11" s="1"/>
  <c r="I25" i="11"/>
  <c r="J25" i="11" s="1"/>
  <c r="K25" i="11" s="1"/>
  <c r="I24" i="11"/>
  <c r="I23" i="11"/>
  <c r="I22" i="11"/>
  <c r="J22" i="11" s="1"/>
  <c r="K22" i="11" s="1"/>
  <c r="I21" i="11"/>
  <c r="J21" i="11" s="1"/>
  <c r="K21" i="11" s="1"/>
  <c r="I20" i="11"/>
  <c r="J20" i="11" s="1"/>
  <c r="K20" i="11" s="1"/>
  <c r="I19" i="11"/>
  <c r="J19" i="11" s="1"/>
  <c r="I18" i="11"/>
  <c r="J18" i="11" s="1"/>
  <c r="I17" i="11"/>
  <c r="J17" i="11" s="1"/>
  <c r="I16" i="11"/>
  <c r="J16" i="11" s="1"/>
  <c r="I15" i="11"/>
  <c r="J15" i="11" s="1"/>
  <c r="K15" i="11" s="1"/>
  <c r="I14" i="11"/>
  <c r="J14" i="11" s="1"/>
  <c r="K14" i="11" s="1"/>
  <c r="I13" i="11"/>
  <c r="J13" i="11" s="1"/>
  <c r="K13" i="11" s="1"/>
  <c r="I12" i="11"/>
  <c r="J12" i="11" s="1"/>
  <c r="K12" i="11" s="1"/>
  <c r="I11" i="11"/>
  <c r="J11" i="11" s="1"/>
  <c r="K11" i="11" s="1"/>
  <c r="I10" i="11"/>
  <c r="J10" i="11" s="1"/>
  <c r="K10" i="11" s="1"/>
  <c r="L10" i="11" s="1"/>
  <c r="K5" i="24"/>
  <c r="E5" i="24" s="1"/>
  <c r="G4" i="24"/>
  <c r="K40" i="11" l="1"/>
  <c r="K41" i="11"/>
  <c r="K19" i="11"/>
  <c r="K6" i="24"/>
  <c r="K23" i="11"/>
  <c r="K47" i="11"/>
  <c r="K16" i="11"/>
  <c r="K17" i="11"/>
  <c r="K31" i="11"/>
  <c r="K43" i="11"/>
  <c r="J24" i="11"/>
  <c r="K24" i="11" s="1"/>
  <c r="K28" i="11"/>
  <c r="K29" i="11"/>
  <c r="J47" i="11"/>
  <c r="J23" i="11"/>
  <c r="K48" i="11"/>
  <c r="K26" i="11"/>
  <c r="L11" i="11"/>
  <c r="L12" i="11" s="1"/>
  <c r="L13" i="11" s="1"/>
  <c r="L14" i="11" s="1"/>
  <c r="L15" i="11" s="1"/>
  <c r="K18" i="11"/>
  <c r="K30" i="11"/>
  <c r="K42" i="11"/>
  <c r="R10" i="11"/>
  <c r="L4" i="25"/>
  <c r="R4" i="25" s="1"/>
  <c r="J4" i="25"/>
  <c r="J5" i="25" s="1"/>
  <c r="J6" i="25" s="1"/>
  <c r="J7" i="25" s="1"/>
  <c r="J8" i="25" s="1"/>
  <c r="J9" i="25" s="1"/>
  <c r="J10" i="25" s="1"/>
  <c r="J11" i="25" s="1"/>
  <c r="J12" i="25" s="1"/>
  <c r="J13" i="25" s="1"/>
  <c r="J14" i="25" s="1"/>
  <c r="J15" i="25" s="1"/>
  <c r="J16" i="25" s="1"/>
  <c r="J17" i="25" s="1"/>
  <c r="J18" i="25" s="1"/>
  <c r="J19" i="25" s="1"/>
  <c r="J20" i="25" s="1"/>
  <c r="J21" i="25" s="1"/>
  <c r="J22" i="25" s="1"/>
  <c r="J23" i="25" s="1"/>
  <c r="J24" i="25" s="1"/>
  <c r="J25" i="25" s="1"/>
  <c r="J26" i="25" s="1"/>
  <c r="J27" i="25" s="1"/>
  <c r="J28" i="25" s="1"/>
  <c r="J29" i="25" s="1"/>
  <c r="J30" i="25" s="1"/>
  <c r="J31" i="25" s="1"/>
  <c r="J32" i="25" s="1"/>
  <c r="J33" i="25" s="1"/>
  <c r="J34" i="25" s="1"/>
  <c r="J35" i="25" s="1"/>
  <c r="J36" i="25" s="1"/>
  <c r="J37" i="25" s="1"/>
  <c r="J38" i="25" s="1"/>
  <c r="J39" i="25" s="1"/>
  <c r="J40" i="25" s="1"/>
  <c r="J41" i="25" s="1"/>
  <c r="J42" i="25" s="1"/>
  <c r="J43" i="25" s="1"/>
  <c r="J44" i="25" s="1"/>
  <c r="J45" i="25" s="1"/>
  <c r="J46" i="25" s="1"/>
  <c r="J47" i="25" s="1"/>
  <c r="J48" i="25" s="1"/>
  <c r="J49" i="25" s="1"/>
  <c r="J50" i="25" s="1"/>
  <c r="J51" i="25" s="1"/>
  <c r="J52" i="25" s="1"/>
  <c r="J53" i="25" s="1"/>
  <c r="J54" i="25" s="1"/>
  <c r="J55" i="25" s="1"/>
  <c r="J56" i="25" s="1"/>
  <c r="J57" i="25" s="1"/>
  <c r="J58" i="25" s="1"/>
  <c r="J59" i="25" s="1"/>
  <c r="J60" i="25" s="1"/>
  <c r="L16" i="11" l="1"/>
  <c r="L17" i="11" s="1"/>
  <c r="L18" i="11" s="1"/>
  <c r="L19" i="11" s="1"/>
  <c r="L20" i="11" s="1"/>
  <c r="L21" i="11" s="1"/>
  <c r="L22" i="11" s="1"/>
  <c r="L23" i="11" s="1"/>
  <c r="L24" i="11" s="1"/>
  <c r="L25" i="11" s="1"/>
  <c r="L26" i="11" s="1"/>
  <c r="L27" i="11" s="1"/>
  <c r="L28" i="11" s="1"/>
  <c r="L29" i="11" s="1"/>
  <c r="L30" i="11" s="1"/>
  <c r="L31" i="11" s="1"/>
  <c r="L32" i="11" s="1"/>
  <c r="L33" i="11" s="1"/>
  <c r="L34" i="11" s="1"/>
  <c r="L35" i="11" s="1"/>
  <c r="L36" i="11" s="1"/>
  <c r="L37" i="11" s="1"/>
  <c r="L38" i="11" s="1"/>
  <c r="L39" i="11" s="1"/>
  <c r="L40" i="11" s="1"/>
  <c r="L41" i="11" s="1"/>
  <c r="L42" i="11" s="1"/>
  <c r="L43" i="11" s="1"/>
  <c r="L44" i="11" s="1"/>
  <c r="L45" i="11" s="1"/>
  <c r="L46" i="11" s="1"/>
  <c r="L47" i="11" s="1"/>
  <c r="L48" i="11" s="1"/>
  <c r="R11" i="11"/>
  <c r="L5" i="25"/>
  <c r="L6" i="25" s="1"/>
  <c r="L7" i="25" s="1"/>
  <c r="C2" i="24"/>
  <c r="R6" i="25" l="1"/>
  <c r="R5" i="25"/>
  <c r="L8" i="25"/>
  <c r="R7" i="25"/>
  <c r="R12" i="11" l="1"/>
  <c r="R13" i="11"/>
  <c r="R8" i="25"/>
  <c r="L9" i="25"/>
  <c r="R14" i="11" l="1"/>
  <c r="L10" i="25"/>
  <c r="R9" i="25"/>
  <c r="D6" i="24"/>
  <c r="L11" i="25" l="1"/>
  <c r="R10" i="25"/>
  <c r="F8" i="11"/>
  <c r="L12" i="25" l="1"/>
  <c r="R11" i="25"/>
  <c r="O3" i="24"/>
  <c r="R12" i="25" l="1"/>
  <c r="L13" i="25"/>
  <c r="O5" i="24"/>
  <c r="O4" i="24"/>
  <c r="R6" i="24"/>
  <c r="L14" i="25" l="1"/>
  <c r="R13" i="25"/>
  <c r="G395" i="11"/>
  <c r="G394" i="11"/>
  <c r="G393" i="11"/>
  <c r="G392" i="11"/>
  <c r="G391" i="11"/>
  <c r="G390" i="11"/>
  <c r="G389" i="11"/>
  <c r="G388" i="11"/>
  <c r="G387" i="11"/>
  <c r="G386" i="11"/>
  <c r="G385" i="11"/>
  <c r="G384" i="11"/>
  <c r="G383" i="11"/>
  <c r="G382" i="11"/>
  <c r="G381" i="11"/>
  <c r="G380" i="11"/>
  <c r="G379" i="11"/>
  <c r="L15" i="25" l="1"/>
  <c r="R14" i="25"/>
  <c r="O6" i="24"/>
  <c r="L16" i="25" l="1"/>
  <c r="R15" i="25"/>
  <c r="I10" i="24"/>
  <c r="I11" i="24"/>
  <c r="R16" i="25" l="1"/>
  <c r="L17" i="25"/>
  <c r="A1" i="24"/>
  <c r="A2" i="24" s="1"/>
  <c r="A5" i="24" s="1"/>
  <c r="A6" i="24" s="1"/>
  <c r="A7" i="24" s="1"/>
  <c r="A12" i="24" s="1"/>
  <c r="A24" i="24" s="1"/>
  <c r="F81" i="21"/>
  <c r="G81" i="21"/>
  <c r="F82" i="21"/>
  <c r="G82" i="21"/>
  <c r="F83" i="21"/>
  <c r="G83" i="21"/>
  <c r="F84" i="21"/>
  <c r="G84" i="21"/>
  <c r="F85" i="21"/>
  <c r="G85" i="21"/>
  <c r="F86" i="21"/>
  <c r="G86" i="21"/>
  <c r="F87" i="21"/>
  <c r="G87" i="21"/>
  <c r="F88" i="21"/>
  <c r="G88" i="21"/>
  <c r="F89" i="21"/>
  <c r="G89" i="21"/>
  <c r="F90" i="21"/>
  <c r="G90" i="21"/>
  <c r="F91" i="21"/>
  <c r="G91" i="21"/>
  <c r="F92" i="21"/>
  <c r="G92" i="21"/>
  <c r="F93" i="21"/>
  <c r="G93" i="21"/>
  <c r="F94" i="21"/>
  <c r="G94" i="21"/>
  <c r="F95" i="21"/>
  <c r="G95" i="21"/>
  <c r="F96" i="21"/>
  <c r="G96" i="21"/>
  <c r="F97" i="21"/>
  <c r="G97" i="21"/>
  <c r="F98" i="21"/>
  <c r="G98" i="21"/>
  <c r="F99" i="21"/>
  <c r="G99" i="21"/>
  <c r="F100" i="21"/>
  <c r="G100" i="21"/>
  <c r="F101" i="21"/>
  <c r="G101" i="21"/>
  <c r="F102" i="21"/>
  <c r="G102" i="21"/>
  <c r="F103" i="21"/>
  <c r="G103" i="21"/>
  <c r="F104" i="21"/>
  <c r="G104" i="21"/>
  <c r="F105" i="21"/>
  <c r="G105" i="21"/>
  <c r="F106" i="21"/>
  <c r="G106" i="21"/>
  <c r="F107" i="21"/>
  <c r="G107" i="21"/>
  <c r="F108" i="21"/>
  <c r="G108" i="21"/>
  <c r="F109" i="21"/>
  <c r="G109" i="21"/>
  <c r="F110" i="21"/>
  <c r="G110" i="21"/>
  <c r="F111" i="21"/>
  <c r="G111" i="21"/>
  <c r="F112" i="21"/>
  <c r="G112" i="21"/>
  <c r="F113" i="21"/>
  <c r="G113" i="21"/>
  <c r="F114" i="21"/>
  <c r="G114" i="21"/>
  <c r="F115" i="21"/>
  <c r="G115" i="21"/>
  <c r="F116" i="21"/>
  <c r="G116" i="21"/>
  <c r="F117" i="21"/>
  <c r="G117" i="21"/>
  <c r="F118" i="21"/>
  <c r="G118" i="21"/>
  <c r="F119" i="21"/>
  <c r="G119" i="21"/>
  <c r="F120" i="21"/>
  <c r="G120" i="21"/>
  <c r="F121" i="21"/>
  <c r="G121" i="21"/>
  <c r="F122" i="21"/>
  <c r="G122" i="21"/>
  <c r="F123" i="21"/>
  <c r="G123" i="21"/>
  <c r="F124" i="21"/>
  <c r="G124" i="21"/>
  <c r="F125" i="21"/>
  <c r="G125" i="21"/>
  <c r="F126" i="21"/>
  <c r="G126" i="21"/>
  <c r="F127" i="21"/>
  <c r="G127" i="21"/>
  <c r="F128" i="21"/>
  <c r="G128" i="21"/>
  <c r="F129" i="21"/>
  <c r="G129" i="21"/>
  <c r="F130" i="21"/>
  <c r="G130" i="21"/>
  <c r="F131" i="21"/>
  <c r="G131" i="21"/>
  <c r="F132" i="21"/>
  <c r="G132" i="21"/>
  <c r="F133" i="21"/>
  <c r="G133" i="21"/>
  <c r="F134" i="21"/>
  <c r="G134" i="21"/>
  <c r="F135" i="21"/>
  <c r="G135" i="21"/>
  <c r="F136" i="21"/>
  <c r="G136" i="21"/>
  <c r="F137" i="21"/>
  <c r="G137" i="21"/>
  <c r="F138" i="21"/>
  <c r="G138" i="21"/>
  <c r="F139" i="21"/>
  <c r="G139" i="21"/>
  <c r="F140" i="21"/>
  <c r="G140" i="21"/>
  <c r="F141" i="21"/>
  <c r="G141" i="21"/>
  <c r="F142" i="21"/>
  <c r="G142" i="21"/>
  <c r="F143" i="21"/>
  <c r="G143" i="21"/>
  <c r="F144" i="21"/>
  <c r="G144" i="21"/>
  <c r="F145" i="21"/>
  <c r="G145" i="21"/>
  <c r="F146" i="21"/>
  <c r="G146" i="21"/>
  <c r="F147" i="21"/>
  <c r="G147" i="21"/>
  <c r="F148" i="21"/>
  <c r="G148" i="21"/>
  <c r="F149" i="21"/>
  <c r="G149" i="21"/>
  <c r="F150" i="21"/>
  <c r="G150" i="21"/>
  <c r="F151" i="21"/>
  <c r="G151" i="21"/>
  <c r="F152" i="21"/>
  <c r="G152" i="21"/>
  <c r="F153" i="21"/>
  <c r="G153" i="21"/>
  <c r="F154" i="21"/>
  <c r="G154" i="21"/>
  <c r="F155" i="21"/>
  <c r="G155" i="21"/>
  <c r="F156" i="21"/>
  <c r="G156" i="21"/>
  <c r="F157" i="21"/>
  <c r="G157" i="21"/>
  <c r="F158" i="21"/>
  <c r="G158" i="21"/>
  <c r="F159" i="21"/>
  <c r="G159" i="21"/>
  <c r="F160" i="21"/>
  <c r="G160" i="21"/>
  <c r="F161" i="21"/>
  <c r="G161" i="21"/>
  <c r="F162" i="21"/>
  <c r="G162" i="21"/>
  <c r="F163" i="21"/>
  <c r="G163" i="21"/>
  <c r="F164" i="21"/>
  <c r="G164" i="21"/>
  <c r="F165" i="21"/>
  <c r="G165" i="21"/>
  <c r="F166" i="21"/>
  <c r="G166" i="21"/>
  <c r="F167" i="21"/>
  <c r="G167" i="21"/>
  <c r="F168" i="21"/>
  <c r="G168" i="21"/>
  <c r="F169" i="21"/>
  <c r="G169" i="21"/>
  <c r="F170" i="21"/>
  <c r="G170" i="21"/>
  <c r="F171" i="21"/>
  <c r="G171" i="21"/>
  <c r="F172" i="21"/>
  <c r="G172" i="21"/>
  <c r="F173" i="21"/>
  <c r="G173" i="21"/>
  <c r="F174" i="21"/>
  <c r="G174" i="21"/>
  <c r="F175" i="21"/>
  <c r="G175" i="21"/>
  <c r="F176" i="21"/>
  <c r="G176" i="21"/>
  <c r="F177" i="21"/>
  <c r="G177" i="21"/>
  <c r="F178" i="21"/>
  <c r="G178" i="21"/>
  <c r="F179" i="21"/>
  <c r="G179" i="21"/>
  <c r="F180" i="21"/>
  <c r="G180" i="21"/>
  <c r="F181" i="21"/>
  <c r="G181" i="21"/>
  <c r="F182" i="21"/>
  <c r="G182" i="21"/>
  <c r="F183" i="21"/>
  <c r="G183" i="21"/>
  <c r="F184" i="21"/>
  <c r="G184" i="21"/>
  <c r="F185" i="21"/>
  <c r="G185" i="21"/>
  <c r="F186" i="21"/>
  <c r="G186" i="21"/>
  <c r="F187" i="21"/>
  <c r="G187" i="21"/>
  <c r="F188" i="21"/>
  <c r="G188" i="21"/>
  <c r="F189" i="21"/>
  <c r="G189" i="21"/>
  <c r="F190" i="21"/>
  <c r="G190" i="21"/>
  <c r="F191" i="21"/>
  <c r="G191" i="21"/>
  <c r="F192" i="21"/>
  <c r="G192" i="21"/>
  <c r="F193" i="21"/>
  <c r="G193" i="21"/>
  <c r="F194" i="21"/>
  <c r="G194" i="21"/>
  <c r="F195" i="21"/>
  <c r="G195" i="21"/>
  <c r="F196" i="21"/>
  <c r="G196" i="21"/>
  <c r="F197" i="21"/>
  <c r="G197" i="21"/>
  <c r="F198" i="21"/>
  <c r="G198" i="21"/>
  <c r="F199" i="21"/>
  <c r="G199" i="21"/>
  <c r="F200" i="21"/>
  <c r="G200" i="21"/>
  <c r="F201" i="21"/>
  <c r="G201" i="21"/>
  <c r="F202" i="21"/>
  <c r="G202" i="21"/>
  <c r="F203" i="21"/>
  <c r="G203" i="21"/>
  <c r="F204" i="21"/>
  <c r="G204" i="21"/>
  <c r="F205" i="21"/>
  <c r="G205" i="21"/>
  <c r="F206" i="21"/>
  <c r="G206" i="21"/>
  <c r="F207" i="21"/>
  <c r="G207" i="21"/>
  <c r="F208" i="21"/>
  <c r="G208" i="21"/>
  <c r="F209" i="21"/>
  <c r="G209" i="21"/>
  <c r="F210" i="21"/>
  <c r="G210" i="21"/>
  <c r="F211" i="21"/>
  <c r="G211" i="21"/>
  <c r="F212" i="21"/>
  <c r="G212" i="21"/>
  <c r="F213" i="21"/>
  <c r="G213" i="21"/>
  <c r="F214" i="21"/>
  <c r="G214" i="21"/>
  <c r="F215" i="21"/>
  <c r="G215" i="21"/>
  <c r="F216" i="21"/>
  <c r="G216" i="21"/>
  <c r="F217" i="21"/>
  <c r="G217" i="21"/>
  <c r="F218" i="21"/>
  <c r="G218" i="21"/>
  <c r="F219" i="21"/>
  <c r="G219" i="21"/>
  <c r="F220" i="21"/>
  <c r="G220" i="21"/>
  <c r="F221" i="21"/>
  <c r="G221" i="21"/>
  <c r="F222" i="21"/>
  <c r="G222" i="21"/>
  <c r="F223" i="21"/>
  <c r="G223" i="21"/>
  <c r="F224" i="21"/>
  <c r="G224" i="21"/>
  <c r="F225" i="21"/>
  <c r="G225" i="21"/>
  <c r="F226" i="21"/>
  <c r="G226" i="21"/>
  <c r="F227" i="21"/>
  <c r="G227" i="21"/>
  <c r="F228" i="21"/>
  <c r="G228" i="21"/>
  <c r="F229" i="21"/>
  <c r="G229" i="21"/>
  <c r="F230" i="21"/>
  <c r="G230" i="21"/>
  <c r="F231" i="21"/>
  <c r="G231" i="21"/>
  <c r="F232" i="21"/>
  <c r="G232" i="21"/>
  <c r="F233" i="21"/>
  <c r="G233" i="21"/>
  <c r="F234" i="21"/>
  <c r="G234" i="21"/>
  <c r="F235" i="21"/>
  <c r="G235" i="21"/>
  <c r="F236" i="21"/>
  <c r="G236" i="21"/>
  <c r="F237" i="21"/>
  <c r="G237" i="21"/>
  <c r="F238" i="21"/>
  <c r="G238" i="21"/>
  <c r="F239" i="21"/>
  <c r="G239" i="21"/>
  <c r="F240" i="21"/>
  <c r="G240" i="21"/>
  <c r="F241" i="21"/>
  <c r="G241" i="21"/>
  <c r="F242" i="21"/>
  <c r="G242" i="21"/>
  <c r="F243" i="21"/>
  <c r="G243" i="21"/>
  <c r="F244" i="21"/>
  <c r="G244" i="21"/>
  <c r="F245" i="21"/>
  <c r="G245" i="21"/>
  <c r="F246" i="21"/>
  <c r="G246" i="21"/>
  <c r="F247" i="21"/>
  <c r="G247" i="21"/>
  <c r="F248" i="21"/>
  <c r="G248" i="21"/>
  <c r="F249" i="21"/>
  <c r="G249" i="21"/>
  <c r="F250" i="21"/>
  <c r="G250" i="21"/>
  <c r="F251" i="21"/>
  <c r="G251" i="21"/>
  <c r="F252" i="21"/>
  <c r="G252" i="21"/>
  <c r="F253" i="21"/>
  <c r="G253" i="21"/>
  <c r="F254" i="21"/>
  <c r="G254" i="21"/>
  <c r="F255" i="21"/>
  <c r="G255" i="21"/>
  <c r="F256" i="21"/>
  <c r="G256" i="21"/>
  <c r="F257" i="21"/>
  <c r="G257" i="21"/>
  <c r="F258" i="21"/>
  <c r="G258" i="21"/>
  <c r="F259" i="21"/>
  <c r="G259" i="21"/>
  <c r="F260" i="21"/>
  <c r="G260" i="21"/>
  <c r="F261" i="21"/>
  <c r="G261" i="21"/>
  <c r="F262" i="21"/>
  <c r="G262" i="21"/>
  <c r="F263" i="21"/>
  <c r="G263" i="21"/>
  <c r="F264" i="21"/>
  <c r="G264" i="21"/>
  <c r="F265" i="21"/>
  <c r="G265" i="21"/>
  <c r="F266" i="21"/>
  <c r="G266" i="21"/>
  <c r="F267" i="21"/>
  <c r="G267" i="21"/>
  <c r="F268" i="21"/>
  <c r="G268" i="21"/>
  <c r="F269" i="21"/>
  <c r="G269" i="21"/>
  <c r="F270" i="21"/>
  <c r="G270" i="21"/>
  <c r="F271" i="21"/>
  <c r="G271" i="21"/>
  <c r="F272" i="21"/>
  <c r="G272" i="21"/>
  <c r="F273" i="21"/>
  <c r="G273" i="21"/>
  <c r="F274" i="21"/>
  <c r="G274" i="21"/>
  <c r="F275" i="21"/>
  <c r="G275" i="21"/>
  <c r="F276" i="21"/>
  <c r="G276" i="21"/>
  <c r="F277" i="21"/>
  <c r="G277" i="21"/>
  <c r="F278" i="21"/>
  <c r="G278" i="21"/>
  <c r="F279" i="21"/>
  <c r="G279" i="21"/>
  <c r="F280" i="21"/>
  <c r="G280" i="21"/>
  <c r="F281" i="21"/>
  <c r="G281" i="21"/>
  <c r="F282" i="21"/>
  <c r="G282" i="21"/>
  <c r="F283" i="21"/>
  <c r="G283" i="21"/>
  <c r="F284" i="21"/>
  <c r="G284" i="21"/>
  <c r="F285" i="21"/>
  <c r="G285" i="21"/>
  <c r="F286" i="21"/>
  <c r="G286" i="21"/>
  <c r="F287" i="21"/>
  <c r="G287" i="21"/>
  <c r="F288" i="21"/>
  <c r="G288" i="21"/>
  <c r="F289" i="21"/>
  <c r="G289" i="21"/>
  <c r="F290" i="21"/>
  <c r="G290" i="21"/>
  <c r="F291" i="21"/>
  <c r="G291" i="21"/>
  <c r="F292" i="21"/>
  <c r="G292" i="21"/>
  <c r="F293" i="21"/>
  <c r="G293" i="21"/>
  <c r="F294" i="21"/>
  <c r="G294" i="21"/>
  <c r="F295" i="21"/>
  <c r="G295" i="21"/>
  <c r="F296" i="21"/>
  <c r="G296" i="21"/>
  <c r="F297" i="21"/>
  <c r="G297" i="21"/>
  <c r="F298" i="21"/>
  <c r="G298" i="21"/>
  <c r="F299" i="21"/>
  <c r="G299" i="21"/>
  <c r="F300" i="21"/>
  <c r="G300" i="21"/>
  <c r="F301" i="21"/>
  <c r="G301" i="21"/>
  <c r="F302" i="21"/>
  <c r="G302" i="21"/>
  <c r="F303" i="21"/>
  <c r="G303" i="21"/>
  <c r="F304" i="21"/>
  <c r="G304" i="21"/>
  <c r="F305" i="21"/>
  <c r="G305" i="21"/>
  <c r="F306" i="21"/>
  <c r="G306" i="21"/>
  <c r="F307" i="21"/>
  <c r="G307" i="21"/>
  <c r="F308" i="21"/>
  <c r="G308" i="21"/>
  <c r="F309" i="21"/>
  <c r="G309" i="21"/>
  <c r="F310" i="21"/>
  <c r="G310" i="21"/>
  <c r="F311" i="21"/>
  <c r="G311" i="21"/>
  <c r="F312" i="21"/>
  <c r="G312" i="21"/>
  <c r="F313" i="21"/>
  <c r="G313" i="21"/>
  <c r="F314" i="21"/>
  <c r="G314" i="21"/>
  <c r="F315" i="21"/>
  <c r="G315" i="21"/>
  <c r="F316" i="21"/>
  <c r="G316" i="21"/>
  <c r="F317" i="21"/>
  <c r="G317" i="21"/>
  <c r="F318" i="21"/>
  <c r="G318" i="21"/>
  <c r="F319" i="21"/>
  <c r="G319" i="21"/>
  <c r="F320" i="21"/>
  <c r="G320" i="21"/>
  <c r="F321" i="21"/>
  <c r="G321" i="21"/>
  <c r="F322" i="21"/>
  <c r="G322" i="21"/>
  <c r="F323" i="21"/>
  <c r="G323" i="21"/>
  <c r="F324" i="21"/>
  <c r="G324" i="21"/>
  <c r="F325" i="21"/>
  <c r="G325" i="21"/>
  <c r="F326" i="21"/>
  <c r="G326" i="21"/>
  <c r="F327" i="21"/>
  <c r="G327" i="21"/>
  <c r="F328" i="21"/>
  <c r="G328" i="21"/>
  <c r="F329" i="21"/>
  <c r="G329" i="21"/>
  <c r="F330" i="21"/>
  <c r="G330" i="21"/>
  <c r="F331" i="21"/>
  <c r="G331" i="21"/>
  <c r="F332" i="21"/>
  <c r="G332" i="21"/>
  <c r="F333" i="21"/>
  <c r="G333" i="21"/>
  <c r="F334" i="21"/>
  <c r="G334" i="21"/>
  <c r="F335" i="21"/>
  <c r="G335" i="21"/>
  <c r="F336" i="21"/>
  <c r="G336" i="21"/>
  <c r="F337" i="21"/>
  <c r="G337" i="21"/>
  <c r="F338" i="21"/>
  <c r="G338" i="21"/>
  <c r="F339" i="21"/>
  <c r="G339" i="21"/>
  <c r="F340" i="21"/>
  <c r="G340" i="21"/>
  <c r="F341" i="21"/>
  <c r="G341" i="21"/>
  <c r="F342" i="21"/>
  <c r="G342" i="21"/>
  <c r="F343" i="21"/>
  <c r="G343" i="21"/>
  <c r="F344" i="21"/>
  <c r="G344" i="21"/>
  <c r="F345" i="21"/>
  <c r="G345" i="21"/>
  <c r="F346" i="21"/>
  <c r="G346" i="21"/>
  <c r="F347" i="21"/>
  <c r="G347" i="21"/>
  <c r="F348" i="21"/>
  <c r="G348" i="21"/>
  <c r="F349" i="21"/>
  <c r="G349" i="21"/>
  <c r="F350" i="21"/>
  <c r="G350" i="21"/>
  <c r="F351" i="21"/>
  <c r="G351" i="21"/>
  <c r="F352" i="21"/>
  <c r="G352" i="21"/>
  <c r="F353" i="21"/>
  <c r="G353" i="21"/>
  <c r="F354" i="21"/>
  <c r="G354" i="21"/>
  <c r="F355" i="21"/>
  <c r="G355" i="21"/>
  <c r="F356" i="21"/>
  <c r="G356" i="21"/>
  <c r="F357" i="21"/>
  <c r="G357" i="21"/>
  <c r="F358" i="21"/>
  <c r="G358" i="21"/>
  <c r="F359" i="21"/>
  <c r="G359" i="21"/>
  <c r="F360" i="21"/>
  <c r="G360" i="21"/>
  <c r="F361" i="21"/>
  <c r="G361" i="21"/>
  <c r="F362" i="21"/>
  <c r="G362" i="21"/>
  <c r="F363" i="21"/>
  <c r="G363" i="21"/>
  <c r="F364" i="21"/>
  <c r="G364" i="21"/>
  <c r="F365" i="21"/>
  <c r="G365" i="21"/>
  <c r="F366" i="21"/>
  <c r="G366" i="21"/>
  <c r="F367" i="21"/>
  <c r="G367" i="21"/>
  <c r="F368" i="21"/>
  <c r="G368" i="21"/>
  <c r="F369" i="21"/>
  <c r="G369" i="21"/>
  <c r="F370" i="21"/>
  <c r="G370" i="21"/>
  <c r="F371" i="21"/>
  <c r="G371" i="21"/>
  <c r="F372" i="21"/>
  <c r="G372" i="21"/>
  <c r="F373" i="21"/>
  <c r="G373" i="21"/>
  <c r="F374" i="21"/>
  <c r="G374" i="21"/>
  <c r="F375" i="21"/>
  <c r="G375" i="21"/>
  <c r="F376" i="21"/>
  <c r="G376" i="21"/>
  <c r="F377" i="21"/>
  <c r="G377" i="21"/>
  <c r="F378" i="21"/>
  <c r="G378" i="21"/>
  <c r="F379" i="21"/>
  <c r="G379" i="21"/>
  <c r="F380" i="21"/>
  <c r="G380" i="21"/>
  <c r="F381" i="21"/>
  <c r="G381" i="21"/>
  <c r="F382" i="21"/>
  <c r="G382" i="21"/>
  <c r="F383" i="21"/>
  <c r="G383" i="21"/>
  <c r="F384" i="21"/>
  <c r="G384" i="21"/>
  <c r="F385" i="21"/>
  <c r="G385" i="21"/>
  <c r="F386" i="21"/>
  <c r="G386" i="21"/>
  <c r="F387" i="21"/>
  <c r="G387" i="21"/>
  <c r="F388" i="21"/>
  <c r="G388" i="21"/>
  <c r="F389" i="21"/>
  <c r="G389" i="21"/>
  <c r="F390" i="21"/>
  <c r="G390" i="21"/>
  <c r="F391" i="21"/>
  <c r="G391" i="21"/>
  <c r="F392" i="21"/>
  <c r="G392" i="21"/>
  <c r="F393" i="21"/>
  <c r="G393" i="21"/>
  <c r="F394" i="21"/>
  <c r="G394" i="21"/>
  <c r="F395" i="21"/>
  <c r="G395" i="21"/>
  <c r="F396" i="21"/>
  <c r="G396" i="21"/>
  <c r="F397" i="21"/>
  <c r="G397" i="21"/>
  <c r="F398" i="21"/>
  <c r="G398" i="21"/>
  <c r="F399" i="21"/>
  <c r="G399" i="21"/>
  <c r="F400" i="21"/>
  <c r="G400" i="21"/>
  <c r="O5" i="22"/>
  <c r="O4" i="22"/>
  <c r="O3" i="22"/>
  <c r="L18" i="25" l="1"/>
  <c r="R17" i="25"/>
  <c r="A27" i="24"/>
  <c r="B1" i="22"/>
  <c r="B2" i="22" s="1"/>
  <c r="B5" i="22" s="1"/>
  <c r="B7" i="22" s="1"/>
  <c r="B12" i="22" s="1"/>
  <c r="B19" i="22" s="1"/>
  <c r="B23" i="22" s="1"/>
  <c r="B26" i="22" s="1"/>
  <c r="J8" i="22"/>
  <c r="J9" i="22"/>
  <c r="J10" i="22"/>
  <c r="J11" i="22"/>
  <c r="L19" i="25" l="1"/>
  <c r="R18" i="25"/>
  <c r="C6" i="22"/>
  <c r="H4" i="22"/>
  <c r="D2" i="22"/>
  <c r="D6" i="22"/>
  <c r="L20" i="25" l="1"/>
  <c r="R19" i="25"/>
  <c r="G10" i="21"/>
  <c r="G11" i="21" s="1"/>
  <c r="G12" i="21" s="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G24" i="21" s="1"/>
  <c r="G25" i="21" s="1"/>
  <c r="G26" i="21" s="1"/>
  <c r="G27" i="21" s="1"/>
  <c r="G28" i="21" s="1"/>
  <c r="G29" i="21" s="1"/>
  <c r="G30" i="21" s="1"/>
  <c r="G31" i="21" s="1"/>
  <c r="G32" i="21" s="1"/>
  <c r="G33" i="21" s="1"/>
  <c r="G34" i="21" s="1"/>
  <c r="G35" i="21" s="1"/>
  <c r="G36" i="21" s="1"/>
  <c r="G37" i="21" s="1"/>
  <c r="G38" i="21" s="1"/>
  <c r="G39" i="21" s="1"/>
  <c r="G40" i="21" s="1"/>
  <c r="G41" i="21" s="1"/>
  <c r="G42" i="21" s="1"/>
  <c r="G43" i="21" s="1"/>
  <c r="G44" i="21" s="1"/>
  <c r="G45" i="21" s="1"/>
  <c r="G46" i="21" s="1"/>
  <c r="G47" i="21" s="1"/>
  <c r="G48" i="21" s="1"/>
  <c r="G49" i="21" s="1"/>
  <c r="G50" i="21" s="1"/>
  <c r="G51" i="21" s="1"/>
  <c r="G52" i="21" s="1"/>
  <c r="G53" i="21" s="1"/>
  <c r="G54" i="21" s="1"/>
  <c r="G55" i="21" s="1"/>
  <c r="G56" i="21" s="1"/>
  <c r="D7" i="21"/>
  <c r="R20" i="25" l="1"/>
  <c r="L21" i="25"/>
  <c r="F9" i="21"/>
  <c r="F10" i="21" s="1"/>
  <c r="F11" i="21" s="1"/>
  <c r="F12" i="21" s="1"/>
  <c r="F13" i="21" s="1"/>
  <c r="F14" i="21" s="1"/>
  <c r="F15" i="21" s="1"/>
  <c r="F16" i="21" s="1"/>
  <c r="F17" i="21" s="1"/>
  <c r="F18" i="21" s="1"/>
  <c r="F19" i="21" s="1"/>
  <c r="F20" i="21" s="1"/>
  <c r="F21" i="21" s="1"/>
  <c r="F22" i="21" s="1"/>
  <c r="F23" i="21" s="1"/>
  <c r="F24" i="21" s="1"/>
  <c r="F25" i="21" s="1"/>
  <c r="F26" i="21" s="1"/>
  <c r="F27" i="21" s="1"/>
  <c r="F28" i="21" s="1"/>
  <c r="F29" i="21" s="1"/>
  <c r="F30" i="21" s="1"/>
  <c r="F31" i="21" s="1"/>
  <c r="F32" i="21" s="1"/>
  <c r="F33" i="21" s="1"/>
  <c r="F34" i="21" s="1"/>
  <c r="F35" i="21" s="1"/>
  <c r="F36" i="21" s="1"/>
  <c r="F37" i="21" s="1"/>
  <c r="F38" i="21" s="1"/>
  <c r="F39" i="21" s="1"/>
  <c r="F40" i="21" s="1"/>
  <c r="F41" i="21" s="1"/>
  <c r="F42" i="21" s="1"/>
  <c r="F43" i="21" s="1"/>
  <c r="F44" i="21" s="1"/>
  <c r="F45" i="21" s="1"/>
  <c r="F46" i="21" s="1"/>
  <c r="F47" i="21" s="1"/>
  <c r="F48" i="21" s="1"/>
  <c r="F49" i="21" s="1"/>
  <c r="F50" i="21" s="1"/>
  <c r="F51" i="21" s="1"/>
  <c r="F52" i="21" s="1"/>
  <c r="F53" i="21" s="1"/>
  <c r="F54" i="21" s="1"/>
  <c r="F55" i="21" s="1"/>
  <c r="F56" i="21" s="1"/>
  <c r="F57" i="21" s="1"/>
  <c r="F58" i="21" s="1"/>
  <c r="F59" i="21" s="1"/>
  <c r="F60" i="21" s="1"/>
  <c r="F61" i="21" s="1"/>
  <c r="F62" i="21" s="1"/>
  <c r="F63" i="21" s="1"/>
  <c r="F64" i="21" s="1"/>
  <c r="F65" i="21" s="1"/>
  <c r="F66" i="21" s="1"/>
  <c r="F67" i="21" s="1"/>
  <c r="F68" i="21" s="1"/>
  <c r="F69" i="21" s="1"/>
  <c r="F70" i="21" s="1"/>
  <c r="F71" i="21" s="1"/>
  <c r="F72" i="21" s="1"/>
  <c r="F73" i="21" s="1"/>
  <c r="F74" i="21" s="1"/>
  <c r="F75" i="21" s="1"/>
  <c r="F76" i="21" s="1"/>
  <c r="F77" i="21" s="1"/>
  <c r="F78" i="21" s="1"/>
  <c r="F79" i="21" s="1"/>
  <c r="F80" i="21" s="1"/>
  <c r="G7" i="21"/>
  <c r="G57" i="21"/>
  <c r="G58" i="21" s="1"/>
  <c r="G59" i="21" s="1"/>
  <c r="G60" i="21" s="1"/>
  <c r="G61" i="21" s="1"/>
  <c r="G62" i="21" s="1"/>
  <c r="G63" i="21" s="1"/>
  <c r="G64" i="21" s="1"/>
  <c r="G65" i="21" s="1"/>
  <c r="G66" i="21" s="1"/>
  <c r="G67" i="21" s="1"/>
  <c r="G68" i="21" s="1"/>
  <c r="G69" i="21" s="1"/>
  <c r="G70" i="21" s="1"/>
  <c r="G71" i="21" s="1"/>
  <c r="G72" i="21" s="1"/>
  <c r="G73" i="21" s="1"/>
  <c r="G74" i="21" s="1"/>
  <c r="G75" i="21" s="1"/>
  <c r="G76" i="21" s="1"/>
  <c r="G77" i="21" s="1"/>
  <c r="G78" i="21" s="1"/>
  <c r="G79" i="21" s="1"/>
  <c r="G80" i="21" s="1"/>
  <c r="L22" i="25" l="1"/>
  <c r="R21" i="25"/>
  <c r="F7" i="21"/>
  <c r="E38" i="20"/>
  <c r="A10" i="20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G9" i="20"/>
  <c r="G7" i="20"/>
  <c r="C7" i="20"/>
  <c r="D7" i="20" s="1"/>
  <c r="F7" i="20" s="1"/>
  <c r="E38" i="18"/>
  <c r="A10" i="18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0" i="18" s="1"/>
  <c r="A31" i="18" s="1"/>
  <c r="A32" i="18" s="1"/>
  <c r="A33" i="18" s="1"/>
  <c r="A34" i="18" s="1"/>
  <c r="A35" i="18" s="1"/>
  <c r="A36" i="18" s="1"/>
  <c r="A37" i="18" s="1"/>
  <c r="G9" i="18"/>
  <c r="G7" i="18"/>
  <c r="C7" i="18"/>
  <c r="D7" i="18" s="1"/>
  <c r="F7" i="18" s="1"/>
  <c r="L23" i="25" l="1"/>
  <c r="R22" i="25"/>
  <c r="F9" i="20"/>
  <c r="G10" i="20"/>
  <c r="G11" i="20" s="1"/>
  <c r="G12" i="20" s="1"/>
  <c r="G13" i="20" s="1"/>
  <c r="G14" i="20" s="1"/>
  <c r="G15" i="20" s="1"/>
  <c r="G16" i="20" s="1"/>
  <c r="G17" i="20" s="1"/>
  <c r="G18" i="20" s="1"/>
  <c r="G19" i="20" s="1"/>
  <c r="G20" i="20" s="1"/>
  <c r="G21" i="20" s="1"/>
  <c r="G22" i="20" s="1"/>
  <c r="G23" i="20" s="1"/>
  <c r="G24" i="20" s="1"/>
  <c r="G25" i="20" s="1"/>
  <c r="G26" i="20" s="1"/>
  <c r="G27" i="20" s="1"/>
  <c r="G28" i="20" s="1"/>
  <c r="G29" i="20" s="1"/>
  <c r="G30" i="20" s="1"/>
  <c r="G31" i="20" s="1"/>
  <c r="G32" i="20" s="1"/>
  <c r="G33" i="20" s="1"/>
  <c r="G34" i="20" s="1"/>
  <c r="G35" i="20" s="1"/>
  <c r="G36" i="20" s="1"/>
  <c r="G37" i="20" s="1"/>
  <c r="F9" i="18"/>
  <c r="G10" i="18"/>
  <c r="G11" i="18" s="1"/>
  <c r="G12" i="18" s="1"/>
  <c r="G13" i="18" s="1"/>
  <c r="G14" i="18" s="1"/>
  <c r="G15" i="18" s="1"/>
  <c r="G16" i="18" s="1"/>
  <c r="G17" i="18" s="1"/>
  <c r="G18" i="18" s="1"/>
  <c r="G19" i="18" s="1"/>
  <c r="G20" i="18" s="1"/>
  <c r="G21" i="18" s="1"/>
  <c r="G22" i="18" s="1"/>
  <c r="G23" i="18" s="1"/>
  <c r="G24" i="18" s="1"/>
  <c r="G25" i="18" s="1"/>
  <c r="G26" i="18" s="1"/>
  <c r="G27" i="18" s="1"/>
  <c r="G28" i="18" s="1"/>
  <c r="G29" i="18" s="1"/>
  <c r="G30" i="18" s="1"/>
  <c r="G31" i="18" s="1"/>
  <c r="G32" i="18" s="1"/>
  <c r="G33" i="18" s="1"/>
  <c r="G34" i="18" s="1"/>
  <c r="G35" i="18" s="1"/>
  <c r="G36" i="18" s="1"/>
  <c r="G37" i="18" s="1"/>
  <c r="L24" i="25" l="1"/>
  <c r="R23" i="25"/>
  <c r="G38" i="20"/>
  <c r="F10" i="20"/>
  <c r="F11" i="20" s="1"/>
  <c r="F12" i="20" s="1"/>
  <c r="F13" i="20" s="1"/>
  <c r="F14" i="20" s="1"/>
  <c r="F15" i="20" s="1"/>
  <c r="F16" i="20" s="1"/>
  <c r="F17" i="20" s="1"/>
  <c r="F18" i="20" s="1"/>
  <c r="F19" i="20" s="1"/>
  <c r="F20" i="20" s="1"/>
  <c r="F21" i="20" s="1"/>
  <c r="F22" i="20" s="1"/>
  <c r="F23" i="20" s="1"/>
  <c r="F24" i="20" s="1"/>
  <c r="F25" i="20" s="1"/>
  <c r="F26" i="20" s="1"/>
  <c r="F27" i="20" s="1"/>
  <c r="F28" i="20" s="1"/>
  <c r="F29" i="20" s="1"/>
  <c r="F30" i="20" s="1"/>
  <c r="F31" i="20" s="1"/>
  <c r="F32" i="20" s="1"/>
  <c r="F33" i="20" s="1"/>
  <c r="F34" i="20" s="1"/>
  <c r="F35" i="20" s="1"/>
  <c r="F36" i="20" s="1"/>
  <c r="F37" i="20" s="1"/>
  <c r="F10" i="18"/>
  <c r="F11" i="18" s="1"/>
  <c r="F12" i="18" s="1"/>
  <c r="F13" i="18" s="1"/>
  <c r="F14" i="18" s="1"/>
  <c r="F15" i="18" s="1"/>
  <c r="F16" i="18" s="1"/>
  <c r="F17" i="18" s="1"/>
  <c r="F18" i="18" s="1"/>
  <c r="F19" i="18" s="1"/>
  <c r="F20" i="18" s="1"/>
  <c r="F21" i="18" s="1"/>
  <c r="F22" i="18" s="1"/>
  <c r="F23" i="18" s="1"/>
  <c r="F24" i="18" s="1"/>
  <c r="F25" i="18" s="1"/>
  <c r="F26" i="18" s="1"/>
  <c r="F27" i="18" s="1"/>
  <c r="F28" i="18" s="1"/>
  <c r="F29" i="18" s="1"/>
  <c r="F30" i="18" s="1"/>
  <c r="F31" i="18" s="1"/>
  <c r="F32" i="18" s="1"/>
  <c r="F33" i="18" s="1"/>
  <c r="F34" i="18" s="1"/>
  <c r="F35" i="18" s="1"/>
  <c r="F36" i="18" s="1"/>
  <c r="F37" i="18" s="1"/>
  <c r="G38" i="18"/>
  <c r="R24" i="25" l="1"/>
  <c r="L25" i="25"/>
  <c r="F38" i="18"/>
  <c r="F38" i="20"/>
  <c r="L26" i="25" l="1"/>
  <c r="R25" i="25"/>
  <c r="L27" i="25" l="1"/>
  <c r="R26" i="25"/>
  <c r="L28" i="25" l="1"/>
  <c r="R27" i="25"/>
  <c r="R28" i="25" l="1"/>
  <c r="L29" i="25"/>
  <c r="L30" i="25" l="1"/>
  <c r="R29" i="25"/>
  <c r="L31" i="25" l="1"/>
  <c r="R30" i="25"/>
  <c r="L32" i="25" l="1"/>
  <c r="R31" i="25"/>
  <c r="R32" i="25" l="1"/>
  <c r="L33" i="25"/>
  <c r="L34" i="25" l="1"/>
  <c r="R33" i="25"/>
  <c r="L35" i="25" l="1"/>
  <c r="R34" i="25"/>
  <c r="L36" i="25" l="1"/>
  <c r="R35" i="25"/>
  <c r="R36" i="25" l="1"/>
  <c r="L37" i="25"/>
  <c r="L38" i="25" l="1"/>
  <c r="R37" i="25"/>
  <c r="L39" i="25" l="1"/>
  <c r="R38" i="25"/>
  <c r="L40" i="25" l="1"/>
  <c r="R39" i="25"/>
  <c r="R40" i="25" l="1"/>
  <c r="L41" i="25"/>
  <c r="L42" i="25" l="1"/>
  <c r="R41" i="25"/>
  <c r="L43" i="25" l="1"/>
  <c r="R42" i="25"/>
  <c r="L44" i="25" l="1"/>
  <c r="R43" i="25"/>
  <c r="R44" i="25" l="1"/>
  <c r="L45" i="25"/>
  <c r="L46" i="25" l="1"/>
  <c r="R45" i="25"/>
  <c r="L47" i="25" l="1"/>
  <c r="R46" i="25"/>
  <c r="L48" i="25" l="1"/>
  <c r="R47" i="25"/>
  <c r="R48" i="25" l="1"/>
  <c r="L49" i="25"/>
  <c r="L50" i="25" l="1"/>
  <c r="R49" i="25"/>
  <c r="L51" i="25" l="1"/>
  <c r="R50" i="25"/>
  <c r="L52" i="25" l="1"/>
  <c r="R51" i="25"/>
  <c r="R52" i="25" l="1"/>
  <c r="L53" i="25"/>
  <c r="L54" i="25" l="1"/>
  <c r="R53" i="25"/>
  <c r="L55" i="25" l="1"/>
  <c r="R54" i="25"/>
  <c r="L56" i="25" l="1"/>
  <c r="R55" i="25"/>
  <c r="R56" i="25" l="1"/>
  <c r="L57" i="25"/>
  <c r="L58" i="25" l="1"/>
  <c r="R57" i="25"/>
  <c r="L59" i="25" l="1"/>
  <c r="R58" i="25"/>
  <c r="L60" i="25" l="1"/>
  <c r="R60" i="25" s="1"/>
  <c r="R59" i="25"/>
  <c r="R17" i="11" l="1"/>
  <c r="R16" i="11"/>
  <c r="R15" i="11"/>
  <c r="R18" i="11" l="1"/>
  <c r="R19" i="11" l="1"/>
  <c r="R20" i="11" l="1"/>
  <c r="R21" i="11" l="1"/>
  <c r="R22" i="11" l="1"/>
  <c r="R23" i="11"/>
  <c r="R25" i="11" l="1"/>
  <c r="R24" i="11"/>
  <c r="K49" i="11" l="1"/>
  <c r="L49" i="11" s="1"/>
  <c r="R26" i="11"/>
  <c r="K50" i="11" l="1"/>
  <c r="L50" i="11" s="1"/>
  <c r="R27" i="11"/>
  <c r="K51" i="11" l="1"/>
  <c r="L51" i="11" s="1"/>
  <c r="R28" i="11"/>
  <c r="K52" i="11" l="1"/>
  <c r="L52" i="11" s="1"/>
  <c r="R29" i="11"/>
  <c r="K53" i="11" l="1"/>
  <c r="L53" i="11" s="1"/>
  <c r="R30" i="11"/>
  <c r="K54" i="11" l="1"/>
  <c r="L54" i="11" s="1"/>
  <c r="R31" i="11"/>
  <c r="K55" i="11" l="1"/>
  <c r="L55" i="11" s="1"/>
  <c r="R32" i="11"/>
  <c r="K56" i="11" l="1"/>
  <c r="L56" i="11" s="1"/>
  <c r="R33" i="11"/>
  <c r="K57" i="11" l="1"/>
  <c r="L57" i="11" s="1"/>
  <c r="R34" i="11"/>
  <c r="K58" i="11" l="1"/>
  <c r="L58" i="11" s="1"/>
  <c r="R35" i="11"/>
  <c r="K59" i="11" l="1"/>
  <c r="L59" i="11" s="1"/>
  <c r="L60" i="11" s="1"/>
  <c r="R36" i="11"/>
  <c r="K62" i="11" l="1"/>
  <c r="K61" i="11"/>
  <c r="L61" i="11" s="1"/>
  <c r="R37" i="11"/>
  <c r="L62" i="11" l="1"/>
  <c r="L63" i="11" s="1"/>
  <c r="L64" i="11" s="1"/>
  <c r="L65" i="11" s="1"/>
  <c r="L66" i="11" s="1"/>
  <c r="L67" i="11" s="1"/>
  <c r="R38" i="11"/>
  <c r="R39" i="11" l="1"/>
  <c r="R40" i="11" l="1"/>
  <c r="R41" i="11" l="1"/>
  <c r="R42" i="11" l="1"/>
  <c r="R43" i="11" l="1"/>
  <c r="R44" i="11" l="1"/>
  <c r="R45" i="11" l="1"/>
  <c r="R46" i="11" l="1"/>
  <c r="R47" i="11" l="1"/>
  <c r="R48" i="11" l="1"/>
  <c r="R49" i="11" l="1"/>
  <c r="R50" i="11" l="1"/>
  <c r="R51" i="11" l="1"/>
  <c r="R52" i="11" l="1"/>
  <c r="R53" i="11" l="1"/>
  <c r="R54" i="11" l="1"/>
  <c r="R55" i="11" l="1"/>
  <c r="R56" i="11" l="1"/>
  <c r="R57" i="11" l="1"/>
  <c r="R58" i="11" l="1"/>
  <c r="R59" i="11" l="1"/>
  <c r="R60" i="11" l="1"/>
  <c r="R61" i="11" l="1"/>
  <c r="R62" i="11" l="1"/>
  <c r="R63" i="11" l="1"/>
  <c r="R64" i="11" l="1"/>
  <c r="R66" i="11" l="1"/>
  <c r="R65" i="11"/>
</calcChain>
</file>

<file path=xl/sharedStrings.xml><?xml version="1.0" encoding="utf-8"?>
<sst xmlns="http://schemas.openxmlformats.org/spreadsheetml/2006/main" count="806" uniqueCount="335">
  <si>
    <t>SNO</t>
  </si>
  <si>
    <t>INVOICE NO.</t>
  </si>
  <si>
    <t xml:space="preserve">NAME OF WELL </t>
  </si>
  <si>
    <t>AMOUNT VERIFIED (USD)</t>
  </si>
  <si>
    <t>BALANCE AMOUNT (USD)</t>
  </si>
  <si>
    <t>COMMULATIVE EXPENDITURE (USD)</t>
  </si>
  <si>
    <t>DATE.</t>
  </si>
  <si>
    <t>ZIN DEEP-01</t>
  </si>
  <si>
    <t>QADIR PUR-47</t>
  </si>
  <si>
    <t>QADIR PUR-50</t>
  </si>
  <si>
    <t>18/9/2013</t>
  </si>
  <si>
    <t>QADIR PUR-11</t>
  </si>
  <si>
    <t>CMT-PK-1013-013</t>
  </si>
  <si>
    <t>CMT-PK-1013-014</t>
  </si>
  <si>
    <t>CMT-PK-1013-018</t>
  </si>
  <si>
    <t>CMT-PK-1113-009</t>
  </si>
  <si>
    <t>CMT-PK-1213-006</t>
  </si>
  <si>
    <t>ZIN SML-03</t>
  </si>
  <si>
    <t>CMT-PK-1213-008</t>
  </si>
  <si>
    <t>CMT-PK-1213-009</t>
  </si>
  <si>
    <t>QADIR PUR-52</t>
  </si>
  <si>
    <t>CMT-PK-1013-005</t>
  </si>
  <si>
    <t>CMT-PK-1113-011</t>
  </si>
  <si>
    <t>CMT-PK-1213-005</t>
  </si>
  <si>
    <t>CMT-PK-1213-007</t>
  </si>
  <si>
    <t>CMT-PK-0114-001</t>
  </si>
  <si>
    <t>CMT-PK-1013-010</t>
  </si>
  <si>
    <t>CMT-PK-1013-019</t>
  </si>
  <si>
    <t>CMT-PK-1113-002</t>
  </si>
  <si>
    <t>CMT-PK-0114-004</t>
  </si>
  <si>
    <t>CMT-PK-1013-008</t>
  </si>
  <si>
    <t>CMT-PK-1113-001</t>
  </si>
  <si>
    <t>CMT-PK-0114-002</t>
  </si>
  <si>
    <t>30/9/13</t>
  </si>
  <si>
    <t>31/10/13</t>
  </si>
  <si>
    <t>CMT-PK-1113-012</t>
  </si>
  <si>
    <t>26/11/13</t>
  </si>
  <si>
    <t>23/12/13</t>
  </si>
  <si>
    <t>31/12/13</t>
  </si>
  <si>
    <t>17/9/13</t>
  </si>
  <si>
    <t>30/11/13</t>
  </si>
  <si>
    <t>28/12/13</t>
  </si>
  <si>
    <t>24/10/13</t>
  </si>
  <si>
    <t>18/10/13</t>
  </si>
  <si>
    <t>13/1/14</t>
  </si>
  <si>
    <t>24/9/13</t>
  </si>
  <si>
    <t>CMT-PK-1113-005</t>
  </si>
  <si>
    <t>17/11/13</t>
  </si>
  <si>
    <t>CMT-PK-1013-012</t>
  </si>
  <si>
    <t>CMT-PK-1213-001</t>
  </si>
  <si>
    <t>13/12/13</t>
  </si>
  <si>
    <t>CMT-PK-1013-016</t>
  </si>
  <si>
    <t>CMT-PK-1113-006</t>
  </si>
  <si>
    <t>25/11/13</t>
  </si>
  <si>
    <t>CMT-PK-1113-010</t>
  </si>
  <si>
    <t>CMT-PK-1213-003</t>
  </si>
  <si>
    <t>CMT-PK-1113-016</t>
  </si>
  <si>
    <t>21/9/13</t>
  </si>
  <si>
    <t>JAKHRO W-1</t>
  </si>
  <si>
    <t>CMT-PK-1113-017</t>
  </si>
  <si>
    <t>31/3/14</t>
  </si>
  <si>
    <t>30/4/14</t>
  </si>
  <si>
    <t>31/5/14</t>
  </si>
  <si>
    <t>30/6/14</t>
  </si>
  <si>
    <t>26/7/14</t>
  </si>
  <si>
    <t>27/7/14</t>
  </si>
  <si>
    <t>31/8/14</t>
  </si>
  <si>
    <t>30/9/14</t>
  </si>
  <si>
    <t>30/10/14</t>
  </si>
  <si>
    <t xml:space="preserve">DETAIL OF EXPENDITURE APPROVAL </t>
  </si>
  <si>
    <t>PROC-FD/CB/WS-   298-767379 /2012</t>
  </si>
  <si>
    <t xml:space="preserve">CONTRACT NO. </t>
  </si>
  <si>
    <t>Comulative</t>
  </si>
  <si>
    <t>Expenditure Approved</t>
  </si>
  <si>
    <t xml:space="preserve">1st Amendment </t>
  </si>
  <si>
    <t xml:space="preserve">2nd Amendment  </t>
  </si>
  <si>
    <t xml:space="preserve">3rd Amendment </t>
  </si>
  <si>
    <t xml:space="preserve">4th Amendment </t>
  </si>
  <si>
    <t xml:space="preserve">M/S SPRINT OIL &amp; GAS SERVICES FZC   </t>
  </si>
  <si>
    <t>Balance:</t>
  </si>
  <si>
    <t>Total Approved</t>
  </si>
  <si>
    <t>COMPANY NAME</t>
  </si>
  <si>
    <t>Contract Amount</t>
  </si>
  <si>
    <t>Balance amount :</t>
  </si>
  <si>
    <t xml:space="preserve">Comulative Amount </t>
  </si>
  <si>
    <t>PROC-FD/CB/WS-299-767298 /2013</t>
  </si>
  <si>
    <t>CMT-PK-0413-002</t>
  </si>
  <si>
    <t>28/5/13</t>
  </si>
  <si>
    <t>CNG SOUTH-2</t>
  </si>
  <si>
    <t>CMT-PK-0413-004</t>
  </si>
  <si>
    <t>RAJIAN-07</t>
  </si>
  <si>
    <t>CMT-PK-0513-001</t>
  </si>
  <si>
    <t>CMT-PK-0513-002</t>
  </si>
  <si>
    <t>KURRAM-01</t>
  </si>
  <si>
    <t>CMT-PK-0413-005</t>
  </si>
  <si>
    <t>NASHPA-04</t>
  </si>
  <si>
    <t>CMT-PK-0513-003</t>
  </si>
  <si>
    <t>CMT-PK-0413-003</t>
  </si>
  <si>
    <t>14/6/13</t>
  </si>
  <si>
    <t>CMT-PK-0513-004</t>
  </si>
  <si>
    <t>25/6/13</t>
  </si>
  <si>
    <t>CMT-PK-0513-006</t>
  </si>
  <si>
    <t>CMT-PK-0513-005</t>
  </si>
  <si>
    <t>26/6/13</t>
  </si>
  <si>
    <t>CMT-PK-0513-007</t>
  </si>
  <si>
    <t>CMT-PK-0613-001</t>
  </si>
  <si>
    <t>CMT-PK-0613-002</t>
  </si>
  <si>
    <t>SOHNIWALA-01</t>
  </si>
  <si>
    <t>CMT-PK-0613-003</t>
  </si>
  <si>
    <t>CMT-PK-0413-001</t>
  </si>
  <si>
    <t>BAHU -08</t>
  </si>
  <si>
    <t>CMT-PK-0613-006</t>
  </si>
  <si>
    <t>19/7/2013</t>
  </si>
  <si>
    <t>CMT-PK-0613-005</t>
  </si>
  <si>
    <t>26/8/2013</t>
  </si>
  <si>
    <t>CMT-PK-0713-011</t>
  </si>
  <si>
    <t>JAND-01</t>
  </si>
  <si>
    <t>CMT-PK-0713-012</t>
  </si>
  <si>
    <t>CMT-PK-0713-021</t>
  </si>
  <si>
    <t>CMT-PK-0813-015</t>
  </si>
  <si>
    <t>CMT-PK-0813-016</t>
  </si>
  <si>
    <t>CMT-PK-0913-002</t>
  </si>
  <si>
    <t>SOGHRI-01</t>
  </si>
  <si>
    <t>CMT-PK-0913-003</t>
  </si>
  <si>
    <t>CMT-PK-0913-004</t>
  </si>
  <si>
    <t>MELA-04</t>
  </si>
  <si>
    <t>CMT-PK-0913-005</t>
  </si>
  <si>
    <t>CMT-PK-1013-009</t>
  </si>
  <si>
    <t>CMT-PK-1013-017</t>
  </si>
  <si>
    <t>CMT-PK-1113-004</t>
  </si>
  <si>
    <t>RAJIAN-08</t>
  </si>
  <si>
    <t>CMT-PK-1113-007</t>
  </si>
  <si>
    <t>17/01/14</t>
  </si>
  <si>
    <t>CMT-PK-1213-004</t>
  </si>
  <si>
    <t>CMT-PK-0114-006</t>
  </si>
  <si>
    <t>CMT-PK-0114-005</t>
  </si>
  <si>
    <t>23/1/14</t>
  </si>
  <si>
    <t>RAJIAN-2</t>
  </si>
  <si>
    <t>CMT-PK-0214-004</t>
  </si>
  <si>
    <t>28/2/14</t>
  </si>
  <si>
    <t>MELA-4</t>
  </si>
  <si>
    <t>CMT-PK-0214-003</t>
  </si>
  <si>
    <t>19/2/2014</t>
  </si>
  <si>
    <t>CMT-PK-0414-001</t>
  </si>
  <si>
    <t>CMT-PK-0414-012</t>
  </si>
  <si>
    <t>20/4/14</t>
  </si>
  <si>
    <t>SOGHRI-1</t>
  </si>
  <si>
    <t>CMT-PK-0414-008</t>
  </si>
  <si>
    <t>CMT-PK-0414-015</t>
  </si>
  <si>
    <t>23/4/14</t>
  </si>
  <si>
    <t>RAJIAN-8</t>
  </si>
  <si>
    <t>CMT-PK-0414-016</t>
  </si>
  <si>
    <t>CMT-PK-0414-014</t>
  </si>
  <si>
    <t>21/4/14</t>
  </si>
  <si>
    <t>JAND-1</t>
  </si>
  <si>
    <t>CMT-PK-0514-001</t>
  </si>
  <si>
    <t>CMT-PK-0414-013</t>
  </si>
  <si>
    <t>CMT-PK-0614-001</t>
  </si>
  <si>
    <t>24/5/14</t>
  </si>
  <si>
    <t>CMT-PK-0614-004</t>
  </si>
  <si>
    <t>CMT-PK-0614-002</t>
  </si>
  <si>
    <t>30/5/14</t>
  </si>
  <si>
    <t>CMT-PK-0714-003</t>
  </si>
  <si>
    <t>CMT-PK-0714-008</t>
  </si>
  <si>
    <t>CMT-PK-0814-007</t>
  </si>
  <si>
    <t>CMT-PK-0914-001</t>
  </si>
  <si>
    <t>31/7/2014</t>
  </si>
  <si>
    <t>CMT-PK-0914-002</t>
  </si>
  <si>
    <t>23/8/14</t>
  </si>
  <si>
    <t>CMT-PK-0914-008</t>
  </si>
  <si>
    <t>CMT-PK-0914-017</t>
  </si>
  <si>
    <t>23/9/14</t>
  </si>
  <si>
    <t>CMT-PK-0914-018</t>
  </si>
  <si>
    <t>CMT-PK-1014-003</t>
  </si>
  <si>
    <t>CMT-PK-1014-009</t>
  </si>
  <si>
    <t>CMT-PK-1114-001</t>
  </si>
  <si>
    <t>CMT-PK-1214-008</t>
  </si>
  <si>
    <t>13/11/14</t>
  </si>
  <si>
    <t>CMT-PK-1214-009</t>
  </si>
  <si>
    <t>30/11/14</t>
  </si>
  <si>
    <t>NASHPA-5</t>
  </si>
  <si>
    <r>
      <t xml:space="preserve">DETAIL OF EXPENDITURE APPROVAL </t>
    </r>
    <r>
      <rPr>
        <b/>
        <sz val="11"/>
        <color rgb="FFFF0000"/>
        <rFont val="Arial"/>
        <family val="2"/>
      </rPr>
      <t xml:space="preserve"> for NORTH Wells</t>
    </r>
  </si>
  <si>
    <t>CMT-PK-1214-012</t>
  </si>
  <si>
    <t>18/12/14</t>
  </si>
  <si>
    <t>CMT-PK-1214-013</t>
  </si>
  <si>
    <t>13/12/14</t>
  </si>
  <si>
    <t>DAKHNI DEEP-5</t>
  </si>
  <si>
    <t>CMT-PK-1214-007</t>
  </si>
  <si>
    <t>CMT-PK-1214-015</t>
  </si>
  <si>
    <t>31/12/2014</t>
  </si>
  <si>
    <t>CMT-PK-0115-005</t>
  </si>
  <si>
    <t>15-01-2015</t>
  </si>
  <si>
    <t xml:space="preserve"> The invoice No.</t>
  </si>
  <si>
    <t xml:space="preserve">Ref. para     /N. </t>
  </si>
  <si>
    <t xml:space="preserve">INVOICE NO </t>
  </si>
  <si>
    <t>WELL NAME</t>
  </si>
  <si>
    <t xml:space="preserve">Amount </t>
  </si>
  <si>
    <t>2 &amp; 3</t>
  </si>
  <si>
    <t xml:space="preserve"> to  M/s Sprint  Oil  &amp;  Gas  Services for providing  their  services at well </t>
  </si>
  <si>
    <t>has been verified in the light of terms, conditions and price list</t>
  </si>
  <si>
    <r>
      <t>§</t>
    </r>
    <r>
      <rPr>
        <sz val="7"/>
        <rFont val="Times New Roman"/>
        <family val="1"/>
      </rPr>
      <t xml:space="preserve">  </t>
    </r>
    <r>
      <rPr>
        <sz val="12"/>
        <rFont val="Arial"/>
        <family val="2"/>
      </rPr>
      <t>Expenditure versus approved amount at page No:------------------------------:</t>
    </r>
  </si>
  <si>
    <t xml:space="preserve">type  attached page no here </t>
  </si>
  <si>
    <r>
      <t>§</t>
    </r>
    <r>
      <rPr>
        <sz val="7"/>
        <rFont val="Times New Roman"/>
        <family val="1"/>
      </rPr>
      <t xml:space="preserve">  </t>
    </r>
    <r>
      <rPr>
        <sz val="12"/>
        <rFont val="Arial"/>
        <family val="2"/>
      </rPr>
      <t>Relevant pages of financial bid at page No:---------------------------------------:</t>
    </r>
  </si>
  <si>
    <r>
      <t>§</t>
    </r>
    <r>
      <rPr>
        <sz val="7"/>
        <rFont val="Times New Roman"/>
        <family val="1"/>
      </rPr>
      <t xml:space="preserve">  </t>
    </r>
    <r>
      <rPr>
        <sz val="12"/>
        <rFont val="Arial"/>
        <family val="2"/>
      </rPr>
      <t>Budget certificate is placed opposite:----------------------------------------------:</t>
    </r>
  </si>
  <si>
    <t>The Details of documents attached below:</t>
  </si>
  <si>
    <r>
      <t xml:space="preserve"> of the contract No.PROC-FD/CB/WS-</t>
    </r>
    <r>
      <rPr>
        <b/>
        <sz val="12"/>
        <rFont val="Arial"/>
        <family val="2"/>
      </rPr>
      <t>0299</t>
    </r>
    <r>
      <rPr>
        <sz val="12"/>
        <rFont val="Arial"/>
        <family val="2"/>
      </rPr>
      <t>-767298/2013</t>
    </r>
  </si>
  <si>
    <r>
      <t>Please in put</t>
    </r>
    <r>
      <rPr>
        <sz val="11"/>
        <color rgb="FFFF0000"/>
        <rFont val="Arial"/>
        <family val="2"/>
      </rPr>
      <t xml:space="preserve"> S.No</t>
    </r>
    <r>
      <rPr>
        <sz val="11"/>
        <rFont val="Arial"/>
        <family val="2"/>
      </rPr>
      <t xml:space="preserve"> of expenditure for north well </t>
    </r>
  </si>
  <si>
    <t>CMT-PK-0115-009</t>
  </si>
  <si>
    <t>27-01-2015</t>
  </si>
  <si>
    <t>NASHPA-6</t>
  </si>
  <si>
    <t>CMT-PK-0215-004</t>
  </si>
  <si>
    <r>
      <t>§</t>
    </r>
    <r>
      <rPr>
        <sz val="7"/>
        <rFont val="Times New Roman"/>
        <family val="1"/>
      </rPr>
      <t xml:space="preserve">  </t>
    </r>
    <r>
      <rPr>
        <sz val="12"/>
        <rFont val="Arial"/>
        <family val="2"/>
      </rPr>
      <t>Contract with expenditure approval (Amendment #  02) at page No:------:</t>
    </r>
  </si>
  <si>
    <t>Kindly forward the invoice to Chief Accountant (Imports) with the request to arrange payment of  USD:</t>
  </si>
  <si>
    <t>Submitted for endorsement and onward submission to CA(Imports) for further action please.</t>
  </si>
  <si>
    <t>CA(IMPORTS)</t>
  </si>
  <si>
    <t>CMT-PK-0215-009</t>
  </si>
  <si>
    <t>MANAGER (CMT/STIM).</t>
  </si>
  <si>
    <t>AGM(DRILLING SERVICES)</t>
  </si>
  <si>
    <t>INSERT 1ST PARAGRAPH NO</t>
  </si>
  <si>
    <t>(SHABBIR HUSSAIN)</t>
  </si>
  <si>
    <t>CMT-PK-0315-003</t>
  </si>
  <si>
    <t>CMT-PK-0315-004</t>
  </si>
  <si>
    <t>DY.Chief ( Cementation)</t>
  </si>
  <si>
    <t>Ext:2307</t>
  </si>
  <si>
    <t>CMT-PK-0415-005</t>
  </si>
  <si>
    <t>4 &amp; 5</t>
  </si>
  <si>
    <t>CMT-PK-0415-006</t>
  </si>
  <si>
    <t xml:space="preserve">6th  Amendment </t>
  </si>
  <si>
    <t xml:space="preserve">2nd Amendment </t>
  </si>
  <si>
    <t xml:space="preserve">3rd  Amendment </t>
  </si>
  <si>
    <t xml:space="preserve">4th Amendment  </t>
  </si>
  <si>
    <t xml:space="preserve">5th Amendment </t>
  </si>
  <si>
    <t xml:space="preserve">Claimed Amount </t>
  </si>
  <si>
    <t>DOWELL SCHLUMBERGER (WESTERN)S.A</t>
  </si>
  <si>
    <t xml:space="preserve">to M/s Schlumberger (Western) S.A for providing their services at well </t>
  </si>
  <si>
    <t xml:space="preserve">verified amount </t>
  </si>
  <si>
    <t xml:space="preserve"> S.No of North  well </t>
  </si>
  <si>
    <t>has been verified in the light of terms, conditions</t>
  </si>
  <si>
    <t>.</t>
  </si>
  <si>
    <t xml:space="preserve"> Only</t>
  </si>
  <si>
    <t>OGDCL-SCM-SERVICES-CB-CEM-278762293-4600000959-2025</t>
  </si>
  <si>
    <t>DETAIL OF EXPENDITURE APPROVAL FOR NORTH WELLS</t>
  </si>
  <si>
    <t>GURGALOT X-1</t>
  </si>
  <si>
    <t>BARAGZAI X-1</t>
  </si>
  <si>
    <t>Mob of additional Eqp</t>
  </si>
  <si>
    <t>11 3/4" liner job</t>
  </si>
  <si>
    <t>Description</t>
  </si>
  <si>
    <t>Release order no.</t>
  </si>
  <si>
    <t>Service Entry Sheet no.</t>
  </si>
  <si>
    <t>Additional Eqp(unit &amp; Batch mixer) Charges</t>
  </si>
  <si>
    <t>Toot Deep-1</t>
  </si>
  <si>
    <t>Squeez Plug (08.07.2025)</t>
  </si>
  <si>
    <t xml:space="preserve"> of contract no. OGDCL-SCM-SERVICES/CB/CEM-278762293/460000959/2025</t>
  </si>
  <si>
    <t>9 5/8" job (19.08.2025)</t>
  </si>
  <si>
    <t>Additives for 24 1/2" Job</t>
  </si>
  <si>
    <t>Dy. Chief Accountant (Serv)</t>
  </si>
  <si>
    <t>Squeez Plug 1 (04.09.2025)</t>
  </si>
  <si>
    <t>Mob of cementing package (Returned to vendor as 16 % PST applied intead of 15% old invice num is 994859501)</t>
  </si>
  <si>
    <t>(Returned to vendor as 16 % PST applied intead of 15%old invice num is 994859558)</t>
  </si>
  <si>
    <t xml:space="preserve">  Ref. para   13/N. </t>
  </si>
  <si>
    <t>Squeez Plug 2 (08.09.2025)</t>
  </si>
  <si>
    <t>Squeez Plug 3 (14.09.2025)</t>
  </si>
  <si>
    <t>Squeez Plug 4 (20.09.2025)</t>
  </si>
  <si>
    <t>Additional Eqp(Frac Tank) Charges</t>
  </si>
  <si>
    <t xml:space="preserve">18 5/8" Casing </t>
  </si>
  <si>
    <t>BETTANI DEEP-1</t>
  </si>
  <si>
    <t>5" LINER JOB</t>
  </si>
  <si>
    <t>7" Tie back liner</t>
  </si>
  <si>
    <t>De Mob of Cementing Pacakge</t>
  </si>
  <si>
    <t>Additional Eqp DeMob</t>
  </si>
  <si>
    <t>RAJIAN-09</t>
  </si>
  <si>
    <t>Isolation/Squeee plug</t>
  </si>
  <si>
    <t>Mob/Demob of add silos</t>
  </si>
  <si>
    <t>7" Liner Job (29.09.2025)</t>
  </si>
  <si>
    <t>RAJIAN-02</t>
  </si>
  <si>
    <t>Mob of Cmt Pkg</t>
  </si>
  <si>
    <t>Isolation/Squeee plug 2</t>
  </si>
  <si>
    <t>Isolation/Squeee plug 3</t>
  </si>
  <si>
    <t>13 3/8" Casing</t>
  </si>
  <si>
    <t>KAL-03</t>
  </si>
  <si>
    <t>Isolation plug</t>
  </si>
  <si>
    <t>Demob of additional eqp</t>
  </si>
  <si>
    <t>P &amp; A (Surface)</t>
  </si>
  <si>
    <t>P &amp; A (Bottom)</t>
  </si>
  <si>
    <t>moB/dEmob of Cmt Package</t>
  </si>
  <si>
    <t>Demob of Cementing Package</t>
  </si>
  <si>
    <t>A.M  (CMT/STIM).</t>
  </si>
  <si>
    <t>9 5/8" Casing</t>
  </si>
  <si>
    <t>CHAK 203-1</t>
  </si>
  <si>
    <t>P&amp;A (Bottom)</t>
  </si>
  <si>
    <t>P&amp;A (Surface)</t>
  </si>
  <si>
    <t>AGM (Drilling Services)</t>
  </si>
  <si>
    <t>Humwala-1</t>
  </si>
  <si>
    <t>Mobilization of Cementing Package</t>
  </si>
  <si>
    <t>Mobilization of Silo</t>
  </si>
  <si>
    <r>
      <t>§</t>
    </r>
    <r>
      <rPr>
        <sz val="7"/>
        <rFont val="Times New Roman"/>
        <family val="1"/>
      </rPr>
      <t xml:space="preserve">  </t>
    </r>
    <r>
      <rPr>
        <sz val="12"/>
        <rFont val="Arial"/>
        <family val="2"/>
      </rPr>
      <t xml:space="preserve">Contract with financial bid </t>
    </r>
  </si>
  <si>
    <r>
      <t>§</t>
    </r>
    <r>
      <rPr>
        <sz val="7"/>
        <rFont val="Times New Roman"/>
        <family val="1"/>
      </rPr>
      <t xml:space="preserve">  </t>
    </r>
    <r>
      <rPr>
        <sz val="12"/>
        <rFont val="Arial"/>
        <family val="2"/>
      </rPr>
      <t>Service Entry Sheet (placed opposite)</t>
    </r>
  </si>
  <si>
    <t>15-06-26</t>
  </si>
  <si>
    <t>Mobilization of 2000Silo, 1000silo, Air Compressor</t>
  </si>
  <si>
    <t xml:space="preserve">20in Casing Job </t>
  </si>
  <si>
    <t>Mob Demob of additional eqpt</t>
  </si>
  <si>
    <t>Fimkasar-4</t>
  </si>
  <si>
    <t>Mob of pakg rajian-8 to fmksr-4</t>
  </si>
  <si>
    <t>Demob of solution tank</t>
  </si>
  <si>
    <t>Bottom Cement Plug P&amp;A</t>
  </si>
  <si>
    <t>Mob of pkg to Garhi from isb</t>
  </si>
  <si>
    <t>13-3/8" Casing Job at Humwala-1</t>
  </si>
  <si>
    <t>Top Cement Plug P&amp;A</t>
  </si>
  <si>
    <t xml:space="preserve">Zeeshan Ahmed          </t>
  </si>
  <si>
    <t>The claimed invoicing amount (excluding taxes) is US</t>
  </si>
  <si>
    <t>The verified amount (excluding taxes) is US</t>
  </si>
  <si>
    <t xml:space="preserve">    S.E ( Cmt )               </t>
  </si>
  <si>
    <t xml:space="preserve">    Ext:4186                  </t>
  </si>
  <si>
    <t xml:space="preserve">Garhi X2 </t>
  </si>
  <si>
    <t>Kal-4</t>
  </si>
  <si>
    <t>Mob of pkg to Kal-4 from Fimkasar-4</t>
  </si>
  <si>
    <t>9-5/8" Csg Cmt Job</t>
  </si>
  <si>
    <t>KOP at Garhi X2</t>
  </si>
  <si>
    <r>
      <rPr>
        <b/>
        <sz val="11"/>
        <rFont val="Arial"/>
        <family val="2"/>
      </rPr>
      <t xml:space="preserve">23- </t>
    </r>
    <r>
      <rPr>
        <b/>
        <u/>
        <sz val="11"/>
        <rFont val="Arial"/>
        <family val="2"/>
      </rPr>
      <t>Chief  Engr. (Cmt. North)</t>
    </r>
  </si>
  <si>
    <t>USD Thirty One Thousand Nine Hundred Dollars Only</t>
  </si>
  <si>
    <t>Contract Value Consumed</t>
  </si>
  <si>
    <t>9-5/8" Casing Job</t>
  </si>
  <si>
    <t>Sqz job against perfs</t>
  </si>
  <si>
    <t>Whipstock Plug</t>
  </si>
  <si>
    <t xml:space="preserve">Clearance date </t>
  </si>
  <si>
    <t>Rig</t>
  </si>
  <si>
    <t>AMOUNT Exl Tax (USD)</t>
  </si>
  <si>
    <t>GST/PST</t>
  </si>
  <si>
    <t>Tax</t>
  </si>
  <si>
    <t xml:space="preserve"> AMOUNT Inclusive tax  (USD)</t>
  </si>
  <si>
    <t xml:space="preserve">Amount Paid </t>
  </si>
  <si>
    <t xml:space="preserve">Status </t>
  </si>
  <si>
    <t xml:space="preserve">Quarter </t>
  </si>
  <si>
    <t xml:space="preserve">Year </t>
  </si>
  <si>
    <t>Cleared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</si>
</sst>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#,##0.00"/>
    <numFmt numFmtId="167" formatCode="&quot;$&quot;#,##0"/>
    <numFmt numFmtId="168" formatCode="&quot;$&quot;\ ###,###.00"/>
    <numFmt numFmtId="169" formatCode="[$-409]d\-mmm\-yy;@"/>
    <numFmt numFmtId="170" formatCode="0.0"/>
    <numFmt numFmtId="171" formatCode="0\ "/>
    <numFmt numFmtId="172" formatCode="0&quot;-&quot;"/>
    <numFmt numFmtId="173" formatCode="[$-F800]dddd\,\ mmmm\ dd\,\ yyyy"/>
    <numFmt numFmtId="174" formatCode="[$-809]dd\ mmmm\ yyyy;@"/>
  </numFmts>
  <fonts count="49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sz val="11"/>
      <color rgb="FFFF0000"/>
      <name val="Arial"/>
      <family val="2"/>
    </font>
    <font>
      <b/>
      <sz val="9"/>
      <name val="Arial"/>
      <family val="2"/>
    </font>
    <font>
      <sz val="12"/>
      <color rgb="FFFF0000"/>
      <name val="Arial"/>
      <family val="2"/>
    </font>
    <font>
      <sz val="11"/>
      <color theme="0" tint="-0.14999847407452621"/>
      <name val="Arial"/>
      <family val="2"/>
    </font>
    <font>
      <sz val="12"/>
      <name val="Arial"/>
      <family val="2"/>
    </font>
    <font>
      <b/>
      <sz val="11"/>
      <color theme="3" tint="0.39997558519241921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sz val="10"/>
      <color rgb="FF0070C0"/>
      <name val="Arial"/>
      <family val="2"/>
    </font>
    <font>
      <b/>
      <sz val="10"/>
      <color rgb="FF0070C0"/>
      <name val="Arial"/>
      <family val="2"/>
    </font>
    <font>
      <b/>
      <sz val="11"/>
      <color rgb="FFFF0000"/>
      <name val="Arial"/>
      <family val="2"/>
    </font>
    <font>
      <b/>
      <sz val="11"/>
      <color theme="0" tint="-0.14999847407452621"/>
      <name val="Arial"/>
      <family val="2"/>
    </font>
    <font>
      <b/>
      <sz val="10"/>
      <color rgb="FF002060"/>
      <name val="Arial"/>
      <family val="2"/>
    </font>
    <font>
      <b/>
      <sz val="12"/>
      <color rgb="FFFF0000"/>
      <name val="Arial"/>
      <family val="2"/>
    </font>
    <font>
      <b/>
      <sz val="9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0" tint="-4.9989318521683403E-2"/>
      <name val="Arial"/>
      <family val="2"/>
    </font>
    <font>
      <b/>
      <u/>
      <sz val="12"/>
      <name val="Arial"/>
      <family val="2"/>
    </font>
    <font>
      <sz val="12"/>
      <name val="Wingdings"/>
      <charset val="2"/>
    </font>
    <font>
      <sz val="7"/>
      <name val="Times New Roman"/>
      <family val="1"/>
    </font>
    <font>
      <sz val="14"/>
      <name val="Arial"/>
      <family val="2"/>
    </font>
    <font>
      <sz val="16"/>
      <name val="Arial"/>
      <family val="2"/>
    </font>
    <font>
      <sz val="10"/>
      <color theme="0"/>
      <name val="Arial"/>
      <family val="2"/>
    </font>
    <font>
      <i/>
      <sz val="12"/>
      <color rgb="FFFF0000"/>
      <name val="Arial"/>
      <family val="2"/>
    </font>
    <font>
      <sz val="14"/>
      <name val="Calibri"/>
      <family val="2"/>
      <scheme val="minor"/>
    </font>
    <font>
      <sz val="16"/>
      <name val="Calibri"/>
      <family val="2"/>
      <scheme val="minor"/>
    </font>
    <font>
      <b/>
      <u/>
      <sz val="10"/>
      <color rgb="FFFF0000"/>
      <name val="Arial"/>
      <family val="2"/>
    </font>
    <font>
      <b/>
      <u val="singleAccounting"/>
      <sz val="12"/>
      <color rgb="FFFF0000"/>
      <name val="Arial"/>
      <family val="2"/>
    </font>
    <font>
      <sz val="16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u/>
      <sz val="11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b/>
      <sz val="14"/>
      <name val="Calibri"/>
      <family val="2"/>
      <scheme val="minor"/>
    </font>
    <font>
      <b/>
      <sz val="8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sz val="9"/>
      <color rgb="FFFF0000"/>
      <name val="Arial"/>
      <family val="2"/>
    </font>
    <font>
      <b/>
      <sz val="10"/>
      <color rgb="FFFF0000"/>
      <name val="Arial"/>
      <family val="2"/>
    </font>
    <font>
      <sz val="8"/>
      <name val="Arial"/>
      <family val="2"/>
    </font>
    <font>
      <sz val="10"/>
      <color rgb="FFC00000"/>
      <name val="Arial"/>
      <family val="2"/>
    </font>
    <font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9" fontId="48" fillId="0" borderId="0" applyFont="0" applyFill="0" applyBorder="0" applyAlignment="0" applyProtection="0"/>
  </cellStyleXfs>
  <cellXfs count="310">
    <xf numFmtId="0" fontId="0" fillId="0" borderId="0" xfId="0"/>
    <xf numFmtId="0" fontId="0" fillId="0" borderId="0" xfId="0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4" fontId="0" fillId="0" borderId="0" xfId="0" applyNumberFormat="1"/>
    <xf numFmtId="0" fontId="3" fillId="0" borderId="2" xfId="0" quotePrefix="1" applyFont="1" applyBorder="1" applyAlignment="1">
      <alignment horizontal="center" vertical="center"/>
    </xf>
    <xf numFmtId="2" fontId="5" fillId="0" borderId="4" xfId="0" applyNumberFormat="1" applyFont="1" applyBorder="1" applyAlignment="1">
      <alignment horizontal="left" vertical="center"/>
    </xf>
    <xf numFmtId="4" fontId="2" fillId="0" borderId="4" xfId="0" applyNumberFormat="1" applyFont="1" applyBorder="1" applyAlignment="1">
      <alignment vertical="center"/>
    </xf>
    <xf numFmtId="4" fontId="2" fillId="0" borderId="4" xfId="0" applyNumberFormat="1" applyFont="1" applyBorder="1" applyAlignment="1">
      <alignment horizontal="right" vertical="center"/>
    </xf>
    <xf numFmtId="4" fontId="2" fillId="2" borderId="4" xfId="0" applyNumberFormat="1" applyFont="1" applyFill="1" applyBorder="1" applyAlignment="1">
      <alignment vertical="center"/>
    </xf>
    <xf numFmtId="4" fontId="4" fillId="0" borderId="11" xfId="0" applyNumberFormat="1" applyFont="1" applyBorder="1" applyAlignment="1">
      <alignment horizontal="left"/>
    </xf>
    <xf numFmtId="0" fontId="8" fillId="0" borderId="11" xfId="0" applyFont="1" applyBorder="1" applyAlignment="1">
      <alignment horizontal="center"/>
    </xf>
    <xf numFmtId="0" fontId="7" fillId="5" borderId="1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8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14" xfId="0" applyBorder="1"/>
    <xf numFmtId="0" fontId="10" fillId="0" borderId="14" xfId="0" applyFont="1" applyBorder="1" applyAlignment="1">
      <alignment horizontal="center"/>
    </xf>
    <xf numFmtId="0" fontId="6" fillId="0" borderId="0" xfId="0" applyFont="1"/>
    <xf numFmtId="4" fontId="4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67" fontId="10" fillId="0" borderId="0" xfId="0" applyNumberFormat="1" applyFont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/>
    </xf>
    <xf numFmtId="14" fontId="3" fillId="2" borderId="4" xfId="0" applyNumberFormat="1" applyFont="1" applyFill="1" applyBorder="1" applyAlignment="1">
      <alignment horizontal="center" vertical="center"/>
    </xf>
    <xf numFmtId="16" fontId="3" fillId="0" borderId="4" xfId="0" applyNumberFormat="1" applyFont="1" applyBorder="1" applyAlignment="1">
      <alignment vertical="center"/>
    </xf>
    <xf numFmtId="14" fontId="3" fillId="0" borderId="4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4" fontId="11" fillId="0" borderId="2" xfId="0" applyNumberFormat="1" applyFont="1" applyBorder="1" applyAlignment="1">
      <alignment horizontal="center" vertical="center"/>
    </xf>
    <xf numFmtId="4" fontId="11" fillId="0" borderId="3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vertical="center"/>
    </xf>
    <xf numFmtId="2" fontId="5" fillId="2" borderId="4" xfId="0" applyNumberFormat="1" applyFont="1" applyFill="1" applyBorder="1" applyAlignment="1">
      <alignment horizontal="left" vertical="center"/>
    </xf>
    <xf numFmtId="4" fontId="2" fillId="0" borderId="4" xfId="0" applyNumberFormat="1" applyFont="1" applyBorder="1" applyAlignment="1">
      <alignment horizontal="center" vertical="center"/>
    </xf>
    <xf numFmtId="4" fontId="12" fillId="0" borderId="2" xfId="0" applyNumberFormat="1" applyFont="1" applyBorder="1" applyAlignment="1">
      <alignment horizontal="center" vertical="center"/>
    </xf>
    <xf numFmtId="0" fontId="9" fillId="0" borderId="0" xfId="0" applyFont="1"/>
    <xf numFmtId="0" fontId="7" fillId="5" borderId="8" xfId="0" applyFont="1" applyFill="1" applyBorder="1" applyAlignment="1">
      <alignment vertical="center" wrapText="1"/>
    </xf>
    <xf numFmtId="17" fontId="3" fillId="0" borderId="4" xfId="0" applyNumberFormat="1" applyFont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7" fillId="0" borderId="0" xfId="0" applyFont="1" applyAlignment="1">
      <alignment wrapText="1"/>
    </xf>
    <xf numFmtId="4" fontId="8" fillId="3" borderId="11" xfId="0" applyNumberFormat="1" applyFont="1" applyFill="1" applyBorder="1" applyAlignment="1">
      <alignment horizontal="center" vertical="center"/>
    </xf>
    <xf numFmtId="4" fontId="13" fillId="0" borderId="11" xfId="0" applyNumberFormat="1" applyFont="1" applyBorder="1" applyAlignment="1">
      <alignment horizontal="center"/>
    </xf>
    <xf numFmtId="0" fontId="0" fillId="0" borderId="14" xfId="0" applyBorder="1" applyAlignment="1">
      <alignment horizontal="center" vertical="center"/>
    </xf>
    <xf numFmtId="168" fontId="5" fillId="0" borderId="0" xfId="0" applyNumberFormat="1" applyFont="1" applyAlignment="1">
      <alignment horizontal="center" vertical="center" wrapText="1"/>
    </xf>
    <xf numFmtId="4" fontId="12" fillId="0" borderId="4" xfId="0" applyNumberFormat="1" applyFont="1" applyBorder="1" applyAlignment="1">
      <alignment horizontal="center" vertical="center"/>
    </xf>
    <xf numFmtId="0" fontId="14" fillId="0" borderId="0" xfId="0" applyFont="1"/>
    <xf numFmtId="0" fontId="14" fillId="0" borderId="0" xfId="0" applyFont="1" applyAlignment="1">
      <alignment horizontal="center" wrapText="1"/>
    </xf>
    <xf numFmtId="0" fontId="14" fillId="0" borderId="0" xfId="0" applyFont="1" applyAlignment="1">
      <alignment horizontal="center"/>
    </xf>
    <xf numFmtId="0" fontId="16" fillId="0" borderId="0" xfId="0" applyFont="1"/>
    <xf numFmtId="0" fontId="17" fillId="0" borderId="0" xfId="0" applyFont="1"/>
    <xf numFmtId="0" fontId="3" fillId="0" borderId="2" xfId="0" applyFont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 vertical="center"/>
    </xf>
    <xf numFmtId="167" fontId="2" fillId="0" borderId="0" xfId="0" applyNumberFormat="1" applyFont="1" applyAlignment="1">
      <alignment horizontal="left" vertical="center"/>
    </xf>
    <xf numFmtId="0" fontId="14" fillId="0" borderId="10" xfId="0" applyFont="1" applyBorder="1"/>
    <xf numFmtId="0" fontId="14" fillId="0" borderId="10" xfId="0" applyFont="1" applyBorder="1" applyAlignment="1">
      <alignment horizontal="center"/>
    </xf>
    <xf numFmtId="167" fontId="12" fillId="0" borderId="0" xfId="0" applyNumberFormat="1" applyFont="1" applyAlignment="1">
      <alignment horizontal="center" vertical="center"/>
    </xf>
    <xf numFmtId="165" fontId="12" fillId="0" borderId="2" xfId="1" applyFont="1" applyBorder="1" applyAlignment="1">
      <alignment horizontal="center" vertical="center"/>
    </xf>
    <xf numFmtId="4" fontId="12" fillId="0" borderId="0" xfId="0" applyNumberFormat="1" applyFont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2" fontId="5" fillId="0" borderId="2" xfId="0" applyNumberFormat="1" applyFont="1" applyBorder="1" applyAlignment="1">
      <alignment horizontal="left" vertical="center"/>
    </xf>
    <xf numFmtId="169" fontId="0" fillId="0" borderId="2" xfId="0" applyNumberFormat="1" applyBorder="1" applyAlignment="1">
      <alignment horizontal="center" vertical="center" wrapText="1"/>
    </xf>
    <xf numFmtId="170" fontId="5" fillId="0" borderId="2" xfId="0" applyNumberFormat="1" applyFont="1" applyBorder="1" applyAlignment="1">
      <alignment horizontal="center"/>
    </xf>
    <xf numFmtId="2" fontId="5" fillId="0" borderId="2" xfId="0" applyNumberFormat="1" applyFont="1" applyBorder="1" applyAlignment="1">
      <alignment horizontal="center" vertical="center"/>
    </xf>
    <xf numFmtId="170" fontId="7" fillId="0" borderId="2" xfId="0" applyNumberFormat="1" applyFont="1" applyBorder="1" applyAlignment="1">
      <alignment horizontal="center" vertical="center"/>
    </xf>
    <xf numFmtId="4" fontId="18" fillId="0" borderId="2" xfId="0" applyNumberFormat="1" applyFont="1" applyBorder="1" applyAlignment="1">
      <alignment horizontal="center" vertical="center"/>
    </xf>
    <xf numFmtId="4" fontId="18" fillId="0" borderId="5" xfId="0" applyNumberFormat="1" applyFont="1" applyBorder="1" applyAlignment="1">
      <alignment horizontal="center" vertical="center"/>
    </xf>
    <xf numFmtId="0" fontId="20" fillId="5" borderId="16" xfId="0" applyFont="1" applyFill="1" applyBorder="1" applyAlignment="1">
      <alignment horizontal="center" vertical="center" wrapText="1"/>
    </xf>
    <xf numFmtId="0" fontId="20" fillId="5" borderId="13" xfId="0" applyFont="1" applyFill="1" applyBorder="1" applyAlignment="1">
      <alignment horizontal="center" vertical="center" wrapText="1"/>
    </xf>
    <xf numFmtId="0" fontId="20" fillId="5" borderId="15" xfId="0" applyFont="1" applyFill="1" applyBorder="1" applyAlignment="1">
      <alignment horizontal="center" vertical="center" wrapText="1"/>
    </xf>
    <xf numFmtId="0" fontId="21" fillId="5" borderId="15" xfId="0" applyFont="1" applyFill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4" fontId="2" fillId="0" borderId="2" xfId="0" applyNumberFormat="1" applyFont="1" applyBorder="1" applyAlignment="1">
      <alignment vertical="center"/>
    </xf>
    <xf numFmtId="17" fontId="4" fillId="0" borderId="2" xfId="0" applyNumberFormat="1" applyFont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14" fontId="4" fillId="2" borderId="2" xfId="0" applyNumberFormat="1" applyFont="1" applyFill="1" applyBorder="1" applyAlignment="1">
      <alignment horizontal="center" vertical="center"/>
    </xf>
    <xf numFmtId="2" fontId="5" fillId="2" borderId="2" xfId="0" applyNumberFormat="1" applyFont="1" applyFill="1" applyBorder="1" applyAlignment="1">
      <alignment horizontal="left" vertical="center"/>
    </xf>
    <xf numFmtId="4" fontId="2" fillId="2" borderId="2" xfId="0" applyNumberFormat="1" applyFont="1" applyFill="1" applyBorder="1" applyAlignment="1">
      <alignment vertical="center"/>
    </xf>
    <xf numFmtId="16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2" xfId="0" applyFont="1" applyBorder="1" applyAlignment="1">
      <alignment horizontal="left" vertical="center"/>
    </xf>
    <xf numFmtId="4" fontId="2" fillId="0" borderId="2" xfId="0" applyNumberFormat="1" applyFont="1" applyBorder="1" applyAlignment="1">
      <alignment horizontal="right" vertical="center"/>
    </xf>
    <xf numFmtId="165" fontId="2" fillId="0" borderId="2" xfId="1" applyFont="1" applyBorder="1" applyAlignment="1">
      <alignment horizontal="right" vertical="center"/>
    </xf>
    <xf numFmtId="17" fontId="3" fillId="0" borderId="2" xfId="0" applyNumberFormat="1" applyFont="1" applyBorder="1" applyAlignment="1">
      <alignment vertical="center"/>
    </xf>
    <xf numFmtId="0" fontId="1" fillId="0" borderId="2" xfId="0" applyFont="1" applyBorder="1" applyAlignment="1">
      <alignment horizontal="center" vertical="center" wrapText="1"/>
    </xf>
    <xf numFmtId="0" fontId="20" fillId="5" borderId="17" xfId="0" applyFont="1" applyFill="1" applyBorder="1" applyAlignment="1">
      <alignment horizontal="center" vertical="center" wrapText="1"/>
    </xf>
    <xf numFmtId="0" fontId="22" fillId="0" borderId="0" xfId="0" applyFont="1"/>
    <xf numFmtId="0" fontId="22" fillId="0" borderId="0" xfId="0" applyFont="1" applyAlignment="1">
      <alignment horizontal="center"/>
    </xf>
    <xf numFmtId="0" fontId="10" fillId="0" borderId="0" xfId="0" applyFont="1" applyAlignment="1">
      <alignment horizontal="justify"/>
    </xf>
    <xf numFmtId="0" fontId="1" fillId="0" borderId="0" xfId="0" applyFont="1"/>
    <xf numFmtId="0" fontId="10" fillId="0" borderId="0" xfId="0" applyFont="1"/>
    <xf numFmtId="0" fontId="24" fillId="0" borderId="0" xfId="0" applyFont="1"/>
    <xf numFmtId="0" fontId="28" fillId="0" borderId="0" xfId="0" applyFont="1"/>
    <xf numFmtId="0" fontId="28" fillId="0" borderId="0" xfId="0" applyFont="1" applyAlignment="1">
      <alignment horizontal="center"/>
    </xf>
    <xf numFmtId="0" fontId="32" fillId="0" borderId="0" xfId="0" applyFont="1"/>
    <xf numFmtId="164" fontId="33" fillId="0" borderId="2" xfId="0" applyNumberFormat="1" applyFont="1" applyBorder="1" applyAlignment="1">
      <alignment shrinkToFit="1"/>
    </xf>
    <xf numFmtId="1" fontId="34" fillId="0" borderId="0" xfId="0" applyNumberFormat="1" applyFont="1" applyAlignment="1">
      <alignment horizontal="center" vertical="center"/>
    </xf>
    <xf numFmtId="0" fontId="35" fillId="0" borderId="0" xfId="0" applyFont="1"/>
    <xf numFmtId="0" fontId="27" fillId="0" borderId="0" xfId="0" applyFont="1" applyAlignment="1">
      <alignment horizontal="center" vertical="center"/>
    </xf>
    <xf numFmtId="0" fontId="26" fillId="0" borderId="0" xfId="0" applyFont="1" applyAlignment="1">
      <alignment vertical="center" wrapText="1"/>
    </xf>
    <xf numFmtId="15" fontId="4" fillId="0" borderId="2" xfId="0" applyNumberFormat="1" applyFon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0" fillId="0" borderId="0" xfId="0" applyNumberFormat="1" applyAlignment="1">
      <alignment horizontal="center" vertical="top"/>
    </xf>
    <xf numFmtId="0" fontId="5" fillId="0" borderId="0" xfId="0" applyFont="1" applyAlignment="1">
      <alignment vertical="center" wrapText="1"/>
    </xf>
    <xf numFmtId="172" fontId="1" fillId="0" borderId="0" xfId="0" applyNumberFormat="1" applyFont="1" applyAlignment="1">
      <alignment horizontal="center"/>
    </xf>
    <xf numFmtId="0" fontId="10" fillId="4" borderId="0" xfId="0" applyFont="1" applyFill="1" applyAlignment="1">
      <alignment horizontal="center" vertical="center"/>
    </xf>
    <xf numFmtId="169" fontId="4" fillId="0" borderId="2" xfId="0" applyNumberFormat="1" applyFont="1" applyBorder="1" applyAlignment="1">
      <alignment horizontal="center" vertical="center"/>
    </xf>
    <xf numFmtId="17" fontId="4" fillId="0" borderId="2" xfId="0" applyNumberFormat="1" applyFont="1" applyBorder="1" applyAlignment="1">
      <alignment vertical="center"/>
    </xf>
    <xf numFmtId="4" fontId="12" fillId="2" borderId="2" xfId="0" applyNumberFormat="1" applyFont="1" applyFill="1" applyBorder="1" applyAlignment="1">
      <alignment horizontal="center" vertical="center"/>
    </xf>
    <xf numFmtId="4" fontId="12" fillId="0" borderId="0" xfId="0" applyNumberFormat="1" applyFont="1" applyAlignment="1" applyProtection="1">
      <alignment horizontal="center" vertical="center"/>
      <protection hidden="1"/>
    </xf>
    <xf numFmtId="167" fontId="2" fillId="0" borderId="0" xfId="0" applyNumberFormat="1" applyFont="1" applyAlignment="1" applyProtection="1">
      <alignment horizontal="left" vertical="center"/>
      <protection locked="0" hidden="1"/>
    </xf>
    <xf numFmtId="0" fontId="7" fillId="0" borderId="0" xfId="0" applyFont="1" applyAlignment="1" applyProtection="1">
      <alignment wrapText="1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172" fontId="12" fillId="0" borderId="0" xfId="0" applyNumberFormat="1" applyFont="1" applyAlignment="1" applyProtection="1">
      <alignment horizontal="center"/>
      <protection hidden="1"/>
    </xf>
    <xf numFmtId="0" fontId="26" fillId="0" borderId="0" xfId="0" applyFont="1" applyAlignment="1" applyProtection="1">
      <alignment vertical="center" wrapText="1"/>
      <protection hidden="1"/>
    </xf>
    <xf numFmtId="0" fontId="5" fillId="0" borderId="0" xfId="0" applyFont="1" applyAlignment="1" applyProtection="1">
      <alignment vertical="center" wrapText="1"/>
      <protection hidden="1"/>
    </xf>
    <xf numFmtId="0" fontId="27" fillId="0" borderId="0" xfId="0" applyFont="1" applyAlignment="1" applyProtection="1">
      <alignment horizontal="center" vertical="center"/>
      <protection hidden="1"/>
    </xf>
    <xf numFmtId="0" fontId="12" fillId="0" borderId="0" xfId="0" applyFont="1" applyProtection="1">
      <protection hidden="1"/>
    </xf>
    <xf numFmtId="172" fontId="12" fillId="0" borderId="0" xfId="0" applyNumberFormat="1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vertical="center"/>
      <protection hidden="1"/>
    </xf>
    <xf numFmtId="0" fontId="1" fillId="0" borderId="0" xfId="0" applyFont="1" applyProtection="1">
      <protection hidden="1"/>
    </xf>
    <xf numFmtId="0" fontId="24" fillId="0" borderId="0" xfId="0" applyFont="1" applyProtection="1">
      <protection hidden="1"/>
    </xf>
    <xf numFmtId="0" fontId="10" fillId="0" borderId="0" xfId="0" applyFont="1" applyProtection="1">
      <protection hidden="1"/>
    </xf>
    <xf numFmtId="167" fontId="2" fillId="0" borderId="0" xfId="0" applyNumberFormat="1" applyFont="1" applyAlignment="1" applyProtection="1">
      <alignment horizontal="left" vertical="center"/>
      <protection hidden="1"/>
    </xf>
    <xf numFmtId="167" fontId="2" fillId="0" borderId="0" xfId="0" applyNumberFormat="1" applyFont="1" applyAlignment="1" applyProtection="1">
      <alignment horizontal="center" vertical="center"/>
      <protection hidden="1"/>
    </xf>
    <xf numFmtId="0" fontId="3" fillId="0" borderId="1" xfId="0" quotePrefix="1" applyFont="1" applyBorder="1" applyAlignment="1" applyProtection="1">
      <alignment horizontal="center" vertical="center"/>
      <protection locked="0"/>
    </xf>
    <xf numFmtId="169" fontId="3" fillId="0" borderId="2" xfId="0" applyNumberFormat="1" applyFont="1" applyBorder="1" applyAlignment="1" applyProtection="1">
      <alignment horizontal="center" vertical="center"/>
      <protection locked="0"/>
    </xf>
    <xf numFmtId="2" fontId="5" fillId="0" borderId="4" xfId="0" applyNumberFormat="1" applyFont="1" applyBorder="1" applyAlignment="1" applyProtection="1">
      <alignment horizontal="center" vertical="center"/>
      <protection locked="0"/>
    </xf>
    <xf numFmtId="4" fontId="12" fillId="0" borderId="4" xfId="0" applyNumberFormat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left" vertical="center"/>
      <protection locked="0"/>
    </xf>
    <xf numFmtId="0" fontId="3" fillId="0" borderId="4" xfId="0" applyFont="1" applyBorder="1" applyAlignment="1" applyProtection="1">
      <alignment vertical="center"/>
      <protection locked="0"/>
    </xf>
    <xf numFmtId="0" fontId="3" fillId="7" borderId="1" xfId="0" quotePrefix="1" applyFont="1" applyFill="1" applyBorder="1" applyAlignment="1" applyProtection="1">
      <alignment horizontal="center" vertical="center"/>
      <protection locked="0"/>
    </xf>
    <xf numFmtId="2" fontId="5" fillId="0" borderId="4" xfId="0" applyNumberFormat="1" applyFont="1" applyBorder="1" applyAlignment="1" applyProtection="1">
      <alignment horizontal="center" vertical="center" wrapText="1"/>
      <protection locked="0"/>
    </xf>
    <xf numFmtId="15" fontId="1" fillId="0" borderId="0" xfId="0" applyNumberFormat="1" applyFont="1" applyProtection="1">
      <protection hidden="1"/>
    </xf>
    <xf numFmtId="4" fontId="12" fillId="0" borderId="2" xfId="0" applyNumberFormat="1" applyFont="1" applyBorder="1" applyAlignment="1" applyProtection="1">
      <alignment horizontal="center" vertical="center"/>
      <protection hidden="1"/>
    </xf>
    <xf numFmtId="0" fontId="1" fillId="0" borderId="2" xfId="0" applyFont="1" applyBorder="1" applyAlignment="1" applyProtection="1">
      <alignment horizontal="left"/>
      <protection hidden="1"/>
    </xf>
    <xf numFmtId="15" fontId="1" fillId="0" borderId="2" xfId="0" applyNumberFormat="1" applyFont="1" applyBorder="1" applyAlignment="1" applyProtection="1">
      <alignment horizontal="center" vertical="center"/>
      <protection hidden="1"/>
    </xf>
    <xf numFmtId="0" fontId="31" fillId="6" borderId="4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/>
      <protection hidden="1"/>
    </xf>
    <xf numFmtId="0" fontId="10" fillId="0" borderId="0" xfId="0" applyFont="1" applyAlignment="1" applyProtection="1">
      <alignment horizontal="right"/>
      <protection hidden="1"/>
    </xf>
    <xf numFmtId="0" fontId="10" fillId="0" borderId="0" xfId="0" applyFont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hidden="1"/>
    </xf>
    <xf numFmtId="0" fontId="2" fillId="0" borderId="0" xfId="0" applyFont="1" applyAlignment="1" applyProtection="1">
      <alignment horizontal="right"/>
      <protection hidden="1"/>
    </xf>
    <xf numFmtId="0" fontId="3" fillId="0" borderId="0" xfId="0" applyFont="1" applyAlignment="1" applyProtection="1">
      <alignment horizontal="right"/>
      <protection hidden="1"/>
    </xf>
    <xf numFmtId="0" fontId="37" fillId="0" borderId="0" xfId="0" applyFont="1" applyAlignment="1" applyProtection="1">
      <alignment horizontal="left"/>
      <protection hidden="1"/>
    </xf>
    <xf numFmtId="0" fontId="38" fillId="0" borderId="0" xfId="0" applyFont="1" applyAlignment="1" applyProtection="1">
      <alignment horizontal="left"/>
      <protection hidden="1"/>
    </xf>
    <xf numFmtId="0" fontId="31" fillId="0" borderId="0" xfId="0" applyFont="1" applyAlignment="1" applyProtection="1">
      <alignment vertical="center"/>
      <protection hidden="1"/>
    </xf>
    <xf numFmtId="0" fontId="39" fillId="0" borderId="0" xfId="0" applyFont="1" applyAlignment="1" applyProtection="1">
      <alignment vertical="top" wrapText="1"/>
      <protection hidden="1"/>
    </xf>
    <xf numFmtId="0" fontId="39" fillId="0" borderId="0" xfId="0" applyFont="1" applyAlignment="1" applyProtection="1">
      <alignment horizontal="left" vertical="top" wrapText="1"/>
      <protection hidden="1"/>
    </xf>
    <xf numFmtId="0" fontId="3" fillId="0" borderId="0" xfId="0" applyFont="1" applyAlignment="1" applyProtection="1">
      <alignment horizontal="left" vertical="center" wrapText="1"/>
      <protection hidden="1"/>
    </xf>
    <xf numFmtId="0" fontId="1" fillId="0" borderId="0" xfId="0" applyFont="1" applyAlignment="1" applyProtection="1">
      <alignment horizontal="center"/>
      <protection hidden="1"/>
    </xf>
    <xf numFmtId="1" fontId="40" fillId="0" borderId="0" xfId="0" applyNumberFormat="1" applyFont="1" applyAlignment="1" applyProtection="1">
      <alignment horizontal="left" vertical="center"/>
      <protection hidden="1"/>
    </xf>
    <xf numFmtId="0" fontId="1" fillId="0" borderId="0" xfId="0" applyFont="1" applyAlignment="1" applyProtection="1">
      <alignment horizontal="center" wrapText="1"/>
      <protection hidden="1"/>
    </xf>
    <xf numFmtId="0" fontId="1" fillId="0" borderId="10" xfId="0" applyFont="1" applyBorder="1" applyAlignment="1" applyProtection="1">
      <alignment horizontal="center" vertical="center"/>
      <protection hidden="1"/>
    </xf>
    <xf numFmtId="0" fontId="41" fillId="0" borderId="0" xfId="0" applyFont="1" applyProtection="1">
      <protection hidden="1"/>
    </xf>
    <xf numFmtId="0" fontId="1" fillId="0" borderId="0" xfId="0" applyFont="1" applyAlignment="1" applyProtection="1">
      <alignment horizontal="center"/>
      <protection locked="0" hidden="1"/>
    </xf>
    <xf numFmtId="0" fontId="4" fillId="0" borderId="0" xfId="0" applyFont="1" applyProtection="1">
      <protection hidden="1"/>
    </xf>
    <xf numFmtId="0" fontId="4" fillId="0" borderId="0" xfId="0" applyFont="1" applyAlignment="1" applyProtection="1">
      <alignment horizontal="left"/>
      <protection locked="0" hidden="1"/>
    </xf>
    <xf numFmtId="0" fontId="4" fillId="0" borderId="14" xfId="0" applyFont="1" applyBorder="1" applyAlignment="1" applyProtection="1">
      <alignment horizontal="left"/>
      <protection locked="0" hidden="1"/>
    </xf>
    <xf numFmtId="0" fontId="4" fillId="0" borderId="25" xfId="0" applyFont="1" applyBorder="1" applyAlignment="1" applyProtection="1">
      <alignment horizontal="center" vertical="center"/>
      <protection hidden="1"/>
    </xf>
    <xf numFmtId="0" fontId="4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 applyProtection="1">
      <protection hidden="1"/>
    </xf>
    <xf numFmtId="0" fontId="7" fillId="5" borderId="2" xfId="0" applyFont="1" applyFill="1" applyBorder="1" applyAlignment="1" applyProtection="1">
      <alignment horizontal="left" vertical="center" wrapText="1"/>
      <protection hidden="1"/>
    </xf>
    <xf numFmtId="0" fontId="12" fillId="5" borderId="2" xfId="0" applyFont="1" applyFill="1" applyBorder="1" applyAlignment="1" applyProtection="1">
      <alignment horizontal="center" vertical="center" wrapText="1"/>
      <protection hidden="1"/>
    </xf>
    <xf numFmtId="4" fontId="12" fillId="0" borderId="3" xfId="0" applyNumberFormat="1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3" fillId="0" borderId="0" xfId="0" applyFont="1" applyProtection="1">
      <protection hidden="1"/>
    </xf>
    <xf numFmtId="0" fontId="42" fillId="0" borderId="1" xfId="0" quotePrefix="1" applyFont="1" applyBorder="1" applyAlignment="1" applyProtection="1">
      <alignment horizontal="center" vertical="center"/>
      <protection locked="0"/>
    </xf>
    <xf numFmtId="169" fontId="42" fillId="0" borderId="2" xfId="0" applyNumberFormat="1" applyFont="1" applyBorder="1" applyAlignment="1" applyProtection="1">
      <alignment horizontal="center" vertical="center"/>
      <protection locked="0"/>
    </xf>
    <xf numFmtId="4" fontId="21" fillId="0" borderId="2" xfId="0" applyNumberFormat="1" applyFont="1" applyBorder="1" applyAlignment="1" applyProtection="1">
      <alignment horizontal="center" vertical="center"/>
      <protection hidden="1"/>
    </xf>
    <xf numFmtId="4" fontId="21" fillId="0" borderId="3" xfId="0" applyNumberFormat="1" applyFont="1" applyBorder="1" applyAlignment="1" applyProtection="1">
      <alignment horizontal="center" vertical="center"/>
      <protection hidden="1"/>
    </xf>
    <xf numFmtId="169" fontId="42" fillId="0" borderId="4" xfId="0" applyNumberFormat="1" applyFont="1" applyBorder="1" applyAlignment="1" applyProtection="1">
      <alignment horizontal="center" vertical="center"/>
      <protection locked="0"/>
    </xf>
    <xf numFmtId="0" fontId="42" fillId="0" borderId="4" xfId="0" applyFont="1" applyBorder="1" applyAlignment="1" applyProtection="1">
      <alignment vertical="center"/>
      <protection locked="0"/>
    </xf>
    <xf numFmtId="0" fontId="37" fillId="0" borderId="0" xfId="0" applyFont="1" applyProtection="1">
      <protection hidden="1"/>
    </xf>
    <xf numFmtId="0" fontId="39" fillId="0" borderId="0" xfId="0" applyFont="1" applyProtection="1">
      <protection hidden="1"/>
    </xf>
    <xf numFmtId="3" fontId="39" fillId="0" borderId="0" xfId="0" applyNumberFormat="1" applyFont="1" applyProtection="1">
      <protection hidden="1"/>
    </xf>
    <xf numFmtId="0" fontId="6" fillId="0" borderId="1" xfId="0" quotePrefix="1" applyFont="1" applyBorder="1" applyAlignment="1" applyProtection="1">
      <alignment horizontal="center" vertical="center"/>
      <protection locked="0"/>
    </xf>
    <xf numFmtId="0" fontId="6" fillId="0" borderId="4" xfId="0" applyFont="1" applyBorder="1" applyAlignment="1" applyProtection="1">
      <alignment vertical="center"/>
      <protection locked="0"/>
    </xf>
    <xf numFmtId="169" fontId="6" fillId="0" borderId="2" xfId="0" applyNumberFormat="1" applyFont="1" applyBorder="1" applyAlignment="1" applyProtection="1">
      <alignment horizontal="center" vertical="center"/>
      <protection locked="0"/>
    </xf>
    <xf numFmtId="2" fontId="44" fillId="0" borderId="4" xfId="0" applyNumberFormat="1" applyFont="1" applyBorder="1" applyAlignment="1" applyProtection="1">
      <alignment horizontal="center" vertical="center"/>
      <protection locked="0"/>
    </xf>
    <xf numFmtId="4" fontId="45" fillId="0" borderId="4" xfId="0" applyNumberFormat="1" applyFont="1" applyBorder="1" applyAlignment="1" applyProtection="1">
      <alignment horizontal="center" vertical="center"/>
      <protection locked="0"/>
    </xf>
    <xf numFmtId="4" fontId="45" fillId="0" borderId="2" xfId="0" applyNumberFormat="1" applyFont="1" applyBorder="1" applyAlignment="1" applyProtection="1">
      <alignment horizontal="center" vertical="center"/>
      <protection hidden="1"/>
    </xf>
    <xf numFmtId="4" fontId="45" fillId="0" borderId="3" xfId="0" applyNumberFormat="1" applyFont="1" applyBorder="1" applyAlignment="1" applyProtection="1">
      <alignment horizontal="center" vertical="center"/>
      <protection hidden="1"/>
    </xf>
    <xf numFmtId="15" fontId="13" fillId="0" borderId="0" xfId="0" applyNumberFormat="1" applyFont="1" applyProtection="1">
      <protection hidden="1"/>
    </xf>
    <xf numFmtId="0" fontId="13" fillId="0" borderId="0" xfId="0" applyFont="1" applyAlignment="1" applyProtection="1">
      <alignment horizontal="left" wrapText="1"/>
      <protection hidden="1"/>
    </xf>
    <xf numFmtId="172" fontId="37" fillId="0" borderId="0" xfId="0" applyNumberFormat="1" applyFont="1" applyAlignment="1" applyProtection="1">
      <alignment horizontal="left"/>
      <protection hidden="1"/>
    </xf>
    <xf numFmtId="172" fontId="37" fillId="0" borderId="0" xfId="0" applyNumberFormat="1" applyFont="1" applyProtection="1">
      <protection hidden="1"/>
    </xf>
    <xf numFmtId="0" fontId="47" fillId="0" borderId="0" xfId="0" applyFont="1" applyProtection="1">
      <protection hidden="1"/>
    </xf>
    <xf numFmtId="0" fontId="7" fillId="8" borderId="2" xfId="0" applyFont="1" applyFill="1" applyBorder="1" applyAlignment="1" applyProtection="1">
      <alignment wrapText="1"/>
      <protection hidden="1"/>
    </xf>
    <xf numFmtId="4" fontId="12" fillId="4" borderId="2" xfId="0" applyNumberFormat="1" applyFont="1" applyFill="1" applyBorder="1" applyAlignment="1" applyProtection="1">
      <alignment horizontal="center" vertical="center"/>
      <protection hidden="1"/>
    </xf>
    <xf numFmtId="4" fontId="12" fillId="9" borderId="2" xfId="0" applyNumberFormat="1" applyFont="1" applyFill="1" applyBorder="1" applyAlignment="1" applyProtection="1">
      <alignment horizontal="center" vertical="center"/>
      <protection hidden="1"/>
    </xf>
    <xf numFmtId="0" fontId="7" fillId="8" borderId="2" xfId="0" applyFont="1" applyFill="1" applyBorder="1" applyAlignment="1" applyProtection="1">
      <alignment horizontal="center" vertical="center" wrapText="1"/>
      <protection hidden="1"/>
    </xf>
    <xf numFmtId="0" fontId="7" fillId="5" borderId="2" xfId="0" applyFont="1" applyFill="1" applyBorder="1" applyAlignment="1" applyProtection="1">
      <alignment horizontal="center" vertical="center" wrapText="1"/>
      <protection hidden="1"/>
    </xf>
    <xf numFmtId="0" fontId="3" fillId="0" borderId="2" xfId="0" quotePrefix="1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vertical="center"/>
      <protection locked="0"/>
    </xf>
    <xf numFmtId="2" fontId="5" fillId="0" borderId="2" xfId="0" applyNumberFormat="1" applyFont="1" applyBorder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wrapText="1"/>
      <protection hidden="1"/>
    </xf>
    <xf numFmtId="4" fontId="12" fillId="0" borderId="2" xfId="0" applyNumberFormat="1" applyFont="1" applyBorder="1" applyAlignment="1" applyProtection="1">
      <alignment horizontal="center" vertical="center"/>
      <protection locked="0"/>
    </xf>
    <xf numFmtId="0" fontId="1" fillId="0" borderId="2" xfId="0" applyFont="1" applyBorder="1" applyProtection="1">
      <protection hidden="1"/>
    </xf>
    <xf numFmtId="9" fontId="1" fillId="0" borderId="2" xfId="2" applyFont="1" applyBorder="1" applyProtection="1">
      <protection hidden="1"/>
    </xf>
    <xf numFmtId="173" fontId="1" fillId="0" borderId="2" xfId="0" applyNumberFormat="1" applyFont="1" applyBorder="1" applyProtection="1">
      <protection hidden="1"/>
    </xf>
    <xf numFmtId="0" fontId="3" fillId="0" borderId="2" xfId="0" applyFont="1" applyBorder="1" applyAlignment="1" applyProtection="1">
      <alignment horizontal="left" vertical="center"/>
      <protection locked="0"/>
    </xf>
    <xf numFmtId="0" fontId="42" fillId="0" borderId="2" xfId="0" quotePrefix="1" applyFont="1" applyBorder="1" applyAlignment="1" applyProtection="1">
      <alignment horizontal="center" vertical="center"/>
      <protection locked="0"/>
    </xf>
    <xf numFmtId="0" fontId="42" fillId="0" borderId="2" xfId="0" applyFont="1" applyBorder="1" applyAlignment="1" applyProtection="1">
      <alignment horizontal="left" vertical="center"/>
      <protection locked="0"/>
    </xf>
    <xf numFmtId="2" fontId="43" fillId="0" borderId="2" xfId="0" applyNumberFormat="1" applyFont="1" applyBorder="1" applyAlignment="1" applyProtection="1">
      <alignment horizontal="center" vertical="center"/>
      <protection locked="0"/>
    </xf>
    <xf numFmtId="0" fontId="35" fillId="0" borderId="2" xfId="0" applyFont="1" applyBorder="1" applyProtection="1">
      <protection hidden="1"/>
    </xf>
    <xf numFmtId="4" fontId="21" fillId="0" borderId="2" xfId="0" applyNumberFormat="1" applyFont="1" applyBorder="1" applyAlignment="1" applyProtection="1">
      <alignment horizontal="center" vertical="center"/>
      <protection locked="0"/>
    </xf>
    <xf numFmtId="0" fontId="3" fillId="10" borderId="2" xfId="0" quotePrefix="1" applyFont="1" applyFill="1" applyBorder="1" applyAlignment="1" applyProtection="1">
      <alignment horizontal="center" vertical="center"/>
      <protection locked="0"/>
    </xf>
    <xf numFmtId="0" fontId="42" fillId="10" borderId="2" xfId="0" quotePrefix="1" applyFont="1" applyFill="1" applyBorder="1" applyAlignment="1" applyProtection="1">
      <alignment horizontal="center" vertical="center"/>
      <protection locked="0"/>
    </xf>
    <xf numFmtId="0" fontId="42" fillId="0" borderId="2" xfId="0" applyFont="1" applyBorder="1" applyAlignment="1" applyProtection="1">
      <alignment vertical="center"/>
      <protection locked="0"/>
    </xf>
    <xf numFmtId="9" fontId="1" fillId="0" borderId="2" xfId="2" applyFont="1" applyFill="1" applyBorder="1" applyProtection="1">
      <protection hidden="1"/>
    </xf>
    <xf numFmtId="0" fontId="42" fillId="9" borderId="2" xfId="0" quotePrefix="1" applyFont="1" applyFill="1" applyBorder="1" applyAlignment="1" applyProtection="1">
      <alignment horizontal="center" vertical="center"/>
      <protection locked="0"/>
    </xf>
    <xf numFmtId="0" fontId="42" fillId="9" borderId="2" xfId="0" applyFont="1" applyFill="1" applyBorder="1" applyAlignment="1" applyProtection="1">
      <alignment vertical="center"/>
      <protection locked="0"/>
    </xf>
    <xf numFmtId="169" fontId="42" fillId="9" borderId="2" xfId="0" applyNumberFormat="1" applyFont="1" applyFill="1" applyBorder="1" applyAlignment="1" applyProtection="1">
      <alignment horizontal="center" vertical="center"/>
      <protection locked="0"/>
    </xf>
    <xf numFmtId="2" fontId="43" fillId="9" borderId="2" xfId="0" applyNumberFormat="1" applyFont="1" applyFill="1" applyBorder="1" applyAlignment="1" applyProtection="1">
      <alignment horizontal="center" vertical="center"/>
      <protection locked="0"/>
    </xf>
    <xf numFmtId="0" fontId="1" fillId="9" borderId="2" xfId="0" applyFont="1" applyFill="1" applyBorder="1" applyProtection="1">
      <protection hidden="1"/>
    </xf>
    <xf numFmtId="4" fontId="12" fillId="9" borderId="2" xfId="0" applyNumberFormat="1" applyFont="1" applyFill="1" applyBorder="1" applyAlignment="1" applyProtection="1">
      <alignment horizontal="center" vertical="center"/>
      <protection locked="0"/>
    </xf>
    <xf numFmtId="9" fontId="1" fillId="9" borderId="2" xfId="2" applyFont="1" applyFill="1" applyBorder="1" applyProtection="1">
      <protection hidden="1"/>
    </xf>
    <xf numFmtId="173" fontId="1" fillId="9" borderId="2" xfId="0" applyNumberFormat="1" applyFont="1" applyFill="1" applyBorder="1" applyProtection="1">
      <protection hidden="1"/>
    </xf>
    <xf numFmtId="2" fontId="5" fillId="9" borderId="2" xfId="0" applyNumberFormat="1" applyFont="1" applyFill="1" applyBorder="1" applyAlignment="1" applyProtection="1">
      <alignment horizontal="center" vertical="center"/>
      <protection locked="0"/>
    </xf>
    <xf numFmtId="0" fontId="42" fillId="4" borderId="2" xfId="0" quotePrefix="1" applyFont="1" applyFill="1" applyBorder="1" applyAlignment="1" applyProtection="1">
      <alignment horizontal="center" vertical="center"/>
      <protection locked="0"/>
    </xf>
    <xf numFmtId="0" fontId="42" fillId="4" borderId="2" xfId="0" applyFont="1" applyFill="1" applyBorder="1" applyAlignment="1" applyProtection="1">
      <alignment vertical="center"/>
      <protection locked="0"/>
    </xf>
    <xf numFmtId="169" fontId="42" fillId="4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 applyProtection="1">
      <alignment horizontal="center" vertical="center"/>
      <protection locked="0"/>
    </xf>
    <xf numFmtId="0" fontId="1" fillId="4" borderId="2" xfId="0" applyFont="1" applyFill="1" applyBorder="1" applyProtection="1">
      <protection hidden="1"/>
    </xf>
    <xf numFmtId="4" fontId="12" fillId="4" borderId="2" xfId="0" applyNumberFormat="1" applyFont="1" applyFill="1" applyBorder="1" applyAlignment="1" applyProtection="1">
      <alignment horizontal="center" vertical="center"/>
      <protection locked="0"/>
    </xf>
    <xf numFmtId="9" fontId="1" fillId="4" borderId="2" xfId="2" applyFont="1" applyFill="1" applyBorder="1" applyProtection="1">
      <protection hidden="1"/>
    </xf>
    <xf numFmtId="173" fontId="1" fillId="4" borderId="2" xfId="0" applyNumberFormat="1" applyFont="1" applyFill="1" applyBorder="1" applyProtection="1">
      <protection hidden="1"/>
    </xf>
    <xf numFmtId="4" fontId="45" fillId="0" borderId="2" xfId="0" applyNumberFormat="1" applyFont="1" applyBorder="1" applyAlignment="1" applyProtection="1">
      <alignment horizontal="center" vertical="center"/>
      <protection locked="0"/>
    </xf>
    <xf numFmtId="0" fontId="1" fillId="0" borderId="2" xfId="0" applyFont="1" applyBorder="1"/>
    <xf numFmtId="174" fontId="1" fillId="0" borderId="2" xfId="0" applyNumberFormat="1" applyFont="1" applyBorder="1" applyProtection="1"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8" fillId="0" borderId="13" xfId="0" applyFont="1" applyBorder="1" applyAlignment="1">
      <alignment horizontal="center" vertical="center" textRotation="90" wrapText="1"/>
    </xf>
    <xf numFmtId="0" fontId="8" fillId="0" borderId="6" xfId="0" applyFont="1" applyBorder="1" applyAlignment="1">
      <alignment horizontal="center" vertical="center" textRotation="90" wrapText="1"/>
    </xf>
    <xf numFmtId="166" fontId="10" fillId="0" borderId="0" xfId="0" applyNumberFormat="1" applyFont="1" applyAlignment="1">
      <alignment horizontal="center" vertical="center"/>
    </xf>
    <xf numFmtId="0" fontId="4" fillId="4" borderId="4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3" fillId="0" borderId="12" xfId="0" applyFont="1" applyBorder="1" applyAlignment="1">
      <alignment horizontal="center" wrapText="1"/>
    </xf>
    <xf numFmtId="0" fontId="6" fillId="0" borderId="13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0" fontId="1" fillId="0" borderId="9" xfId="0" applyFont="1" applyBorder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hidden="1"/>
    </xf>
    <xf numFmtId="0" fontId="10" fillId="0" borderId="9" xfId="0" applyFont="1" applyBorder="1" applyAlignment="1" applyProtection="1">
      <alignment textRotation="90" wrapText="1"/>
      <protection hidden="1"/>
    </xf>
    <xf numFmtId="0" fontId="4" fillId="5" borderId="18" xfId="0" applyFont="1" applyFill="1" applyBorder="1" applyAlignment="1" applyProtection="1">
      <alignment horizontal="center"/>
      <protection hidden="1"/>
    </xf>
    <xf numFmtId="0" fontId="4" fillId="5" borderId="19" xfId="0" applyFont="1" applyFill="1" applyBorder="1" applyAlignment="1" applyProtection="1">
      <alignment horizontal="center"/>
      <protection hidden="1"/>
    </xf>
    <xf numFmtId="0" fontId="4" fillId="5" borderId="19" xfId="0" applyFont="1" applyFill="1" applyBorder="1" applyAlignment="1" applyProtection="1">
      <alignment horizontal="left"/>
      <protection hidden="1"/>
    </xf>
    <xf numFmtId="0" fontId="4" fillId="5" borderId="20" xfId="0" applyFont="1" applyFill="1" applyBorder="1" applyAlignment="1" applyProtection="1">
      <alignment horizontal="center"/>
      <protection hidden="1"/>
    </xf>
    <xf numFmtId="0" fontId="3" fillId="0" borderId="9" xfId="0" applyFont="1" applyBorder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left" wrapText="1"/>
      <protection hidden="1"/>
    </xf>
    <xf numFmtId="166" fontId="2" fillId="0" borderId="0" xfId="0" applyNumberFormat="1" applyFont="1" applyAlignment="1" applyProtection="1">
      <alignment horizontal="left" vertical="center"/>
      <protection locked="0" hidden="1"/>
    </xf>
    <xf numFmtId="0" fontId="2" fillId="0" borderId="2" xfId="0" applyFont="1" applyBorder="1" applyAlignment="1" applyProtection="1">
      <alignment horizontal="right" vertical="center"/>
      <protection hidden="1"/>
    </xf>
    <xf numFmtId="166" fontId="2" fillId="0" borderId="2" xfId="0" applyNumberFormat="1" applyFont="1" applyBorder="1" applyAlignment="1" applyProtection="1">
      <alignment horizontal="left" vertical="center"/>
      <protection hidden="1"/>
    </xf>
    <xf numFmtId="4" fontId="2" fillId="0" borderId="2" xfId="0" applyNumberFormat="1" applyFont="1" applyBorder="1" applyAlignment="1" applyProtection="1">
      <alignment horizontal="left" vertical="center"/>
      <protection hidden="1"/>
    </xf>
    <xf numFmtId="0" fontId="4" fillId="0" borderId="12" xfId="0" applyFont="1" applyBorder="1" applyAlignment="1" applyProtection="1">
      <alignment horizontal="left" wrapText="1"/>
      <protection hidden="1"/>
    </xf>
    <xf numFmtId="0" fontId="4" fillId="0" borderId="26" xfId="0" applyFont="1" applyBorder="1" applyAlignment="1" applyProtection="1">
      <alignment horizontal="left" wrapText="1"/>
      <protection hidden="1"/>
    </xf>
    <xf numFmtId="0" fontId="1" fillId="0" borderId="13" xfId="0" applyFont="1" applyBorder="1" applyAlignment="1" applyProtection="1">
      <alignment horizontal="left" vertical="center"/>
      <protection hidden="1"/>
    </xf>
    <xf numFmtId="0" fontId="1" fillId="0" borderId="0" xfId="0" applyFont="1" applyAlignment="1" applyProtection="1">
      <alignment horizontal="left" vertical="center"/>
      <protection hidden="1"/>
    </xf>
    <xf numFmtId="0" fontId="26" fillId="6" borderId="2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 wrapText="1"/>
      <protection hidden="1"/>
    </xf>
    <xf numFmtId="165" fontId="26" fillId="4" borderId="4" xfId="1" applyFont="1" applyFill="1" applyBorder="1" applyAlignment="1" applyProtection="1">
      <alignment horizontal="center" vertical="center"/>
      <protection locked="0"/>
    </xf>
    <xf numFmtId="165" fontId="26" fillId="4" borderId="5" xfId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wrapText="1"/>
      <protection hidden="1"/>
    </xf>
    <xf numFmtId="0" fontId="10" fillId="0" borderId="0" xfId="0" applyFont="1" applyAlignment="1" applyProtection="1">
      <alignment horizontal="left" wrapText="1"/>
      <protection hidden="1"/>
    </xf>
    <xf numFmtId="168" fontId="2" fillId="0" borderId="0" xfId="0" applyNumberFormat="1" applyFont="1" applyAlignment="1" applyProtection="1">
      <alignment horizontal="left" vertical="center" shrinkToFit="1"/>
      <protection hidden="1"/>
    </xf>
    <xf numFmtId="168" fontId="2" fillId="0" borderId="0" xfId="1" applyNumberFormat="1" applyFont="1" applyBorder="1" applyAlignment="1" applyProtection="1">
      <alignment horizontal="left"/>
      <protection hidden="1"/>
    </xf>
    <xf numFmtId="0" fontId="10" fillId="0" borderId="0" xfId="0" applyFont="1" applyAlignment="1" applyProtection="1">
      <alignment horizontal="left"/>
      <protection hidden="1"/>
    </xf>
    <xf numFmtId="2" fontId="38" fillId="0" borderId="0" xfId="0" applyNumberFormat="1" applyFont="1" applyAlignment="1" applyProtection="1">
      <alignment horizontal="left"/>
      <protection hidden="1"/>
    </xf>
    <xf numFmtId="0" fontId="38" fillId="0" borderId="0" xfId="0" applyFont="1" applyAlignment="1" applyProtection="1">
      <alignment horizontal="left"/>
      <protection hidden="1"/>
    </xf>
    <xf numFmtId="0" fontId="23" fillId="0" borderId="0" xfId="0" applyFont="1" applyAlignment="1" applyProtection="1">
      <alignment horizontal="left"/>
      <protection hidden="1"/>
    </xf>
    <xf numFmtId="0" fontId="24" fillId="0" borderId="0" xfId="0" applyFont="1" applyAlignment="1" applyProtection="1">
      <alignment horizontal="left"/>
      <protection hidden="1"/>
    </xf>
    <xf numFmtId="0" fontId="2" fillId="0" borderId="0" xfId="0" applyFont="1" applyAlignment="1" applyProtection="1">
      <alignment horizontal="center"/>
      <protection hidden="1"/>
    </xf>
    <xf numFmtId="0" fontId="10" fillId="0" borderId="0" xfId="0" applyFont="1" applyAlignment="1" applyProtection="1">
      <alignment horizontal="center"/>
      <protection hidden="1"/>
    </xf>
    <xf numFmtId="0" fontId="37" fillId="0" borderId="0" xfId="0" applyFont="1" applyAlignment="1" applyProtection="1">
      <alignment horizontal="left"/>
      <protection hidden="1"/>
    </xf>
    <xf numFmtId="0" fontId="31" fillId="6" borderId="2" xfId="0" applyFont="1" applyFill="1" applyBorder="1" applyAlignment="1" applyProtection="1">
      <alignment horizontal="center" vertical="center"/>
      <protection locked="0"/>
    </xf>
    <xf numFmtId="0" fontId="31" fillId="6" borderId="2" xfId="0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wrapText="1"/>
      <protection hidden="1"/>
    </xf>
    <xf numFmtId="166" fontId="19" fillId="5" borderId="23" xfId="0" applyNumberFormat="1" applyFont="1" applyFill="1" applyBorder="1" applyAlignment="1">
      <alignment horizontal="center" vertical="center"/>
    </xf>
    <xf numFmtId="0" fontId="19" fillId="5" borderId="24" xfId="0" applyFont="1" applyFill="1" applyBorder="1" applyAlignment="1">
      <alignment horizontal="center" vertical="center"/>
    </xf>
    <xf numFmtId="0" fontId="4" fillId="5" borderId="18" xfId="0" applyFont="1" applyFill="1" applyBorder="1" applyAlignment="1">
      <alignment horizontal="center"/>
    </xf>
    <xf numFmtId="0" fontId="4" fillId="5" borderId="19" xfId="0" applyFont="1" applyFill="1" applyBorder="1" applyAlignment="1">
      <alignment horizontal="center"/>
    </xf>
    <xf numFmtId="0" fontId="4" fillId="5" borderId="20" xfId="0" applyFont="1" applyFill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4" fillId="0" borderId="12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8" fillId="0" borderId="9" xfId="0" applyFont="1" applyBorder="1" applyAlignment="1">
      <alignment textRotation="90" wrapText="1"/>
    </xf>
    <xf numFmtId="0" fontId="8" fillId="0" borderId="21" xfId="0" applyFont="1" applyBorder="1" applyAlignment="1">
      <alignment textRotation="90" wrapText="1"/>
    </xf>
    <xf numFmtId="166" fontId="2" fillId="0" borderId="0" xfId="0" applyNumberFormat="1" applyFont="1" applyAlignment="1">
      <alignment horizontal="left" vertical="center"/>
    </xf>
    <xf numFmtId="0" fontId="15" fillId="5" borderId="2" xfId="0" applyFont="1" applyFill="1" applyBorder="1" applyAlignment="1">
      <alignment horizontal="center" vertical="center" wrapText="1"/>
    </xf>
    <xf numFmtId="0" fontId="19" fillId="0" borderId="22" xfId="0" applyFont="1" applyBorder="1" applyAlignment="1">
      <alignment horizontal="center"/>
    </xf>
    <xf numFmtId="0" fontId="10" fillId="0" borderId="0" xfId="0" applyFont="1" applyAlignment="1">
      <alignment horizontal="right"/>
    </xf>
    <xf numFmtId="0" fontId="23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2" fillId="0" borderId="0" xfId="0" applyFont="1" applyAlignment="1">
      <alignment horizontal="left"/>
    </xf>
    <xf numFmtId="0" fontId="24" fillId="0" borderId="0" xfId="0" applyFont="1" applyAlignment="1">
      <alignment horizontal="center"/>
    </xf>
    <xf numFmtId="171" fontId="29" fillId="0" borderId="13" xfId="0" applyNumberFormat="1" applyFont="1" applyBorder="1" applyAlignment="1">
      <alignment horizontal="left" vertical="center" wrapText="1"/>
    </xf>
    <xf numFmtId="171" fontId="29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1" fontId="30" fillId="4" borderId="2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wrapText="1"/>
    </xf>
    <xf numFmtId="0" fontId="6" fillId="0" borderId="11" xfId="0" applyFont="1" applyBorder="1" applyAlignment="1">
      <alignment horizontal="center" wrapText="1"/>
    </xf>
    <xf numFmtId="0" fontId="27" fillId="4" borderId="2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 wrapText="1"/>
    </xf>
  </cellXfs>
  <cellStyles count="3">
    <cellStyle name="Comma" xfId="1" builtinId="3"/>
    <cellStyle name="Normal" xfId="0" builtinId="0"/>
    <cellStyle name="Percent" xfId="2" builtinId="5"/>
  </cellStyles>
  <dxfs count="29"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 val="0"/>
        <i/>
        <color rgb="FF0070C0"/>
      </font>
    </dxf>
    <dxf>
      <font>
        <color rgb="FF0070C0"/>
      </font>
    </dxf>
    <dxf>
      <font>
        <b val="0"/>
        <i/>
        <color rgb="FF0070C0"/>
      </font>
    </dxf>
    <dxf>
      <font>
        <b val="0"/>
        <i/>
        <color rgb="FF0070C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 val="0"/>
        <i/>
        <color rgb="FF0070C0"/>
      </font>
    </dxf>
    <dxf>
      <font>
        <color rgb="FF0070C0"/>
      </font>
    </dxf>
    <dxf>
      <font>
        <b val="0"/>
        <i/>
        <color rgb="FF0070C0"/>
      </font>
    </dxf>
    <dxf>
      <font>
        <b val="0"/>
        <i/>
        <color rgb="FF0070C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9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7</xdr:row>
          <xdr:rowOff>9525</xdr:rowOff>
        </xdr:from>
        <xdr:to>
          <xdr:col>14</xdr:col>
          <xdr:colOff>342900</xdr:colOff>
          <xdr:row>8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BE77ADE-B469-44B9-BE77-9B52593203FF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8"/>
  <sheetViews>
    <sheetView workbookViewId="0">
      <selection activeCell="I34" sqref="I34"/>
    </sheetView>
  </sheetViews>
  <sheetFormatPr defaultRowHeight="12.75" x14ac:dyDescent="0.2"/>
  <cols>
    <col min="1" max="1" width="8.7109375" customWidth="1"/>
    <col min="2" max="2" width="18.42578125" customWidth="1"/>
    <col min="3" max="3" width="14" customWidth="1"/>
    <col min="4" max="4" width="16.42578125" customWidth="1"/>
    <col min="5" max="5" width="14.5703125" customWidth="1"/>
    <col min="6" max="6" width="12.85546875" customWidth="1"/>
    <col min="7" max="7" width="16.5703125" customWidth="1"/>
  </cols>
  <sheetData>
    <row r="1" spans="1:7" ht="15" x14ac:dyDescent="0.25">
      <c r="A1" s="236" t="s">
        <v>69</v>
      </c>
      <c r="B1" s="237"/>
      <c r="C1" s="237"/>
      <c r="D1" s="237"/>
      <c r="E1" s="237"/>
      <c r="F1" s="237"/>
      <c r="G1" s="238"/>
    </row>
    <row r="2" spans="1:7" ht="14.25" x14ac:dyDescent="0.2">
      <c r="A2" s="239" t="s">
        <v>71</v>
      </c>
      <c r="B2" s="240"/>
      <c r="C2" s="241" t="s">
        <v>70</v>
      </c>
      <c r="D2" s="241"/>
      <c r="E2" s="241"/>
      <c r="F2" s="16"/>
      <c r="G2" s="17"/>
    </row>
    <row r="3" spans="1:7" ht="15" x14ac:dyDescent="0.2">
      <c r="A3" s="242" t="s">
        <v>81</v>
      </c>
      <c r="B3" s="243"/>
      <c r="C3" s="244" t="s">
        <v>78</v>
      </c>
      <c r="D3" s="244"/>
      <c r="E3" s="244"/>
      <c r="F3" s="16"/>
      <c r="G3" s="18"/>
    </row>
    <row r="4" spans="1:7" ht="15.75" x14ac:dyDescent="0.25">
      <c r="A4" s="233" t="s">
        <v>73</v>
      </c>
      <c r="B4" s="19" t="s">
        <v>82</v>
      </c>
      <c r="C4" s="235">
        <v>728072</v>
      </c>
      <c r="D4" s="235"/>
      <c r="E4" s="20"/>
      <c r="F4" s="21"/>
      <c r="G4" s="18"/>
    </row>
    <row r="5" spans="1:7" ht="15" x14ac:dyDescent="0.2">
      <c r="A5" s="233"/>
      <c r="B5" s="35" t="s">
        <v>74</v>
      </c>
      <c r="C5">
        <v>1000000</v>
      </c>
      <c r="D5" s="22" t="s">
        <v>76</v>
      </c>
      <c r="E5" s="23"/>
      <c r="F5" s="21"/>
      <c r="G5" s="18"/>
    </row>
    <row r="6" spans="1:7" ht="15" x14ac:dyDescent="0.2">
      <c r="A6" s="233"/>
      <c r="B6" s="35" t="s">
        <v>75</v>
      </c>
      <c r="C6" s="23"/>
      <c r="D6" s="22" t="s">
        <v>77</v>
      </c>
      <c r="E6" s="23"/>
      <c r="F6" s="21" t="s">
        <v>79</v>
      </c>
      <c r="G6" s="18" t="s">
        <v>72</v>
      </c>
    </row>
    <row r="7" spans="1:7" ht="15.75" x14ac:dyDescent="0.25">
      <c r="A7" s="234"/>
      <c r="B7" s="11" t="s">
        <v>80</v>
      </c>
      <c r="C7" s="41">
        <f>SUM(C4+C6+C5+E5+E6)</f>
        <v>1728072</v>
      </c>
      <c r="D7" s="40" t="e">
        <f>C7-#REF!</f>
        <v>#REF!</v>
      </c>
      <c r="E7" s="10"/>
      <c r="F7" s="43" t="e">
        <f>D7</f>
        <v>#REF!</v>
      </c>
      <c r="G7" s="42" t="e">
        <f>#REF!</f>
        <v>#REF!</v>
      </c>
    </row>
    <row r="8" spans="1:7" ht="36" x14ac:dyDescent="0.2">
      <c r="A8" s="12" t="s">
        <v>0</v>
      </c>
      <c r="B8" s="36" t="s">
        <v>1</v>
      </c>
      <c r="C8" s="14" t="s">
        <v>6</v>
      </c>
      <c r="D8" s="13" t="s">
        <v>2</v>
      </c>
      <c r="E8" s="13" t="s">
        <v>3</v>
      </c>
      <c r="F8" s="13" t="s">
        <v>4</v>
      </c>
      <c r="G8" s="15" t="s">
        <v>5</v>
      </c>
    </row>
    <row r="9" spans="1:7" ht="15.75" x14ac:dyDescent="0.2">
      <c r="A9" s="2">
        <v>28</v>
      </c>
      <c r="B9" s="28" t="s">
        <v>12</v>
      </c>
      <c r="C9" s="24" t="s">
        <v>33</v>
      </c>
      <c r="D9" s="6" t="s">
        <v>9</v>
      </c>
      <c r="E9" s="7">
        <v>15100</v>
      </c>
      <c r="F9" s="29" t="e">
        <f>D7-E9</f>
        <v>#REF!</v>
      </c>
      <c r="G9" s="30" t="e">
        <f>#REF!</f>
        <v>#REF!</v>
      </c>
    </row>
    <row r="10" spans="1:7" ht="15.75" x14ac:dyDescent="0.2">
      <c r="A10" s="2">
        <f>$A9+1</f>
        <v>29</v>
      </c>
      <c r="B10" s="28" t="s">
        <v>13</v>
      </c>
      <c r="C10" s="24" t="s">
        <v>33</v>
      </c>
      <c r="D10" s="6" t="s">
        <v>7</v>
      </c>
      <c r="E10" s="7">
        <v>15100</v>
      </c>
      <c r="F10" s="29" t="e">
        <f t="shared" ref="F10:F37" si="0">F9-E10</f>
        <v>#REF!</v>
      </c>
      <c r="G10" s="30" t="e">
        <f t="shared" ref="G10:G37" si="1">G9+E10</f>
        <v>#REF!</v>
      </c>
    </row>
    <row r="11" spans="1:7" ht="15.75" x14ac:dyDescent="0.2">
      <c r="A11" s="2">
        <f t="shared" ref="A11:A37" si="2">$A10+1</f>
        <v>30</v>
      </c>
      <c r="B11" s="28" t="s">
        <v>14</v>
      </c>
      <c r="C11" s="24" t="s">
        <v>34</v>
      </c>
      <c r="D11" s="6" t="s">
        <v>7</v>
      </c>
      <c r="E11" s="7">
        <v>15100</v>
      </c>
      <c r="F11" s="29" t="e">
        <f t="shared" si="0"/>
        <v>#REF!</v>
      </c>
      <c r="G11" s="30" t="e">
        <f t="shared" si="1"/>
        <v>#REF!</v>
      </c>
    </row>
    <row r="12" spans="1:7" ht="15.75" x14ac:dyDescent="0.2">
      <c r="A12" s="2">
        <f t="shared" si="2"/>
        <v>31</v>
      </c>
      <c r="B12" s="28" t="s">
        <v>15</v>
      </c>
      <c r="C12" s="24" t="s">
        <v>34</v>
      </c>
      <c r="D12" s="6" t="s">
        <v>8</v>
      </c>
      <c r="E12" s="7">
        <v>6135.04</v>
      </c>
      <c r="F12" s="29" t="e">
        <f t="shared" si="0"/>
        <v>#REF!</v>
      </c>
      <c r="G12" s="30" t="e">
        <f t="shared" si="1"/>
        <v>#REF!</v>
      </c>
    </row>
    <row r="13" spans="1:7" ht="15.75" x14ac:dyDescent="0.2">
      <c r="A13" s="2">
        <f t="shared" si="2"/>
        <v>32</v>
      </c>
      <c r="B13" s="28" t="s">
        <v>35</v>
      </c>
      <c r="C13" s="24" t="s">
        <v>36</v>
      </c>
      <c r="D13" s="6" t="s">
        <v>8</v>
      </c>
      <c r="E13" s="7">
        <v>11798.41</v>
      </c>
      <c r="F13" s="29" t="e">
        <f t="shared" si="0"/>
        <v>#REF!</v>
      </c>
      <c r="G13" s="30" t="e">
        <f t="shared" si="1"/>
        <v>#REF!</v>
      </c>
    </row>
    <row r="14" spans="1:7" ht="15.75" x14ac:dyDescent="0.2">
      <c r="A14" s="2">
        <f t="shared" si="2"/>
        <v>33</v>
      </c>
      <c r="B14" s="28" t="s">
        <v>16</v>
      </c>
      <c r="C14" s="24" t="s">
        <v>37</v>
      </c>
      <c r="D14" s="6" t="s">
        <v>17</v>
      </c>
      <c r="E14" s="7">
        <v>11323.33</v>
      </c>
      <c r="F14" s="29" t="e">
        <f t="shared" si="0"/>
        <v>#REF!</v>
      </c>
      <c r="G14" s="30" t="e">
        <f t="shared" si="1"/>
        <v>#REF!</v>
      </c>
    </row>
    <row r="15" spans="1:7" ht="15.75" x14ac:dyDescent="0.2">
      <c r="A15" s="2">
        <f t="shared" si="2"/>
        <v>34</v>
      </c>
      <c r="B15" s="28" t="s">
        <v>18</v>
      </c>
      <c r="C15" s="24">
        <v>41498</v>
      </c>
      <c r="D15" s="6" t="s">
        <v>11</v>
      </c>
      <c r="E15" s="7">
        <v>3776</v>
      </c>
      <c r="F15" s="29" t="e">
        <f t="shared" si="0"/>
        <v>#REF!</v>
      </c>
      <c r="G15" s="30" t="e">
        <f t="shared" si="1"/>
        <v>#REF!</v>
      </c>
    </row>
    <row r="16" spans="1:7" ht="15.75" x14ac:dyDescent="0.2">
      <c r="A16" s="2">
        <f t="shared" si="2"/>
        <v>35</v>
      </c>
      <c r="B16" s="37" t="s">
        <v>19</v>
      </c>
      <c r="C16" s="24" t="s">
        <v>38</v>
      </c>
      <c r="D16" s="6" t="s">
        <v>20</v>
      </c>
      <c r="E16" s="7">
        <v>11799</v>
      </c>
      <c r="F16" s="29" t="e">
        <f t="shared" si="0"/>
        <v>#REF!</v>
      </c>
      <c r="G16" s="30" t="e">
        <f t="shared" si="1"/>
        <v>#REF!</v>
      </c>
    </row>
    <row r="17" spans="1:7" ht="15.75" x14ac:dyDescent="0.2">
      <c r="A17" s="2">
        <f t="shared" si="2"/>
        <v>36</v>
      </c>
      <c r="B17" s="37" t="s">
        <v>21</v>
      </c>
      <c r="C17" s="24" t="s">
        <v>39</v>
      </c>
      <c r="D17" s="6" t="s">
        <v>7</v>
      </c>
      <c r="E17" s="7">
        <v>18000</v>
      </c>
      <c r="F17" s="29" t="e">
        <f t="shared" si="0"/>
        <v>#REF!</v>
      </c>
      <c r="G17" s="30" t="e">
        <f t="shared" si="1"/>
        <v>#REF!</v>
      </c>
    </row>
    <row r="18" spans="1:7" ht="15.75" x14ac:dyDescent="0.2">
      <c r="A18" s="2">
        <f t="shared" si="2"/>
        <v>37</v>
      </c>
      <c r="B18" s="37" t="s">
        <v>22</v>
      </c>
      <c r="C18" s="24" t="s">
        <v>40</v>
      </c>
      <c r="D18" s="6" t="s">
        <v>7</v>
      </c>
      <c r="E18" s="7">
        <v>15100</v>
      </c>
      <c r="F18" s="29" t="e">
        <f t="shared" si="0"/>
        <v>#REF!</v>
      </c>
      <c r="G18" s="30" t="e">
        <f t="shared" si="1"/>
        <v>#REF!</v>
      </c>
    </row>
    <row r="19" spans="1:7" ht="15.75" x14ac:dyDescent="0.2">
      <c r="A19" s="2">
        <f t="shared" si="2"/>
        <v>38</v>
      </c>
      <c r="B19" s="37" t="s">
        <v>23</v>
      </c>
      <c r="C19" s="24" t="s">
        <v>38</v>
      </c>
      <c r="D19" s="6" t="s">
        <v>7</v>
      </c>
      <c r="E19" s="7">
        <v>15100</v>
      </c>
      <c r="F19" s="29" t="e">
        <f t="shared" si="0"/>
        <v>#REF!</v>
      </c>
      <c r="G19" s="30" t="e">
        <f t="shared" si="1"/>
        <v>#REF!</v>
      </c>
    </row>
    <row r="20" spans="1:7" ht="15.75" x14ac:dyDescent="0.2">
      <c r="A20" s="2">
        <f t="shared" si="2"/>
        <v>39</v>
      </c>
      <c r="B20" s="37" t="s">
        <v>24</v>
      </c>
      <c r="C20" s="24" t="s">
        <v>41</v>
      </c>
      <c r="D20" s="6" t="s">
        <v>7</v>
      </c>
      <c r="E20" s="7">
        <v>41250</v>
      </c>
      <c r="F20" s="29" t="e">
        <f t="shared" si="0"/>
        <v>#REF!</v>
      </c>
      <c r="G20" s="30" t="e">
        <f t="shared" si="1"/>
        <v>#REF!</v>
      </c>
    </row>
    <row r="21" spans="1:7" ht="15.75" x14ac:dyDescent="0.2">
      <c r="A21" s="2">
        <f t="shared" si="2"/>
        <v>40</v>
      </c>
      <c r="B21" s="37" t="s">
        <v>25</v>
      </c>
      <c r="C21" s="24">
        <v>41640</v>
      </c>
      <c r="D21" s="6" t="s">
        <v>7</v>
      </c>
      <c r="E21" s="7">
        <v>7500</v>
      </c>
      <c r="F21" s="29" t="e">
        <f t="shared" si="0"/>
        <v>#REF!</v>
      </c>
      <c r="G21" s="30" t="e">
        <f t="shared" si="1"/>
        <v>#REF!</v>
      </c>
    </row>
    <row r="22" spans="1:7" ht="15.75" x14ac:dyDescent="0.2">
      <c r="A22" s="2">
        <f t="shared" si="2"/>
        <v>41</v>
      </c>
      <c r="B22" s="37" t="s">
        <v>26</v>
      </c>
      <c r="C22" s="24" t="s">
        <v>42</v>
      </c>
      <c r="D22" s="6" t="s">
        <v>17</v>
      </c>
      <c r="E22" s="7">
        <v>27000</v>
      </c>
      <c r="F22" s="29" t="e">
        <f t="shared" si="0"/>
        <v>#REF!</v>
      </c>
      <c r="G22" s="30" t="e">
        <f t="shared" si="1"/>
        <v>#REF!</v>
      </c>
    </row>
    <row r="23" spans="1:7" ht="15.75" x14ac:dyDescent="0.2">
      <c r="A23" s="2">
        <f t="shared" si="2"/>
        <v>42</v>
      </c>
      <c r="B23" s="37" t="s">
        <v>27</v>
      </c>
      <c r="C23" s="24" t="s">
        <v>43</v>
      </c>
      <c r="D23" s="6" t="s">
        <v>17</v>
      </c>
      <c r="E23" s="7">
        <v>11250</v>
      </c>
      <c r="F23" s="29" t="e">
        <f t="shared" si="0"/>
        <v>#REF!</v>
      </c>
      <c r="G23" s="30" t="e">
        <f t="shared" si="1"/>
        <v>#REF!</v>
      </c>
    </row>
    <row r="24" spans="1:7" ht="15.75" x14ac:dyDescent="0.2">
      <c r="A24" s="2">
        <f t="shared" si="2"/>
        <v>43</v>
      </c>
      <c r="B24" s="37" t="s">
        <v>28</v>
      </c>
      <c r="C24" s="24">
        <v>41405</v>
      </c>
      <c r="D24" s="6" t="s">
        <v>17</v>
      </c>
      <c r="E24" s="7">
        <v>11400</v>
      </c>
      <c r="F24" s="29" t="e">
        <f t="shared" si="0"/>
        <v>#REF!</v>
      </c>
      <c r="G24" s="30" t="e">
        <f t="shared" si="1"/>
        <v>#REF!</v>
      </c>
    </row>
    <row r="25" spans="1:7" ht="15.75" x14ac:dyDescent="0.2">
      <c r="A25" s="2">
        <f t="shared" si="2"/>
        <v>44</v>
      </c>
      <c r="B25" s="38" t="s">
        <v>29</v>
      </c>
      <c r="C25" s="25" t="s">
        <v>44</v>
      </c>
      <c r="D25" s="32" t="s">
        <v>7</v>
      </c>
      <c r="E25" s="9">
        <v>45000</v>
      </c>
      <c r="F25" s="29" t="e">
        <f t="shared" si="0"/>
        <v>#REF!</v>
      </c>
      <c r="G25" s="30" t="e">
        <f t="shared" si="1"/>
        <v>#REF!</v>
      </c>
    </row>
    <row r="26" spans="1:7" ht="15.75" x14ac:dyDescent="0.2">
      <c r="A26" s="2">
        <f t="shared" si="2"/>
        <v>45</v>
      </c>
      <c r="B26" s="26" t="s">
        <v>30</v>
      </c>
      <c r="C26" s="27" t="s">
        <v>45</v>
      </c>
      <c r="D26" s="6" t="s">
        <v>9</v>
      </c>
      <c r="E26" s="7">
        <v>8775</v>
      </c>
      <c r="F26" s="29" t="e">
        <f t="shared" si="0"/>
        <v>#REF!</v>
      </c>
      <c r="G26" s="30" t="e">
        <f t="shared" si="1"/>
        <v>#REF!</v>
      </c>
    </row>
    <row r="27" spans="1:7" ht="15.75" x14ac:dyDescent="0.2">
      <c r="A27" s="2">
        <f t="shared" si="2"/>
        <v>46</v>
      </c>
      <c r="B27" s="28" t="s">
        <v>31</v>
      </c>
      <c r="C27" s="24">
        <v>41285</v>
      </c>
      <c r="D27" s="6" t="s">
        <v>8</v>
      </c>
      <c r="E27" s="7">
        <v>21550</v>
      </c>
      <c r="F27" s="29" t="e">
        <f t="shared" si="0"/>
        <v>#REF!</v>
      </c>
      <c r="G27" s="30" t="e">
        <f t="shared" si="1"/>
        <v>#REF!</v>
      </c>
    </row>
    <row r="28" spans="1:7" ht="15.75" x14ac:dyDescent="0.2">
      <c r="A28" s="2">
        <f>$A27+1</f>
        <v>47</v>
      </c>
      <c r="B28" s="28" t="s">
        <v>32</v>
      </c>
      <c r="C28" s="24">
        <v>41730</v>
      </c>
      <c r="D28" s="6" t="s">
        <v>20</v>
      </c>
      <c r="E28" s="7">
        <v>1080</v>
      </c>
      <c r="F28" s="29" t="e">
        <f t="shared" si="0"/>
        <v>#REF!</v>
      </c>
      <c r="G28" s="30" t="e">
        <f t="shared" si="1"/>
        <v>#REF!</v>
      </c>
    </row>
    <row r="29" spans="1:7" ht="15.75" x14ac:dyDescent="0.2">
      <c r="A29" s="2">
        <f t="shared" si="2"/>
        <v>48</v>
      </c>
      <c r="B29" s="28" t="s">
        <v>46</v>
      </c>
      <c r="C29" s="27" t="s">
        <v>47</v>
      </c>
      <c r="D29" s="6" t="s">
        <v>7</v>
      </c>
      <c r="E29" s="8">
        <v>142800</v>
      </c>
      <c r="F29" s="29" t="e">
        <f t="shared" si="0"/>
        <v>#REF!</v>
      </c>
      <c r="G29" s="30" t="e">
        <f t="shared" si="1"/>
        <v>#REF!</v>
      </c>
    </row>
    <row r="30" spans="1:7" ht="15.75" x14ac:dyDescent="0.2">
      <c r="A30" s="2">
        <f t="shared" si="2"/>
        <v>49</v>
      </c>
      <c r="B30" s="28" t="s">
        <v>48</v>
      </c>
      <c r="C30" s="27">
        <v>41404</v>
      </c>
      <c r="D30" s="6" t="s">
        <v>7</v>
      </c>
      <c r="E30" s="8">
        <v>38220</v>
      </c>
      <c r="F30" s="29" t="e">
        <f t="shared" si="0"/>
        <v>#REF!</v>
      </c>
      <c r="G30" s="30" t="e">
        <f t="shared" si="1"/>
        <v>#REF!</v>
      </c>
    </row>
    <row r="31" spans="1:7" ht="15.75" x14ac:dyDescent="0.2">
      <c r="A31" s="2">
        <f t="shared" si="2"/>
        <v>50</v>
      </c>
      <c r="B31" s="28" t="s">
        <v>49</v>
      </c>
      <c r="C31" s="24" t="s">
        <v>50</v>
      </c>
      <c r="D31" s="6" t="s">
        <v>7</v>
      </c>
      <c r="E31" s="8">
        <v>24056.25</v>
      </c>
      <c r="F31" s="29" t="e">
        <f t="shared" si="0"/>
        <v>#REF!</v>
      </c>
      <c r="G31" s="30" t="e">
        <f t="shared" si="1"/>
        <v>#REF!</v>
      </c>
    </row>
    <row r="32" spans="1:7" ht="15.75" x14ac:dyDescent="0.2">
      <c r="A32" s="2">
        <f t="shared" si="2"/>
        <v>51</v>
      </c>
      <c r="B32" s="28" t="s">
        <v>51</v>
      </c>
      <c r="C32" s="24" t="s">
        <v>34</v>
      </c>
      <c r="D32" s="6" t="s">
        <v>17</v>
      </c>
      <c r="E32" s="8">
        <v>9908.2000000000007</v>
      </c>
      <c r="F32" s="29" t="e">
        <f t="shared" si="0"/>
        <v>#REF!</v>
      </c>
      <c r="G32" s="30" t="e">
        <f t="shared" si="1"/>
        <v>#REF!</v>
      </c>
    </row>
    <row r="33" spans="1:7" ht="15.75" x14ac:dyDescent="0.2">
      <c r="A33" s="2">
        <f t="shared" si="2"/>
        <v>52</v>
      </c>
      <c r="B33" s="28" t="s">
        <v>52</v>
      </c>
      <c r="C33" s="24" t="s">
        <v>53</v>
      </c>
      <c r="D33" s="6" t="s">
        <v>17</v>
      </c>
      <c r="E33" s="8">
        <v>16200</v>
      </c>
      <c r="F33" s="29" t="e">
        <f t="shared" si="0"/>
        <v>#REF!</v>
      </c>
      <c r="G33" s="30" t="e">
        <f t="shared" si="1"/>
        <v>#REF!</v>
      </c>
    </row>
    <row r="34" spans="1:7" ht="15.75" x14ac:dyDescent="0.2">
      <c r="A34" s="2">
        <f t="shared" si="2"/>
        <v>53</v>
      </c>
      <c r="B34" s="28" t="s">
        <v>54</v>
      </c>
      <c r="C34" s="24" t="s">
        <v>40</v>
      </c>
      <c r="D34" s="6" t="s">
        <v>17</v>
      </c>
      <c r="E34" s="8">
        <v>15100</v>
      </c>
      <c r="F34" s="29" t="e">
        <f t="shared" si="0"/>
        <v>#REF!</v>
      </c>
      <c r="G34" s="30" t="e">
        <f t="shared" si="1"/>
        <v>#REF!</v>
      </c>
    </row>
    <row r="35" spans="1:7" ht="15.75" x14ac:dyDescent="0.2">
      <c r="A35" s="2">
        <f t="shared" si="2"/>
        <v>54</v>
      </c>
      <c r="B35" s="31" t="s">
        <v>55</v>
      </c>
      <c r="C35" s="24">
        <v>41437</v>
      </c>
      <c r="D35" s="6" t="s">
        <v>17</v>
      </c>
      <c r="E35" s="33">
        <v>2250</v>
      </c>
      <c r="F35" s="29" t="e">
        <f t="shared" si="0"/>
        <v>#REF!</v>
      </c>
      <c r="G35" s="30" t="e">
        <f t="shared" si="1"/>
        <v>#REF!</v>
      </c>
    </row>
    <row r="36" spans="1:7" ht="15.75" x14ac:dyDescent="0.2">
      <c r="A36" s="2">
        <f t="shared" si="2"/>
        <v>55</v>
      </c>
      <c r="B36" s="31" t="s">
        <v>56</v>
      </c>
      <c r="C36" s="24" t="s">
        <v>57</v>
      </c>
      <c r="D36" s="6" t="s">
        <v>58</v>
      </c>
      <c r="E36" s="33">
        <v>68650</v>
      </c>
      <c r="F36" s="29" t="e">
        <f t="shared" si="0"/>
        <v>#REF!</v>
      </c>
      <c r="G36" s="30" t="e">
        <f t="shared" si="1"/>
        <v>#REF!</v>
      </c>
    </row>
    <row r="37" spans="1:7" ht="15.75" x14ac:dyDescent="0.2">
      <c r="A37" s="2">
        <f t="shared" si="2"/>
        <v>56</v>
      </c>
      <c r="B37" s="31" t="s">
        <v>59</v>
      </c>
      <c r="C37" s="24">
        <v>41436</v>
      </c>
      <c r="D37" s="6" t="s">
        <v>58</v>
      </c>
      <c r="E37" s="33">
        <v>52800</v>
      </c>
      <c r="F37" s="29" t="e">
        <f t="shared" si="0"/>
        <v>#REF!</v>
      </c>
      <c r="G37" s="30" t="e">
        <f t="shared" si="1"/>
        <v>#REF!</v>
      </c>
    </row>
    <row r="38" spans="1:7" x14ac:dyDescent="0.2">
      <c r="E38" s="4" t="e">
        <f>SUM(E9:E37)+#REF!</f>
        <v>#REF!</v>
      </c>
      <c r="F38" t="e">
        <f>LOOKUP(2,1/(NOT(ISBLANK(F9:F37))),F9:F37)</f>
        <v>#REF!</v>
      </c>
      <c r="G38" t="e">
        <f>LOOKUP(2,1/(NOT(ISBLANK(G9:G37))),G9:G37)</f>
        <v>#REF!</v>
      </c>
    </row>
  </sheetData>
  <mergeCells count="7">
    <mergeCell ref="A4:A7"/>
    <mergeCell ref="C4:D4"/>
    <mergeCell ref="A1:G1"/>
    <mergeCell ref="A2:B2"/>
    <mergeCell ref="C2:E2"/>
    <mergeCell ref="A3:B3"/>
    <mergeCell ref="C3:E3"/>
  </mergeCells>
  <conditionalFormatting sqref="F9:G37">
    <cfRule type="cellIs" dxfId="27" priority="5" stopIfTrue="1" operator="equal">
      <formula>0</formula>
    </cfRule>
  </conditionalFormatting>
  <conditionalFormatting sqref="D5">
    <cfRule type="expression" dxfId="26" priority="4">
      <formula>$E$5&gt;0</formula>
    </cfRule>
  </conditionalFormatting>
  <conditionalFormatting sqref="D6">
    <cfRule type="expression" dxfId="25" priority="3">
      <formula>$E$6&gt;0</formula>
    </cfRule>
  </conditionalFormatting>
  <conditionalFormatting sqref="B6">
    <cfRule type="expression" dxfId="24" priority="2">
      <formula>$C$44&gt;0</formula>
    </cfRule>
  </conditionalFormatting>
  <conditionalFormatting sqref="B5">
    <cfRule type="expression" dxfId="23" priority="1">
      <formula>$C$43&gt;0</formula>
    </cfRule>
  </conditionalFormatting>
  <pageMargins left="0.7" right="0.7" top="0.75" bottom="0.75" header="0.3" footer="0.3"/>
  <pageSetup paperSize="0" orientation="portrait" horizontalDpi="0" verticalDpi="0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38"/>
  <sheetViews>
    <sheetView topLeftCell="A22" workbookViewId="0">
      <selection activeCell="O4" sqref="O4"/>
    </sheetView>
  </sheetViews>
  <sheetFormatPr defaultRowHeight="12.75" x14ac:dyDescent="0.2"/>
  <cols>
    <col min="1" max="1" width="8.7109375" customWidth="1"/>
    <col min="2" max="2" width="18.42578125" customWidth="1"/>
    <col min="3" max="3" width="14" customWidth="1"/>
    <col min="4" max="4" width="16.42578125" customWidth="1"/>
    <col min="5" max="5" width="14.5703125" customWidth="1"/>
    <col min="6" max="6" width="12.85546875" customWidth="1"/>
    <col min="7" max="7" width="16.5703125" customWidth="1"/>
  </cols>
  <sheetData>
    <row r="1" spans="1:7" ht="15" x14ac:dyDescent="0.25">
      <c r="A1" s="236" t="s">
        <v>69</v>
      </c>
      <c r="B1" s="237"/>
      <c r="C1" s="237"/>
      <c r="D1" s="237"/>
      <c r="E1" s="237"/>
      <c r="F1" s="237"/>
      <c r="G1" s="238"/>
    </row>
    <row r="2" spans="1:7" ht="14.25" x14ac:dyDescent="0.2">
      <c r="A2" s="239" t="s">
        <v>71</v>
      </c>
      <c r="B2" s="240"/>
      <c r="C2" s="241" t="s">
        <v>70</v>
      </c>
      <c r="D2" s="241"/>
      <c r="E2" s="241"/>
      <c r="F2" s="16"/>
      <c r="G2" s="17"/>
    </row>
    <row r="3" spans="1:7" ht="15" x14ac:dyDescent="0.2">
      <c r="A3" s="242" t="s">
        <v>81</v>
      </c>
      <c r="B3" s="243"/>
      <c r="C3" s="244" t="s">
        <v>78</v>
      </c>
      <c r="D3" s="244"/>
      <c r="E3" s="244"/>
      <c r="F3" s="16"/>
      <c r="G3" s="18"/>
    </row>
    <row r="4" spans="1:7" ht="15.75" x14ac:dyDescent="0.25">
      <c r="A4" s="233" t="s">
        <v>73</v>
      </c>
      <c r="B4" s="19" t="s">
        <v>82</v>
      </c>
      <c r="C4" s="235">
        <v>728072</v>
      </c>
      <c r="D4" s="235"/>
      <c r="E4" s="20"/>
      <c r="F4" s="21"/>
      <c r="G4" s="18"/>
    </row>
    <row r="5" spans="1:7" ht="15" x14ac:dyDescent="0.2">
      <c r="A5" s="233"/>
      <c r="B5" s="35" t="s">
        <v>74</v>
      </c>
      <c r="C5">
        <v>1000000</v>
      </c>
      <c r="D5" s="22" t="s">
        <v>76</v>
      </c>
      <c r="E5" s="23"/>
      <c r="F5" s="21"/>
      <c r="G5" s="18"/>
    </row>
    <row r="6" spans="1:7" ht="15" x14ac:dyDescent="0.2">
      <c r="A6" s="233"/>
      <c r="B6" s="35" t="s">
        <v>75</v>
      </c>
      <c r="C6" s="23"/>
      <c r="D6" s="22" t="s">
        <v>77</v>
      </c>
      <c r="E6" s="23"/>
      <c r="F6" s="21" t="s">
        <v>79</v>
      </c>
      <c r="G6" s="18" t="s">
        <v>72</v>
      </c>
    </row>
    <row r="7" spans="1:7" ht="15.75" x14ac:dyDescent="0.25">
      <c r="A7" s="234"/>
      <c r="B7" s="11" t="s">
        <v>80</v>
      </c>
      <c r="C7" s="41">
        <f>SUM(C4+C6+C5+E5+E6)</f>
        <v>1728072</v>
      </c>
      <c r="D7" s="40" t="e">
        <f>C7-#REF!</f>
        <v>#REF!</v>
      </c>
      <c r="E7" s="10"/>
      <c r="F7" s="43" t="e">
        <f>D7</f>
        <v>#REF!</v>
      </c>
      <c r="G7" s="42" t="e">
        <f>#REF!</f>
        <v>#REF!</v>
      </c>
    </row>
    <row r="8" spans="1:7" ht="36" x14ac:dyDescent="0.2">
      <c r="A8" s="12" t="s">
        <v>0</v>
      </c>
      <c r="B8" s="36" t="s">
        <v>1</v>
      </c>
      <c r="C8" s="14" t="s">
        <v>6</v>
      </c>
      <c r="D8" s="13" t="s">
        <v>2</v>
      </c>
      <c r="E8" s="13" t="s">
        <v>3</v>
      </c>
      <c r="F8" s="13" t="s">
        <v>4</v>
      </c>
      <c r="G8" s="15" t="s">
        <v>5</v>
      </c>
    </row>
    <row r="9" spans="1:7" ht="15.75" x14ac:dyDescent="0.2">
      <c r="A9" s="2">
        <v>28</v>
      </c>
      <c r="B9" s="28" t="s">
        <v>12</v>
      </c>
      <c r="C9" s="24" t="s">
        <v>33</v>
      </c>
      <c r="D9" s="6" t="s">
        <v>9</v>
      </c>
      <c r="E9" s="7">
        <v>15100</v>
      </c>
      <c r="F9" s="29" t="e">
        <f>D7-E9</f>
        <v>#REF!</v>
      </c>
      <c r="G9" s="30" t="e">
        <f>#REF!</f>
        <v>#REF!</v>
      </c>
    </row>
    <row r="10" spans="1:7" ht="15.75" x14ac:dyDescent="0.2">
      <c r="A10" s="2">
        <f>$A9+1</f>
        <v>29</v>
      </c>
      <c r="B10" s="28" t="s">
        <v>13</v>
      </c>
      <c r="C10" s="24" t="s">
        <v>33</v>
      </c>
      <c r="D10" s="6" t="s">
        <v>7</v>
      </c>
      <c r="E10" s="7">
        <v>15100</v>
      </c>
      <c r="F10" s="29" t="e">
        <f t="shared" ref="F10:F37" si="0">F9-E10</f>
        <v>#REF!</v>
      </c>
      <c r="G10" s="30" t="e">
        <f t="shared" ref="G10:G37" si="1">G9+E10</f>
        <v>#REF!</v>
      </c>
    </row>
    <row r="11" spans="1:7" ht="15.75" x14ac:dyDescent="0.2">
      <c r="A11" s="2">
        <f t="shared" ref="A11:A37" si="2">$A10+1</f>
        <v>30</v>
      </c>
      <c r="B11" s="28" t="s">
        <v>14</v>
      </c>
      <c r="C11" s="24" t="s">
        <v>34</v>
      </c>
      <c r="D11" s="6" t="s">
        <v>7</v>
      </c>
      <c r="E11" s="7">
        <v>15100</v>
      </c>
      <c r="F11" s="29" t="e">
        <f t="shared" si="0"/>
        <v>#REF!</v>
      </c>
      <c r="G11" s="30" t="e">
        <f t="shared" si="1"/>
        <v>#REF!</v>
      </c>
    </row>
    <row r="12" spans="1:7" ht="15.75" x14ac:dyDescent="0.2">
      <c r="A12" s="2">
        <f t="shared" si="2"/>
        <v>31</v>
      </c>
      <c r="B12" s="28" t="s">
        <v>15</v>
      </c>
      <c r="C12" s="24" t="s">
        <v>34</v>
      </c>
      <c r="D12" s="6" t="s">
        <v>8</v>
      </c>
      <c r="E12" s="7">
        <v>6135.04</v>
      </c>
      <c r="F12" s="29" t="e">
        <f t="shared" si="0"/>
        <v>#REF!</v>
      </c>
      <c r="G12" s="30" t="e">
        <f t="shared" si="1"/>
        <v>#REF!</v>
      </c>
    </row>
    <row r="13" spans="1:7" ht="15.75" x14ac:dyDescent="0.2">
      <c r="A13" s="2">
        <f t="shared" si="2"/>
        <v>32</v>
      </c>
      <c r="B13" s="28" t="s">
        <v>35</v>
      </c>
      <c r="C13" s="24" t="s">
        <v>36</v>
      </c>
      <c r="D13" s="6" t="s">
        <v>8</v>
      </c>
      <c r="E13" s="7">
        <v>11798.41</v>
      </c>
      <c r="F13" s="29" t="e">
        <f t="shared" si="0"/>
        <v>#REF!</v>
      </c>
      <c r="G13" s="30" t="e">
        <f t="shared" si="1"/>
        <v>#REF!</v>
      </c>
    </row>
    <row r="14" spans="1:7" ht="15.75" x14ac:dyDescent="0.2">
      <c r="A14" s="2">
        <f t="shared" si="2"/>
        <v>33</v>
      </c>
      <c r="B14" s="28" t="s">
        <v>16</v>
      </c>
      <c r="C14" s="24" t="s">
        <v>37</v>
      </c>
      <c r="D14" s="6" t="s">
        <v>17</v>
      </c>
      <c r="E14" s="7">
        <v>11323.33</v>
      </c>
      <c r="F14" s="29" t="e">
        <f t="shared" si="0"/>
        <v>#REF!</v>
      </c>
      <c r="G14" s="30" t="e">
        <f t="shared" si="1"/>
        <v>#REF!</v>
      </c>
    </row>
    <row r="15" spans="1:7" ht="15.75" x14ac:dyDescent="0.2">
      <c r="A15" s="2">
        <f t="shared" si="2"/>
        <v>34</v>
      </c>
      <c r="B15" s="28" t="s">
        <v>18</v>
      </c>
      <c r="C15" s="24">
        <v>41498</v>
      </c>
      <c r="D15" s="6" t="s">
        <v>11</v>
      </c>
      <c r="E15" s="7">
        <v>3776</v>
      </c>
      <c r="F15" s="29" t="e">
        <f t="shared" si="0"/>
        <v>#REF!</v>
      </c>
      <c r="G15" s="30" t="e">
        <f t="shared" si="1"/>
        <v>#REF!</v>
      </c>
    </row>
    <row r="16" spans="1:7" ht="15.75" x14ac:dyDescent="0.2">
      <c r="A16" s="2">
        <f t="shared" si="2"/>
        <v>35</v>
      </c>
      <c r="B16" s="37" t="s">
        <v>19</v>
      </c>
      <c r="C16" s="24" t="s">
        <v>38</v>
      </c>
      <c r="D16" s="6" t="s">
        <v>20</v>
      </c>
      <c r="E16" s="7">
        <v>11799</v>
      </c>
      <c r="F16" s="29" t="e">
        <f t="shared" si="0"/>
        <v>#REF!</v>
      </c>
      <c r="G16" s="30" t="e">
        <f t="shared" si="1"/>
        <v>#REF!</v>
      </c>
    </row>
    <row r="17" spans="1:7" ht="15.75" x14ac:dyDescent="0.2">
      <c r="A17" s="2">
        <f t="shared" si="2"/>
        <v>36</v>
      </c>
      <c r="B17" s="37" t="s">
        <v>21</v>
      </c>
      <c r="C17" s="24" t="s">
        <v>39</v>
      </c>
      <c r="D17" s="6" t="s">
        <v>7</v>
      </c>
      <c r="E17" s="7">
        <v>18000</v>
      </c>
      <c r="F17" s="29" t="e">
        <f t="shared" si="0"/>
        <v>#REF!</v>
      </c>
      <c r="G17" s="30" t="e">
        <f t="shared" si="1"/>
        <v>#REF!</v>
      </c>
    </row>
    <row r="18" spans="1:7" ht="15.75" x14ac:dyDescent="0.2">
      <c r="A18" s="2">
        <f t="shared" si="2"/>
        <v>37</v>
      </c>
      <c r="B18" s="37" t="s">
        <v>22</v>
      </c>
      <c r="C18" s="24" t="s">
        <v>40</v>
      </c>
      <c r="D18" s="6" t="s">
        <v>7</v>
      </c>
      <c r="E18" s="7">
        <v>15100</v>
      </c>
      <c r="F18" s="29" t="e">
        <f t="shared" si="0"/>
        <v>#REF!</v>
      </c>
      <c r="G18" s="30" t="e">
        <f t="shared" si="1"/>
        <v>#REF!</v>
      </c>
    </row>
    <row r="19" spans="1:7" ht="15.75" x14ac:dyDescent="0.2">
      <c r="A19" s="2">
        <f t="shared" si="2"/>
        <v>38</v>
      </c>
      <c r="B19" s="37" t="s">
        <v>23</v>
      </c>
      <c r="C19" s="24" t="s">
        <v>38</v>
      </c>
      <c r="D19" s="6" t="s">
        <v>7</v>
      </c>
      <c r="E19" s="7">
        <v>15100</v>
      </c>
      <c r="F19" s="29" t="e">
        <f t="shared" si="0"/>
        <v>#REF!</v>
      </c>
      <c r="G19" s="30" t="e">
        <f t="shared" si="1"/>
        <v>#REF!</v>
      </c>
    </row>
    <row r="20" spans="1:7" ht="15.75" x14ac:dyDescent="0.2">
      <c r="A20" s="2">
        <f t="shared" si="2"/>
        <v>39</v>
      </c>
      <c r="B20" s="37" t="s">
        <v>24</v>
      </c>
      <c r="C20" s="24" t="s">
        <v>41</v>
      </c>
      <c r="D20" s="6" t="s">
        <v>7</v>
      </c>
      <c r="E20" s="7">
        <v>41250</v>
      </c>
      <c r="F20" s="29" t="e">
        <f t="shared" si="0"/>
        <v>#REF!</v>
      </c>
      <c r="G20" s="30" t="e">
        <f t="shared" si="1"/>
        <v>#REF!</v>
      </c>
    </row>
    <row r="21" spans="1:7" ht="15.75" x14ac:dyDescent="0.2">
      <c r="A21" s="2">
        <f t="shared" si="2"/>
        <v>40</v>
      </c>
      <c r="B21" s="37" t="s">
        <v>25</v>
      </c>
      <c r="C21" s="24">
        <v>41640</v>
      </c>
      <c r="D21" s="6" t="s">
        <v>7</v>
      </c>
      <c r="E21" s="7">
        <v>7500</v>
      </c>
      <c r="F21" s="29" t="e">
        <f t="shared" si="0"/>
        <v>#REF!</v>
      </c>
      <c r="G21" s="30" t="e">
        <f t="shared" si="1"/>
        <v>#REF!</v>
      </c>
    </row>
    <row r="22" spans="1:7" ht="15.75" x14ac:dyDescent="0.2">
      <c r="A22" s="2">
        <f t="shared" si="2"/>
        <v>41</v>
      </c>
      <c r="B22" s="37" t="s">
        <v>26</v>
      </c>
      <c r="C22" s="24" t="s">
        <v>42</v>
      </c>
      <c r="D22" s="6" t="s">
        <v>17</v>
      </c>
      <c r="E22" s="7">
        <v>27000</v>
      </c>
      <c r="F22" s="29" t="e">
        <f t="shared" si="0"/>
        <v>#REF!</v>
      </c>
      <c r="G22" s="30" t="e">
        <f t="shared" si="1"/>
        <v>#REF!</v>
      </c>
    </row>
    <row r="23" spans="1:7" ht="15.75" x14ac:dyDescent="0.2">
      <c r="A23" s="2">
        <f t="shared" si="2"/>
        <v>42</v>
      </c>
      <c r="B23" s="37" t="s">
        <v>27</v>
      </c>
      <c r="C23" s="24" t="s">
        <v>43</v>
      </c>
      <c r="D23" s="6" t="s">
        <v>17</v>
      </c>
      <c r="E23" s="7">
        <v>11250</v>
      </c>
      <c r="F23" s="29" t="e">
        <f t="shared" si="0"/>
        <v>#REF!</v>
      </c>
      <c r="G23" s="30" t="e">
        <f t="shared" si="1"/>
        <v>#REF!</v>
      </c>
    </row>
    <row r="24" spans="1:7" ht="15.75" x14ac:dyDescent="0.2">
      <c r="A24" s="2">
        <f t="shared" si="2"/>
        <v>43</v>
      </c>
      <c r="B24" s="37" t="s">
        <v>28</v>
      </c>
      <c r="C24" s="24">
        <v>41405</v>
      </c>
      <c r="D24" s="6" t="s">
        <v>17</v>
      </c>
      <c r="E24" s="7">
        <v>11400</v>
      </c>
      <c r="F24" s="29" t="e">
        <f t="shared" si="0"/>
        <v>#REF!</v>
      </c>
      <c r="G24" s="30" t="e">
        <f t="shared" si="1"/>
        <v>#REF!</v>
      </c>
    </row>
    <row r="25" spans="1:7" ht="15.75" x14ac:dyDescent="0.2">
      <c r="A25" s="2">
        <f t="shared" si="2"/>
        <v>44</v>
      </c>
      <c r="B25" s="38" t="s">
        <v>29</v>
      </c>
      <c r="C25" s="25" t="s">
        <v>44</v>
      </c>
      <c r="D25" s="32" t="s">
        <v>7</v>
      </c>
      <c r="E25" s="9">
        <v>45000</v>
      </c>
      <c r="F25" s="29" t="e">
        <f t="shared" si="0"/>
        <v>#REF!</v>
      </c>
      <c r="G25" s="30" t="e">
        <f t="shared" si="1"/>
        <v>#REF!</v>
      </c>
    </row>
    <row r="26" spans="1:7" ht="15.75" x14ac:dyDescent="0.2">
      <c r="A26" s="2">
        <f t="shared" si="2"/>
        <v>45</v>
      </c>
      <c r="B26" s="26" t="s">
        <v>30</v>
      </c>
      <c r="C26" s="27" t="s">
        <v>45</v>
      </c>
      <c r="D26" s="6" t="s">
        <v>9</v>
      </c>
      <c r="E26" s="7">
        <v>8775</v>
      </c>
      <c r="F26" s="29" t="e">
        <f t="shared" si="0"/>
        <v>#REF!</v>
      </c>
      <c r="G26" s="30" t="e">
        <f t="shared" si="1"/>
        <v>#REF!</v>
      </c>
    </row>
    <row r="27" spans="1:7" ht="15.75" x14ac:dyDescent="0.2">
      <c r="A27" s="2">
        <f t="shared" si="2"/>
        <v>46</v>
      </c>
      <c r="B27" s="28" t="s">
        <v>31</v>
      </c>
      <c r="C27" s="24">
        <v>41285</v>
      </c>
      <c r="D27" s="6" t="s">
        <v>8</v>
      </c>
      <c r="E27" s="7">
        <v>21550</v>
      </c>
      <c r="F27" s="29" t="e">
        <f t="shared" si="0"/>
        <v>#REF!</v>
      </c>
      <c r="G27" s="30" t="e">
        <f t="shared" si="1"/>
        <v>#REF!</v>
      </c>
    </row>
    <row r="28" spans="1:7" ht="15.75" x14ac:dyDescent="0.2">
      <c r="A28" s="2">
        <f>$A27+1</f>
        <v>47</v>
      </c>
      <c r="B28" s="28" t="s">
        <v>32</v>
      </c>
      <c r="C28" s="24">
        <v>41730</v>
      </c>
      <c r="D28" s="6" t="s">
        <v>20</v>
      </c>
      <c r="E28" s="7">
        <v>1080</v>
      </c>
      <c r="F28" s="29" t="e">
        <f t="shared" si="0"/>
        <v>#REF!</v>
      </c>
      <c r="G28" s="30" t="e">
        <f t="shared" si="1"/>
        <v>#REF!</v>
      </c>
    </row>
    <row r="29" spans="1:7" ht="15.75" x14ac:dyDescent="0.2">
      <c r="A29" s="2">
        <f t="shared" si="2"/>
        <v>48</v>
      </c>
      <c r="B29" s="28" t="s">
        <v>46</v>
      </c>
      <c r="C29" s="27" t="s">
        <v>47</v>
      </c>
      <c r="D29" s="6" t="s">
        <v>7</v>
      </c>
      <c r="E29" s="8">
        <v>142800</v>
      </c>
      <c r="F29" s="29" t="e">
        <f t="shared" si="0"/>
        <v>#REF!</v>
      </c>
      <c r="G29" s="30" t="e">
        <f t="shared" si="1"/>
        <v>#REF!</v>
      </c>
    </row>
    <row r="30" spans="1:7" ht="15.75" x14ac:dyDescent="0.2">
      <c r="A30" s="2">
        <f t="shared" si="2"/>
        <v>49</v>
      </c>
      <c r="B30" s="28" t="s">
        <v>48</v>
      </c>
      <c r="C30" s="27">
        <v>41404</v>
      </c>
      <c r="D30" s="6" t="s">
        <v>7</v>
      </c>
      <c r="E30" s="8">
        <v>38220</v>
      </c>
      <c r="F30" s="29" t="e">
        <f t="shared" si="0"/>
        <v>#REF!</v>
      </c>
      <c r="G30" s="30" t="e">
        <f t="shared" si="1"/>
        <v>#REF!</v>
      </c>
    </row>
    <row r="31" spans="1:7" ht="15.75" x14ac:dyDescent="0.2">
      <c r="A31" s="2">
        <f t="shared" si="2"/>
        <v>50</v>
      </c>
      <c r="B31" s="28" t="s">
        <v>49</v>
      </c>
      <c r="C31" s="24" t="s">
        <v>50</v>
      </c>
      <c r="D31" s="6" t="s">
        <v>7</v>
      </c>
      <c r="E31" s="8">
        <v>24056.25</v>
      </c>
      <c r="F31" s="29" t="e">
        <f t="shared" si="0"/>
        <v>#REF!</v>
      </c>
      <c r="G31" s="30" t="e">
        <f t="shared" si="1"/>
        <v>#REF!</v>
      </c>
    </row>
    <row r="32" spans="1:7" ht="15.75" x14ac:dyDescent="0.2">
      <c r="A32" s="2">
        <f t="shared" si="2"/>
        <v>51</v>
      </c>
      <c r="B32" s="28" t="s">
        <v>51</v>
      </c>
      <c r="C32" s="24" t="s">
        <v>34</v>
      </c>
      <c r="D32" s="6" t="s">
        <v>17</v>
      </c>
      <c r="E32" s="8">
        <v>9908.2000000000007</v>
      </c>
      <c r="F32" s="29" t="e">
        <f t="shared" si="0"/>
        <v>#REF!</v>
      </c>
      <c r="G32" s="30" t="e">
        <f t="shared" si="1"/>
        <v>#REF!</v>
      </c>
    </row>
    <row r="33" spans="1:7" ht="15.75" x14ac:dyDescent="0.2">
      <c r="A33" s="2">
        <f t="shared" si="2"/>
        <v>52</v>
      </c>
      <c r="B33" s="28" t="s">
        <v>52</v>
      </c>
      <c r="C33" s="24" t="s">
        <v>53</v>
      </c>
      <c r="D33" s="6" t="s">
        <v>17</v>
      </c>
      <c r="E33" s="8">
        <v>16200</v>
      </c>
      <c r="F33" s="29" t="e">
        <f t="shared" si="0"/>
        <v>#REF!</v>
      </c>
      <c r="G33" s="30" t="e">
        <f t="shared" si="1"/>
        <v>#REF!</v>
      </c>
    </row>
    <row r="34" spans="1:7" ht="15.75" x14ac:dyDescent="0.2">
      <c r="A34" s="2">
        <f t="shared" si="2"/>
        <v>53</v>
      </c>
      <c r="B34" s="28" t="s">
        <v>54</v>
      </c>
      <c r="C34" s="24" t="s">
        <v>40</v>
      </c>
      <c r="D34" s="6" t="s">
        <v>17</v>
      </c>
      <c r="E34" s="8">
        <v>15100</v>
      </c>
      <c r="F34" s="29" t="e">
        <f t="shared" si="0"/>
        <v>#REF!</v>
      </c>
      <c r="G34" s="30" t="e">
        <f t="shared" si="1"/>
        <v>#REF!</v>
      </c>
    </row>
    <row r="35" spans="1:7" ht="15.75" x14ac:dyDescent="0.2">
      <c r="A35" s="2">
        <f t="shared" si="2"/>
        <v>54</v>
      </c>
      <c r="B35" s="31" t="s">
        <v>55</v>
      </c>
      <c r="C35" s="24">
        <v>41437</v>
      </c>
      <c r="D35" s="6" t="s">
        <v>17</v>
      </c>
      <c r="E35" s="33">
        <v>2250</v>
      </c>
      <c r="F35" s="29" t="e">
        <f t="shared" si="0"/>
        <v>#REF!</v>
      </c>
      <c r="G35" s="30" t="e">
        <f t="shared" si="1"/>
        <v>#REF!</v>
      </c>
    </row>
    <row r="36" spans="1:7" ht="15.75" x14ac:dyDescent="0.2">
      <c r="A36" s="2">
        <f t="shared" si="2"/>
        <v>55</v>
      </c>
      <c r="B36" s="31" t="s">
        <v>56</v>
      </c>
      <c r="C36" s="24" t="s">
        <v>57</v>
      </c>
      <c r="D36" s="6" t="s">
        <v>58</v>
      </c>
      <c r="E36" s="33">
        <v>68650</v>
      </c>
      <c r="F36" s="29" t="e">
        <f t="shared" si="0"/>
        <v>#REF!</v>
      </c>
      <c r="G36" s="30" t="e">
        <f t="shared" si="1"/>
        <v>#REF!</v>
      </c>
    </row>
    <row r="37" spans="1:7" ht="15.75" x14ac:dyDescent="0.2">
      <c r="A37" s="2">
        <f t="shared" si="2"/>
        <v>56</v>
      </c>
      <c r="B37" s="31" t="s">
        <v>59</v>
      </c>
      <c r="C37" s="24">
        <v>41436</v>
      </c>
      <c r="D37" s="6" t="s">
        <v>58</v>
      </c>
      <c r="E37" s="33">
        <v>52800</v>
      </c>
      <c r="F37" s="29" t="e">
        <f t="shared" si="0"/>
        <v>#REF!</v>
      </c>
      <c r="G37" s="30" t="e">
        <f t="shared" si="1"/>
        <v>#REF!</v>
      </c>
    </row>
    <row r="38" spans="1:7" x14ac:dyDescent="0.2">
      <c r="E38" s="4" t="e">
        <f>SUM(E9:E37)+#REF!</f>
        <v>#REF!</v>
      </c>
      <c r="F38" t="e">
        <f>LOOKUP(2,1/(NOT(ISBLANK(F9:F37))),F9:F37)</f>
        <v>#REF!</v>
      </c>
      <c r="G38" t="e">
        <f>LOOKUP(2,1/(NOT(ISBLANK(G9:G37))),G9:G37)</f>
        <v>#REF!</v>
      </c>
    </row>
  </sheetData>
  <mergeCells count="7">
    <mergeCell ref="A4:A7"/>
    <mergeCell ref="C4:D4"/>
    <mergeCell ref="A1:G1"/>
    <mergeCell ref="A2:B2"/>
    <mergeCell ref="C2:E2"/>
    <mergeCell ref="A3:B3"/>
    <mergeCell ref="C3:E3"/>
  </mergeCells>
  <conditionalFormatting sqref="F9:G37">
    <cfRule type="cellIs" dxfId="22" priority="5" stopIfTrue="1" operator="equal">
      <formula>0</formula>
    </cfRule>
  </conditionalFormatting>
  <conditionalFormatting sqref="D5">
    <cfRule type="expression" dxfId="21" priority="4">
      <formula>$E$5&gt;0</formula>
    </cfRule>
  </conditionalFormatting>
  <conditionalFormatting sqref="D6">
    <cfRule type="expression" dxfId="20" priority="3">
      <formula>$E$6&gt;0</formula>
    </cfRule>
  </conditionalFormatting>
  <conditionalFormatting sqref="B6">
    <cfRule type="expression" dxfId="19" priority="2">
      <formula>$C$44&gt;0</formula>
    </cfRule>
  </conditionalFormatting>
  <conditionalFormatting sqref="B5">
    <cfRule type="expression" dxfId="18" priority="1">
      <formula>$C$43&gt;0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S395"/>
  <sheetViews>
    <sheetView zoomScale="130" zoomScaleNormal="130" workbookViewId="0">
      <pane xSplit="2" ySplit="9" topLeftCell="F47" activePane="bottomRight" state="frozen"/>
      <selection pane="topRight" activeCell="C1" sqref="C1"/>
      <selection pane="bottomLeft" activeCell="A10" sqref="A10"/>
      <selection pane="bottomRight" activeCell="A4" sqref="A1:A1048576"/>
    </sheetView>
  </sheetViews>
  <sheetFormatPr defaultColWidth="9.140625" defaultRowHeight="18.75" customHeight="1" x14ac:dyDescent="0.2"/>
  <cols>
    <col min="1" max="1" width="6.28515625" style="121" customWidth="1"/>
    <col min="2" max="2" width="12.42578125" style="121" customWidth="1"/>
    <col min="3" max="3" width="11" style="166" hidden="1" customWidth="1"/>
    <col min="4" max="4" width="8.140625" style="142" hidden="1" customWidth="1"/>
    <col min="5" max="5" width="15.140625" style="113" bestFit="1" customWidth="1"/>
    <col min="6" max="6" width="34.5703125" style="121" customWidth="1"/>
    <col min="7" max="7" width="19" style="166" customWidth="1"/>
    <col min="8" max="8" width="9" style="121" customWidth="1"/>
    <col min="9" max="9" width="8.85546875" style="121" customWidth="1"/>
    <col min="10" max="10" width="13.5703125" style="121" customWidth="1"/>
    <col min="11" max="11" width="11.7109375" style="121" customWidth="1"/>
    <col min="12" max="12" width="14.42578125" style="121" customWidth="1"/>
    <col min="13" max="13" width="9.140625" style="121"/>
    <col min="14" max="15" width="9.140625" style="166"/>
    <col min="16" max="16" width="11.42578125" style="121" customWidth="1"/>
    <col min="17" max="17" width="12.140625" style="121" customWidth="1"/>
    <col min="18" max="18" width="10.5703125" style="121" customWidth="1"/>
    <col min="19" max="19" width="18.7109375" style="121" customWidth="1"/>
    <col min="20" max="16384" width="9.140625" style="121"/>
  </cols>
  <sheetData>
    <row r="1" spans="1:19" ht="18.75" customHeight="1" x14ac:dyDescent="0.25">
      <c r="A1" s="248" t="s">
        <v>241</v>
      </c>
      <c r="B1" s="249"/>
      <c r="C1" s="249"/>
      <c r="D1" s="250"/>
      <c r="E1" s="249"/>
      <c r="F1" s="249"/>
      <c r="G1" s="251"/>
    </row>
    <row r="2" spans="1:19" ht="18.75" customHeight="1" x14ac:dyDescent="0.25">
      <c r="A2" s="252" t="s">
        <v>71</v>
      </c>
      <c r="B2" s="253"/>
      <c r="C2" s="259" t="s">
        <v>240</v>
      </c>
      <c r="D2" s="259"/>
      <c r="E2" s="259"/>
      <c r="F2" s="259"/>
      <c r="G2" s="260"/>
    </row>
    <row r="3" spans="1:19" ht="18.75" customHeight="1" x14ac:dyDescent="0.25">
      <c r="A3" s="252" t="s">
        <v>81</v>
      </c>
      <c r="B3" s="253"/>
      <c r="C3" s="254" t="s">
        <v>233</v>
      </c>
      <c r="D3" s="254"/>
      <c r="E3" s="254"/>
      <c r="F3" s="153"/>
      <c r="G3" s="154"/>
    </row>
    <row r="4" spans="1:19" ht="18.75" customHeight="1" x14ac:dyDescent="0.2">
      <c r="A4" s="247" t="s">
        <v>73</v>
      </c>
      <c r="B4" s="155" t="s">
        <v>82</v>
      </c>
      <c r="C4" s="255">
        <v>4707544</v>
      </c>
      <c r="D4" s="255"/>
      <c r="E4" s="110"/>
      <c r="F4" s="156"/>
      <c r="G4" s="154"/>
    </row>
    <row r="5" spans="1:19" ht="0.75" customHeight="1" x14ac:dyDescent="0.25">
      <c r="A5" s="247"/>
      <c r="B5" s="157" t="s">
        <v>74</v>
      </c>
      <c r="C5" s="111"/>
      <c r="D5" s="158" t="s">
        <v>228</v>
      </c>
      <c r="E5" s="124"/>
      <c r="F5" s="159" t="s">
        <v>229</v>
      </c>
      <c r="G5" s="160"/>
    </row>
    <row r="6" spans="1:19" ht="24.75" hidden="1" customHeight="1" x14ac:dyDescent="0.25">
      <c r="A6" s="247"/>
      <c r="B6" s="157" t="s">
        <v>230</v>
      </c>
      <c r="C6" s="111"/>
      <c r="D6" s="158" t="s">
        <v>231</v>
      </c>
      <c r="E6" s="125"/>
      <c r="F6" s="158" t="s">
        <v>227</v>
      </c>
      <c r="G6" s="161"/>
    </row>
    <row r="7" spans="1:19" ht="24.75" customHeight="1" x14ac:dyDescent="0.25">
      <c r="A7" s="247"/>
      <c r="B7" s="157"/>
      <c r="C7" s="255"/>
      <c r="D7" s="255"/>
      <c r="E7" s="125"/>
      <c r="F7" s="158"/>
      <c r="G7" s="161"/>
    </row>
    <row r="8" spans="1:19" ht="24" customHeight="1" x14ac:dyDescent="0.25">
      <c r="A8" s="247"/>
      <c r="B8" s="157"/>
      <c r="C8" s="162"/>
      <c r="D8" s="256" t="s">
        <v>80</v>
      </c>
      <c r="E8" s="256"/>
      <c r="F8" s="257">
        <f>G5+G6+C4+C5+C6+E5+E6+C7</f>
        <v>4707544</v>
      </c>
      <c r="G8" s="258"/>
    </row>
    <row r="9" spans="1:19" s="112" customFormat="1" ht="37.5" customHeight="1" x14ac:dyDescent="0.2">
      <c r="A9" s="193" t="s">
        <v>0</v>
      </c>
      <c r="B9" s="193" t="s">
        <v>1</v>
      </c>
      <c r="C9" s="193" t="s">
        <v>6</v>
      </c>
      <c r="D9" s="193" t="s">
        <v>325</v>
      </c>
      <c r="E9" s="163" t="s">
        <v>2</v>
      </c>
      <c r="F9" s="189" t="s">
        <v>246</v>
      </c>
      <c r="G9" s="164" t="s">
        <v>326</v>
      </c>
      <c r="H9" s="164" t="s">
        <v>327</v>
      </c>
      <c r="I9" s="164" t="s">
        <v>328</v>
      </c>
      <c r="J9" s="164" t="s">
        <v>329</v>
      </c>
      <c r="K9" s="164" t="s">
        <v>330</v>
      </c>
      <c r="L9" s="164" t="s">
        <v>5</v>
      </c>
      <c r="M9" s="164" t="s">
        <v>331</v>
      </c>
      <c r="N9" s="164" t="s">
        <v>332</v>
      </c>
      <c r="O9" s="164" t="s">
        <v>333</v>
      </c>
      <c r="P9" s="189" t="s">
        <v>247</v>
      </c>
      <c r="Q9" s="189" t="s">
        <v>248</v>
      </c>
      <c r="R9" s="189" t="s">
        <v>320</v>
      </c>
      <c r="S9" s="192" t="s">
        <v>324</v>
      </c>
    </row>
    <row r="10" spans="1:19" ht="35.25" customHeight="1" x14ac:dyDescent="0.2">
      <c r="A10" s="194">
        <v>1</v>
      </c>
      <c r="B10" s="195">
        <v>994859574</v>
      </c>
      <c r="C10" s="127">
        <v>45897</v>
      </c>
      <c r="D10" s="127"/>
      <c r="E10" s="196" t="s">
        <v>242</v>
      </c>
      <c r="F10" s="197" t="s">
        <v>257</v>
      </c>
      <c r="G10" s="198">
        <v>68300</v>
      </c>
      <c r="H10" s="198"/>
      <c r="I10" s="198">
        <f>G10*H10/100</f>
        <v>0</v>
      </c>
      <c r="J10" s="135">
        <f>G10+I10</f>
        <v>68300</v>
      </c>
      <c r="K10" s="135">
        <f>J10</f>
        <v>68300</v>
      </c>
      <c r="L10" s="135">
        <f>K10</f>
        <v>68300</v>
      </c>
      <c r="M10" s="230" t="s">
        <v>334</v>
      </c>
      <c r="N10" s="52" t="str">
        <f>IF(S10="","",CHOOSE(INT(MOD(MONTH(S10)-7,12)/3)+1,"Q1","Q2","Q3","Q4"))</f>
        <v/>
      </c>
      <c r="O10" s="52" t="str">
        <f>IF(S10="","",YEAR(S10))</f>
        <v/>
      </c>
      <c r="P10" s="199">
        <v>4700017534</v>
      </c>
      <c r="Q10" s="199">
        <v>1000063669</v>
      </c>
      <c r="R10" s="200">
        <f t="shared" ref="R10:R41" si="0">L10/4707544</f>
        <v>1.4508627003804956E-2</v>
      </c>
      <c r="S10" s="231"/>
    </row>
    <row r="11" spans="1:19" ht="18.75" customHeight="1" x14ac:dyDescent="0.2">
      <c r="A11" s="194">
        <v>2</v>
      </c>
      <c r="B11" s="195">
        <v>994859502</v>
      </c>
      <c r="C11" s="127">
        <v>45897</v>
      </c>
      <c r="D11" s="127"/>
      <c r="E11" s="196" t="s">
        <v>243</v>
      </c>
      <c r="F11" s="199" t="s">
        <v>244</v>
      </c>
      <c r="G11" s="198">
        <v>39220</v>
      </c>
      <c r="H11" s="198"/>
      <c r="I11" s="198">
        <f t="shared" ref="I11:I66" si="1">G11*H11/100</f>
        <v>0</v>
      </c>
      <c r="J11" s="135">
        <f t="shared" ref="J11:J66" si="2">G11+I11</f>
        <v>39220</v>
      </c>
      <c r="K11" s="135">
        <f t="shared" ref="K11:K67" si="3">J11</f>
        <v>39220</v>
      </c>
      <c r="L11" s="135">
        <f>L10+K11</f>
        <v>107520</v>
      </c>
      <c r="M11" s="230" t="s">
        <v>334</v>
      </c>
      <c r="N11" s="52" t="str">
        <f t="shared" ref="N11:N67" si="4">IF(S11="","",CHOOSE(INT(MOD(MONTH(S11)-7,12)/3)+1,"Q1","Q2","Q3","Q4"))</f>
        <v/>
      </c>
      <c r="O11" s="52" t="str">
        <f t="shared" ref="O11:O67" si="5">IF(S11="","",YEAR(S11))</f>
        <v/>
      </c>
      <c r="P11" s="199">
        <v>4700017529</v>
      </c>
      <c r="Q11" s="199">
        <v>1000063662</v>
      </c>
      <c r="R11" s="200">
        <f t="shared" si="0"/>
        <v>2.2839935218874216E-2</v>
      </c>
      <c r="S11" s="231"/>
    </row>
    <row r="12" spans="1:19" ht="18.75" customHeight="1" x14ac:dyDescent="0.2">
      <c r="A12" s="194">
        <v>3</v>
      </c>
      <c r="B12" s="195">
        <v>994859510</v>
      </c>
      <c r="C12" s="127">
        <v>45897</v>
      </c>
      <c r="D12" s="127"/>
      <c r="E12" s="196" t="s">
        <v>243</v>
      </c>
      <c r="F12" s="199" t="s">
        <v>245</v>
      </c>
      <c r="G12" s="198">
        <v>65629</v>
      </c>
      <c r="H12" s="198"/>
      <c r="I12" s="198">
        <f t="shared" si="1"/>
        <v>0</v>
      </c>
      <c r="J12" s="135">
        <f t="shared" si="2"/>
        <v>65629</v>
      </c>
      <c r="K12" s="135">
        <f t="shared" si="3"/>
        <v>65629</v>
      </c>
      <c r="L12" s="135">
        <f t="shared" ref="L12:L67" si="6">L11+K12</f>
        <v>173149</v>
      </c>
      <c r="M12" s="230" t="s">
        <v>334</v>
      </c>
      <c r="N12" s="52" t="str">
        <f t="shared" si="4"/>
        <v/>
      </c>
      <c r="O12" s="52" t="str">
        <f t="shared" si="5"/>
        <v/>
      </c>
      <c r="P12" s="199">
        <v>4700017572</v>
      </c>
      <c r="Q12" s="199">
        <v>1000063844</v>
      </c>
      <c r="R12" s="200">
        <f t="shared" si="0"/>
        <v>3.678117506708381E-2</v>
      </c>
      <c r="S12" s="231"/>
    </row>
    <row r="13" spans="1:19" ht="14.25" x14ac:dyDescent="0.2">
      <c r="A13" s="194">
        <v>4</v>
      </c>
      <c r="B13" s="195">
        <v>994859557</v>
      </c>
      <c r="C13" s="127">
        <v>45898</v>
      </c>
      <c r="D13" s="127"/>
      <c r="E13" s="196" t="s">
        <v>243</v>
      </c>
      <c r="F13" s="199" t="s">
        <v>249</v>
      </c>
      <c r="G13" s="198">
        <v>3500</v>
      </c>
      <c r="H13" s="198"/>
      <c r="I13" s="198">
        <f t="shared" si="1"/>
        <v>0</v>
      </c>
      <c r="J13" s="135">
        <f t="shared" si="2"/>
        <v>3500</v>
      </c>
      <c r="K13" s="135">
        <f t="shared" si="3"/>
        <v>3500</v>
      </c>
      <c r="L13" s="135">
        <f t="shared" si="6"/>
        <v>176649</v>
      </c>
      <c r="M13" s="230" t="s">
        <v>334</v>
      </c>
      <c r="N13" s="52" t="str">
        <f t="shared" si="4"/>
        <v/>
      </c>
      <c r="O13" s="52" t="str">
        <f t="shared" si="5"/>
        <v/>
      </c>
      <c r="P13" s="199">
        <v>4700017621</v>
      </c>
      <c r="Q13" s="199">
        <v>1000063997</v>
      </c>
      <c r="R13" s="200">
        <f t="shared" si="0"/>
        <v>3.7524662541656539E-2</v>
      </c>
      <c r="S13" s="231"/>
    </row>
    <row r="14" spans="1:19" ht="38.25" x14ac:dyDescent="0.2">
      <c r="A14" s="194">
        <v>5</v>
      </c>
      <c r="B14" s="195">
        <v>994859735</v>
      </c>
      <c r="C14" s="127">
        <v>45898</v>
      </c>
      <c r="D14" s="127"/>
      <c r="E14" s="196" t="s">
        <v>242</v>
      </c>
      <c r="F14" s="197" t="s">
        <v>258</v>
      </c>
      <c r="G14" s="198">
        <v>7600</v>
      </c>
      <c r="H14" s="198"/>
      <c r="I14" s="198">
        <f t="shared" si="1"/>
        <v>0</v>
      </c>
      <c r="J14" s="135">
        <f t="shared" si="2"/>
        <v>7600</v>
      </c>
      <c r="K14" s="135">
        <f t="shared" si="3"/>
        <v>7600</v>
      </c>
      <c r="L14" s="135">
        <f t="shared" si="6"/>
        <v>184249</v>
      </c>
      <c r="M14" s="230" t="s">
        <v>334</v>
      </c>
      <c r="N14" s="52" t="str">
        <f t="shared" si="4"/>
        <v/>
      </c>
      <c r="O14" s="52" t="str">
        <f t="shared" si="5"/>
        <v/>
      </c>
      <c r="P14" s="199">
        <v>4700017579</v>
      </c>
      <c r="Q14" s="199">
        <v>1000063858</v>
      </c>
      <c r="R14" s="200">
        <f t="shared" si="0"/>
        <v>3.9139092486443039E-2</v>
      </c>
      <c r="S14" s="231"/>
    </row>
    <row r="15" spans="1:19" ht="18.75" customHeight="1" x14ac:dyDescent="0.2">
      <c r="A15" s="194">
        <v>6</v>
      </c>
      <c r="B15" s="202">
        <v>994859544</v>
      </c>
      <c r="C15" s="127">
        <v>45917</v>
      </c>
      <c r="D15" s="127"/>
      <c r="E15" s="196" t="s">
        <v>250</v>
      </c>
      <c r="F15" s="199" t="s">
        <v>251</v>
      </c>
      <c r="G15" s="198">
        <v>4350</v>
      </c>
      <c r="H15" s="198"/>
      <c r="I15" s="198">
        <f t="shared" si="1"/>
        <v>0</v>
      </c>
      <c r="J15" s="135">
        <f t="shared" si="2"/>
        <v>4350</v>
      </c>
      <c r="K15" s="135">
        <f t="shared" si="3"/>
        <v>4350</v>
      </c>
      <c r="L15" s="135">
        <f t="shared" si="6"/>
        <v>188599</v>
      </c>
      <c r="M15" s="230" t="s">
        <v>334</v>
      </c>
      <c r="N15" s="52" t="str">
        <f t="shared" si="4"/>
        <v/>
      </c>
      <c r="O15" s="52" t="str">
        <f t="shared" si="5"/>
        <v/>
      </c>
      <c r="P15" s="199">
        <v>4700017916</v>
      </c>
      <c r="Q15" s="199">
        <v>1000065650</v>
      </c>
      <c r="R15" s="200">
        <f t="shared" si="0"/>
        <v>4.0063141204840572E-2</v>
      </c>
      <c r="S15" s="231"/>
    </row>
    <row r="16" spans="1:19" ht="18.75" customHeight="1" x14ac:dyDescent="0.2">
      <c r="A16" s="194">
        <v>7</v>
      </c>
      <c r="B16" s="202">
        <v>994859637</v>
      </c>
      <c r="C16" s="127">
        <v>45923</v>
      </c>
      <c r="D16" s="127"/>
      <c r="E16" s="196" t="s">
        <v>243</v>
      </c>
      <c r="F16" s="199" t="s">
        <v>253</v>
      </c>
      <c r="G16" s="198">
        <v>166050</v>
      </c>
      <c r="H16" s="198"/>
      <c r="I16" s="198">
        <f t="shared" si="1"/>
        <v>0</v>
      </c>
      <c r="J16" s="135">
        <f t="shared" si="2"/>
        <v>166050</v>
      </c>
      <c r="K16" s="135">
        <f t="shared" si="3"/>
        <v>166050</v>
      </c>
      <c r="L16" s="135">
        <f t="shared" si="6"/>
        <v>354649</v>
      </c>
      <c r="M16" s="230" t="s">
        <v>334</v>
      </c>
      <c r="N16" s="52" t="str">
        <f t="shared" si="4"/>
        <v/>
      </c>
      <c r="O16" s="52" t="str">
        <f t="shared" si="5"/>
        <v/>
      </c>
      <c r="P16" s="199">
        <v>4700017939</v>
      </c>
      <c r="Q16" s="199">
        <v>1000066037</v>
      </c>
      <c r="R16" s="200">
        <f t="shared" si="0"/>
        <v>7.5336311248498156E-2</v>
      </c>
      <c r="S16" s="231"/>
    </row>
    <row r="17" spans="1:19" ht="18.75" customHeight="1" x14ac:dyDescent="0.2">
      <c r="A17" s="194">
        <v>8</v>
      </c>
      <c r="B17" s="202">
        <v>994859648</v>
      </c>
      <c r="C17" s="127">
        <v>45923</v>
      </c>
      <c r="D17" s="127"/>
      <c r="E17" s="196" t="s">
        <v>242</v>
      </c>
      <c r="F17" s="199" t="s">
        <v>254</v>
      </c>
      <c r="G17" s="198">
        <v>8480</v>
      </c>
      <c r="H17" s="198"/>
      <c r="I17" s="198">
        <f t="shared" si="1"/>
        <v>0</v>
      </c>
      <c r="J17" s="135">
        <f t="shared" si="2"/>
        <v>8480</v>
      </c>
      <c r="K17" s="135">
        <f t="shared" si="3"/>
        <v>8480</v>
      </c>
      <c r="L17" s="135">
        <f t="shared" si="6"/>
        <v>363129</v>
      </c>
      <c r="M17" s="230" t="s">
        <v>334</v>
      </c>
      <c r="N17" s="52" t="str">
        <f t="shared" si="4"/>
        <v/>
      </c>
      <c r="O17" s="52" t="str">
        <f t="shared" si="5"/>
        <v/>
      </c>
      <c r="P17" s="199">
        <v>4700017938</v>
      </c>
      <c r="Q17" s="199">
        <v>1000066041</v>
      </c>
      <c r="R17" s="200">
        <f t="shared" si="0"/>
        <v>7.7137675186891505E-2</v>
      </c>
      <c r="S17" s="231"/>
    </row>
    <row r="18" spans="1:19" ht="18.75" customHeight="1" x14ac:dyDescent="0.2">
      <c r="A18" s="203">
        <v>9</v>
      </c>
      <c r="B18" s="204">
        <v>994859676</v>
      </c>
      <c r="C18" s="127">
        <v>45945</v>
      </c>
      <c r="D18" s="127"/>
      <c r="E18" s="205" t="s">
        <v>250</v>
      </c>
      <c r="F18" s="206" t="s">
        <v>256</v>
      </c>
      <c r="G18" s="207">
        <v>4350</v>
      </c>
      <c r="H18" s="198"/>
      <c r="I18" s="198">
        <f t="shared" si="1"/>
        <v>0</v>
      </c>
      <c r="J18" s="135">
        <f t="shared" si="2"/>
        <v>4350</v>
      </c>
      <c r="K18" s="135">
        <f t="shared" si="3"/>
        <v>4350</v>
      </c>
      <c r="L18" s="135">
        <f t="shared" si="6"/>
        <v>367479</v>
      </c>
      <c r="M18" s="230" t="s">
        <v>334</v>
      </c>
      <c r="N18" s="52" t="str">
        <f t="shared" si="4"/>
        <v/>
      </c>
      <c r="O18" s="52" t="str">
        <f t="shared" si="5"/>
        <v/>
      </c>
      <c r="P18" s="199">
        <v>4700018445</v>
      </c>
      <c r="Q18" s="199">
        <v>1000067588</v>
      </c>
      <c r="R18" s="200">
        <f t="shared" si="0"/>
        <v>7.8061723905289038E-2</v>
      </c>
      <c r="S18" s="231"/>
    </row>
    <row r="19" spans="1:19" ht="18.75" customHeight="1" x14ac:dyDescent="0.2">
      <c r="A19" s="194">
        <v>10</v>
      </c>
      <c r="B19" s="202">
        <v>994859701</v>
      </c>
      <c r="C19" s="127">
        <v>45961</v>
      </c>
      <c r="D19" s="127"/>
      <c r="E19" s="205" t="s">
        <v>250</v>
      </c>
      <c r="F19" s="206" t="s">
        <v>260</v>
      </c>
      <c r="G19" s="207">
        <v>4350</v>
      </c>
      <c r="H19" s="198"/>
      <c r="I19" s="198">
        <f t="shared" si="1"/>
        <v>0</v>
      </c>
      <c r="J19" s="135">
        <f t="shared" si="2"/>
        <v>4350</v>
      </c>
      <c r="K19" s="135">
        <f t="shared" si="3"/>
        <v>4350</v>
      </c>
      <c r="L19" s="135">
        <f t="shared" si="6"/>
        <v>371829</v>
      </c>
      <c r="M19" s="230" t="s">
        <v>334</v>
      </c>
      <c r="N19" s="52" t="str">
        <f t="shared" si="4"/>
        <v/>
      </c>
      <c r="O19" s="52" t="str">
        <f t="shared" si="5"/>
        <v/>
      </c>
      <c r="P19" s="199">
        <v>4700018803</v>
      </c>
      <c r="Q19" s="199">
        <v>1000069144</v>
      </c>
      <c r="R19" s="200">
        <f t="shared" si="0"/>
        <v>7.898577262368657E-2</v>
      </c>
      <c r="S19" s="231"/>
    </row>
    <row r="20" spans="1:19" ht="18.75" customHeight="1" x14ac:dyDescent="0.2">
      <c r="A20" s="194">
        <v>11</v>
      </c>
      <c r="B20" s="202">
        <v>994859699</v>
      </c>
      <c r="C20" s="127">
        <v>45961</v>
      </c>
      <c r="D20" s="127"/>
      <c r="E20" s="205" t="s">
        <v>250</v>
      </c>
      <c r="F20" s="206" t="s">
        <v>261</v>
      </c>
      <c r="G20" s="207">
        <v>4350</v>
      </c>
      <c r="H20" s="198"/>
      <c r="I20" s="198">
        <f t="shared" si="1"/>
        <v>0</v>
      </c>
      <c r="J20" s="135">
        <f t="shared" si="2"/>
        <v>4350</v>
      </c>
      <c r="K20" s="135">
        <f t="shared" si="3"/>
        <v>4350</v>
      </c>
      <c r="L20" s="135">
        <f t="shared" si="6"/>
        <v>376179</v>
      </c>
      <c r="M20" s="230" t="s">
        <v>334</v>
      </c>
      <c r="N20" s="52" t="str">
        <f t="shared" si="4"/>
        <v/>
      </c>
      <c r="O20" s="52" t="str">
        <f t="shared" si="5"/>
        <v/>
      </c>
      <c r="P20" s="199">
        <v>4700018814</v>
      </c>
      <c r="Q20" s="199">
        <v>1000069152</v>
      </c>
      <c r="R20" s="200">
        <f t="shared" si="0"/>
        <v>7.9909821342084117E-2</v>
      </c>
      <c r="S20" s="231"/>
    </row>
    <row r="21" spans="1:19" ht="18.75" customHeight="1" x14ac:dyDescent="0.2">
      <c r="A21" s="194">
        <v>12</v>
      </c>
      <c r="B21" s="202">
        <v>994859700</v>
      </c>
      <c r="C21" s="127">
        <v>45961</v>
      </c>
      <c r="D21" s="127"/>
      <c r="E21" s="205" t="s">
        <v>250</v>
      </c>
      <c r="F21" s="206" t="s">
        <v>262</v>
      </c>
      <c r="G21" s="207">
        <v>4350</v>
      </c>
      <c r="H21" s="198"/>
      <c r="I21" s="198">
        <f t="shared" si="1"/>
        <v>0</v>
      </c>
      <c r="J21" s="135">
        <f t="shared" si="2"/>
        <v>4350</v>
      </c>
      <c r="K21" s="135">
        <f t="shared" si="3"/>
        <v>4350</v>
      </c>
      <c r="L21" s="135">
        <f t="shared" si="6"/>
        <v>380529</v>
      </c>
      <c r="M21" s="230" t="s">
        <v>334</v>
      </c>
      <c r="N21" s="52" t="str">
        <f t="shared" si="4"/>
        <v/>
      </c>
      <c r="O21" s="52" t="str">
        <f t="shared" si="5"/>
        <v/>
      </c>
      <c r="P21" s="199">
        <v>4700018815</v>
      </c>
      <c r="Q21" s="199">
        <v>1000069155</v>
      </c>
      <c r="R21" s="200">
        <f t="shared" si="0"/>
        <v>8.083387006048165E-2</v>
      </c>
      <c r="S21" s="231"/>
    </row>
    <row r="22" spans="1:19" s="167" customFormat="1" ht="18.75" customHeight="1" x14ac:dyDescent="0.2">
      <c r="A22" s="203">
        <v>13</v>
      </c>
      <c r="B22" s="204">
        <v>994859698</v>
      </c>
      <c r="C22" s="169">
        <v>45966</v>
      </c>
      <c r="D22" s="169"/>
      <c r="E22" s="205" t="s">
        <v>242</v>
      </c>
      <c r="F22" s="199" t="s">
        <v>263</v>
      </c>
      <c r="G22" s="207">
        <v>7600</v>
      </c>
      <c r="H22" s="198"/>
      <c r="I22" s="198">
        <f t="shared" si="1"/>
        <v>0</v>
      </c>
      <c r="J22" s="135">
        <f t="shared" si="2"/>
        <v>7600</v>
      </c>
      <c r="K22" s="135">
        <f t="shared" si="3"/>
        <v>7600</v>
      </c>
      <c r="L22" s="135">
        <f t="shared" si="6"/>
        <v>388129</v>
      </c>
      <c r="M22" s="230" t="s">
        <v>334</v>
      </c>
      <c r="N22" s="52" t="str">
        <f t="shared" si="4"/>
        <v/>
      </c>
      <c r="O22" s="52" t="str">
        <f t="shared" si="5"/>
        <v/>
      </c>
      <c r="P22" s="199">
        <v>4700018915</v>
      </c>
      <c r="Q22" s="199">
        <v>1000069622</v>
      </c>
      <c r="R22" s="200">
        <f t="shared" si="0"/>
        <v>8.2448300005268135E-2</v>
      </c>
      <c r="S22" s="231"/>
    </row>
    <row r="23" spans="1:19" s="167" customFormat="1" ht="18.75" customHeight="1" x14ac:dyDescent="0.2">
      <c r="A23" s="203">
        <v>14</v>
      </c>
      <c r="B23" s="204">
        <v>994859702</v>
      </c>
      <c r="C23" s="169">
        <v>45974</v>
      </c>
      <c r="D23" s="169"/>
      <c r="E23" s="205" t="s">
        <v>242</v>
      </c>
      <c r="F23" s="206" t="s">
        <v>264</v>
      </c>
      <c r="G23" s="207">
        <v>80730</v>
      </c>
      <c r="H23" s="198"/>
      <c r="I23" s="198">
        <f t="shared" si="1"/>
        <v>0</v>
      </c>
      <c r="J23" s="135">
        <f t="shared" si="2"/>
        <v>80730</v>
      </c>
      <c r="K23" s="135">
        <f t="shared" si="3"/>
        <v>80730</v>
      </c>
      <c r="L23" s="135">
        <f t="shared" si="6"/>
        <v>468859</v>
      </c>
      <c r="M23" s="230" t="s">
        <v>334</v>
      </c>
      <c r="N23" s="52" t="str">
        <f t="shared" si="4"/>
        <v/>
      </c>
      <c r="O23" s="52" t="str">
        <f t="shared" si="5"/>
        <v/>
      </c>
      <c r="P23" s="199">
        <v>4700019048</v>
      </c>
      <c r="Q23" s="199">
        <v>1000070334</v>
      </c>
      <c r="R23" s="200">
        <f t="shared" si="0"/>
        <v>9.9597369668769961E-2</v>
      </c>
      <c r="S23" s="231"/>
    </row>
    <row r="24" spans="1:19" s="167" customFormat="1" ht="18.75" customHeight="1" x14ac:dyDescent="0.2">
      <c r="A24" s="203">
        <v>15</v>
      </c>
      <c r="B24" s="204">
        <v>994859638</v>
      </c>
      <c r="C24" s="169">
        <v>45986</v>
      </c>
      <c r="D24" s="169"/>
      <c r="E24" s="205" t="s">
        <v>265</v>
      </c>
      <c r="F24" s="206" t="s">
        <v>266</v>
      </c>
      <c r="G24" s="207">
        <v>17475</v>
      </c>
      <c r="H24" s="198"/>
      <c r="I24" s="198">
        <f t="shared" si="1"/>
        <v>0</v>
      </c>
      <c r="J24" s="135">
        <f t="shared" si="2"/>
        <v>17475</v>
      </c>
      <c r="K24" s="135">
        <f t="shared" si="3"/>
        <v>17475</v>
      </c>
      <c r="L24" s="135">
        <f t="shared" si="6"/>
        <v>486334</v>
      </c>
      <c r="M24" s="230" t="s">
        <v>334</v>
      </c>
      <c r="N24" s="52" t="str">
        <f t="shared" si="4"/>
        <v/>
      </c>
      <c r="O24" s="52" t="str">
        <f t="shared" si="5"/>
        <v/>
      </c>
      <c r="P24" s="199">
        <v>4700019304</v>
      </c>
      <c r="Q24" s="199">
        <v>1000071154</v>
      </c>
      <c r="R24" s="200">
        <f t="shared" si="0"/>
        <v>0.10330949641681522</v>
      </c>
      <c r="S24" s="231"/>
    </row>
    <row r="25" spans="1:19" s="188" customFormat="1" ht="18.75" customHeight="1" x14ac:dyDescent="0.2">
      <c r="A25" s="194">
        <v>16</v>
      </c>
      <c r="B25" s="202">
        <v>994859672</v>
      </c>
      <c r="C25" s="169">
        <v>45986</v>
      </c>
      <c r="D25" s="169"/>
      <c r="E25" s="205" t="s">
        <v>265</v>
      </c>
      <c r="F25" s="199" t="s">
        <v>267</v>
      </c>
      <c r="G25" s="198">
        <v>11475</v>
      </c>
      <c r="H25" s="198"/>
      <c r="I25" s="198">
        <f t="shared" si="1"/>
        <v>0</v>
      </c>
      <c r="J25" s="135">
        <f t="shared" si="2"/>
        <v>11475</v>
      </c>
      <c r="K25" s="135">
        <f t="shared" si="3"/>
        <v>11475</v>
      </c>
      <c r="L25" s="135">
        <f t="shared" si="6"/>
        <v>497809</v>
      </c>
      <c r="M25" s="230" t="s">
        <v>334</v>
      </c>
      <c r="N25" s="52" t="str">
        <f t="shared" si="4"/>
        <v/>
      </c>
      <c r="O25" s="52" t="str">
        <f t="shared" si="5"/>
        <v/>
      </c>
      <c r="P25" s="199">
        <v>4700019264</v>
      </c>
      <c r="Q25" s="199">
        <v>1000071018</v>
      </c>
      <c r="R25" s="200">
        <f t="shared" si="0"/>
        <v>0.1057470732084501</v>
      </c>
      <c r="S25" s="231"/>
    </row>
    <row r="26" spans="1:19" ht="18.75" customHeight="1" x14ac:dyDescent="0.2">
      <c r="A26" s="194">
        <v>17</v>
      </c>
      <c r="B26" s="202">
        <v>994859785</v>
      </c>
      <c r="C26" s="169">
        <v>45987</v>
      </c>
      <c r="D26" s="169"/>
      <c r="E26" s="205" t="s">
        <v>265</v>
      </c>
      <c r="F26" s="199" t="s">
        <v>268</v>
      </c>
      <c r="G26" s="198">
        <v>119525</v>
      </c>
      <c r="H26" s="198"/>
      <c r="I26" s="198">
        <f t="shared" si="1"/>
        <v>0</v>
      </c>
      <c r="J26" s="135">
        <f t="shared" si="2"/>
        <v>119525</v>
      </c>
      <c r="K26" s="135">
        <f t="shared" si="3"/>
        <v>119525</v>
      </c>
      <c r="L26" s="135">
        <f t="shared" si="6"/>
        <v>617334</v>
      </c>
      <c r="M26" s="230" t="s">
        <v>334</v>
      </c>
      <c r="N26" s="52" t="str">
        <f t="shared" si="4"/>
        <v/>
      </c>
      <c r="O26" s="52" t="str">
        <f t="shared" si="5"/>
        <v/>
      </c>
      <c r="P26" s="199">
        <v>4700019310</v>
      </c>
      <c r="Q26" s="199">
        <v>1000071182</v>
      </c>
      <c r="R26" s="200">
        <f t="shared" si="0"/>
        <v>0.13113717046510878</v>
      </c>
      <c r="S26" s="231"/>
    </row>
    <row r="27" spans="1:19" ht="18.75" customHeight="1" x14ac:dyDescent="0.2">
      <c r="A27" s="194">
        <v>18</v>
      </c>
      <c r="B27" s="202">
        <v>994859647</v>
      </c>
      <c r="C27" s="169">
        <v>45987</v>
      </c>
      <c r="D27" s="169"/>
      <c r="E27" s="196" t="s">
        <v>243</v>
      </c>
      <c r="F27" s="199" t="s">
        <v>269</v>
      </c>
      <c r="G27" s="198">
        <v>21010</v>
      </c>
      <c r="H27" s="198"/>
      <c r="I27" s="198">
        <f t="shared" si="1"/>
        <v>0</v>
      </c>
      <c r="J27" s="135">
        <f t="shared" si="2"/>
        <v>21010</v>
      </c>
      <c r="K27" s="135">
        <f t="shared" si="3"/>
        <v>21010</v>
      </c>
      <c r="L27" s="135">
        <f t="shared" si="6"/>
        <v>638344</v>
      </c>
      <c r="M27" s="230" t="s">
        <v>334</v>
      </c>
      <c r="N27" s="52" t="str">
        <f t="shared" si="4"/>
        <v/>
      </c>
      <c r="O27" s="52" t="str">
        <f t="shared" si="5"/>
        <v/>
      </c>
      <c r="P27" s="199">
        <v>4700018563</v>
      </c>
      <c r="Q27" s="199">
        <v>1000068333</v>
      </c>
      <c r="R27" s="200">
        <f t="shared" si="0"/>
        <v>0.13560021956247248</v>
      </c>
      <c r="S27" s="231"/>
    </row>
    <row r="28" spans="1:19" ht="18.75" customHeight="1" x14ac:dyDescent="0.2">
      <c r="A28" s="194">
        <v>19</v>
      </c>
      <c r="B28" s="202">
        <v>994859843</v>
      </c>
      <c r="C28" s="169">
        <v>46002</v>
      </c>
      <c r="D28" s="169"/>
      <c r="E28" s="196" t="s">
        <v>243</v>
      </c>
      <c r="F28" s="199" t="s">
        <v>266</v>
      </c>
      <c r="G28" s="198">
        <v>11640</v>
      </c>
      <c r="H28" s="198"/>
      <c r="I28" s="198">
        <f t="shared" si="1"/>
        <v>0</v>
      </c>
      <c r="J28" s="135">
        <f t="shared" si="2"/>
        <v>11640</v>
      </c>
      <c r="K28" s="135">
        <f t="shared" si="3"/>
        <v>11640</v>
      </c>
      <c r="L28" s="135">
        <f t="shared" si="6"/>
        <v>649984</v>
      </c>
      <c r="M28" s="230" t="s">
        <v>334</v>
      </c>
      <c r="N28" s="52" t="str">
        <f t="shared" si="4"/>
        <v/>
      </c>
      <c r="O28" s="52" t="str">
        <f t="shared" si="5"/>
        <v/>
      </c>
      <c r="P28" s="199">
        <v>4700019494</v>
      </c>
      <c r="Q28" s="199">
        <v>1000072260</v>
      </c>
      <c r="R28" s="200">
        <f t="shared" si="0"/>
        <v>0.13807284647790866</v>
      </c>
      <c r="S28" s="231"/>
    </row>
    <row r="29" spans="1:19" ht="18" customHeight="1" x14ac:dyDescent="0.2">
      <c r="A29" s="194">
        <v>20</v>
      </c>
      <c r="B29" s="202">
        <v>994859847</v>
      </c>
      <c r="C29" s="169">
        <v>46002</v>
      </c>
      <c r="D29" s="169"/>
      <c r="E29" s="196" t="s">
        <v>270</v>
      </c>
      <c r="F29" s="199" t="s">
        <v>271</v>
      </c>
      <c r="G29" s="198">
        <v>4110</v>
      </c>
      <c r="H29" s="198"/>
      <c r="I29" s="198">
        <f t="shared" si="1"/>
        <v>0</v>
      </c>
      <c r="J29" s="135">
        <f t="shared" si="2"/>
        <v>4110</v>
      </c>
      <c r="K29" s="135">
        <f t="shared" si="3"/>
        <v>4110</v>
      </c>
      <c r="L29" s="135">
        <f t="shared" si="6"/>
        <v>654094</v>
      </c>
      <c r="M29" s="230" t="s">
        <v>334</v>
      </c>
      <c r="N29" s="52" t="str">
        <f t="shared" si="4"/>
        <v/>
      </c>
      <c r="O29" s="52" t="str">
        <f t="shared" si="5"/>
        <v/>
      </c>
      <c r="P29" s="199">
        <v>4700019516</v>
      </c>
      <c r="Q29" s="199">
        <v>1000072316</v>
      </c>
      <c r="R29" s="200">
        <f t="shared" si="0"/>
        <v>0.13894591319804978</v>
      </c>
      <c r="S29" s="231"/>
    </row>
    <row r="30" spans="1:19" ht="18.75" customHeight="1" x14ac:dyDescent="0.2">
      <c r="A30" s="194">
        <v>21</v>
      </c>
      <c r="B30" s="202">
        <v>994859871</v>
      </c>
      <c r="C30" s="169">
        <v>46002</v>
      </c>
      <c r="D30" s="169"/>
      <c r="E30" s="196" t="s">
        <v>242</v>
      </c>
      <c r="F30" s="199" t="s">
        <v>272</v>
      </c>
      <c r="G30" s="198">
        <v>38000</v>
      </c>
      <c r="H30" s="198"/>
      <c r="I30" s="198">
        <f t="shared" si="1"/>
        <v>0</v>
      </c>
      <c r="J30" s="135">
        <f t="shared" si="2"/>
        <v>38000</v>
      </c>
      <c r="K30" s="135">
        <f t="shared" si="3"/>
        <v>38000</v>
      </c>
      <c r="L30" s="135">
        <f t="shared" si="6"/>
        <v>692094</v>
      </c>
      <c r="M30" s="230" t="s">
        <v>334</v>
      </c>
      <c r="N30" s="52" t="str">
        <f t="shared" si="4"/>
        <v/>
      </c>
      <c r="O30" s="52" t="str">
        <f t="shared" si="5"/>
        <v/>
      </c>
      <c r="P30" s="199">
        <v>4700019564</v>
      </c>
      <c r="Q30" s="199">
        <v>1000072468</v>
      </c>
      <c r="R30" s="200">
        <f t="shared" si="0"/>
        <v>0.14701806292198225</v>
      </c>
      <c r="S30" s="231"/>
    </row>
    <row r="31" spans="1:19" ht="18.75" customHeight="1" x14ac:dyDescent="0.2">
      <c r="A31" s="194">
        <v>22</v>
      </c>
      <c r="B31" s="202">
        <v>994859842</v>
      </c>
      <c r="C31" s="169">
        <v>46003</v>
      </c>
      <c r="D31" s="169"/>
      <c r="E31" s="196" t="s">
        <v>243</v>
      </c>
      <c r="F31" s="199" t="s">
        <v>273</v>
      </c>
      <c r="G31" s="198">
        <v>34720</v>
      </c>
      <c r="H31" s="198"/>
      <c r="I31" s="198">
        <f t="shared" si="1"/>
        <v>0</v>
      </c>
      <c r="J31" s="135">
        <f t="shared" si="2"/>
        <v>34720</v>
      </c>
      <c r="K31" s="135">
        <f t="shared" si="3"/>
        <v>34720</v>
      </c>
      <c r="L31" s="135">
        <f t="shared" si="6"/>
        <v>726814</v>
      </c>
      <c r="M31" s="230" t="s">
        <v>334</v>
      </c>
      <c r="N31" s="52" t="str">
        <f t="shared" si="4"/>
        <v/>
      </c>
      <c r="O31" s="52" t="str">
        <f t="shared" si="5"/>
        <v/>
      </c>
      <c r="P31" s="199">
        <v>4700019504</v>
      </c>
      <c r="Q31" s="199">
        <v>1000072280</v>
      </c>
      <c r="R31" s="200">
        <f t="shared" si="0"/>
        <v>0.15439345866974372</v>
      </c>
      <c r="S31" s="231"/>
    </row>
    <row r="32" spans="1:19" ht="18.75" customHeight="1" x14ac:dyDescent="0.2">
      <c r="A32" s="194">
        <v>23</v>
      </c>
      <c r="B32" s="202">
        <v>994859863</v>
      </c>
      <c r="C32" s="169">
        <v>46010</v>
      </c>
      <c r="D32" s="169"/>
      <c r="E32" s="196" t="s">
        <v>274</v>
      </c>
      <c r="F32" s="199" t="s">
        <v>275</v>
      </c>
      <c r="G32" s="198">
        <v>683</v>
      </c>
      <c r="H32" s="198"/>
      <c r="I32" s="198">
        <f t="shared" si="1"/>
        <v>0</v>
      </c>
      <c r="J32" s="135">
        <f t="shared" si="2"/>
        <v>683</v>
      </c>
      <c r="K32" s="135">
        <f t="shared" si="3"/>
        <v>683</v>
      </c>
      <c r="L32" s="135">
        <f t="shared" si="6"/>
        <v>727497</v>
      </c>
      <c r="M32" s="230" t="s">
        <v>334</v>
      </c>
      <c r="N32" s="52" t="str">
        <f t="shared" si="4"/>
        <v/>
      </c>
      <c r="O32" s="52" t="str">
        <f t="shared" si="5"/>
        <v/>
      </c>
      <c r="P32" s="199">
        <v>4700019669</v>
      </c>
      <c r="Q32" s="199">
        <v>1000073134</v>
      </c>
      <c r="R32" s="200">
        <f t="shared" si="0"/>
        <v>0.15453854493978175</v>
      </c>
      <c r="S32" s="231"/>
    </row>
    <row r="33" spans="1:19" ht="18.75" customHeight="1" x14ac:dyDescent="0.2">
      <c r="A33" s="194">
        <v>24</v>
      </c>
      <c r="B33" s="202">
        <v>994859872</v>
      </c>
      <c r="C33" s="169">
        <v>46010</v>
      </c>
      <c r="D33" s="169"/>
      <c r="E33" s="196" t="s">
        <v>270</v>
      </c>
      <c r="F33" s="199" t="s">
        <v>275</v>
      </c>
      <c r="G33" s="198">
        <v>37565</v>
      </c>
      <c r="H33" s="198"/>
      <c r="I33" s="198">
        <f t="shared" si="1"/>
        <v>0</v>
      </c>
      <c r="J33" s="135">
        <f t="shared" si="2"/>
        <v>37565</v>
      </c>
      <c r="K33" s="135">
        <f t="shared" si="3"/>
        <v>37565</v>
      </c>
      <c r="L33" s="135">
        <f t="shared" si="6"/>
        <v>765062</v>
      </c>
      <c r="M33" s="230" t="s">
        <v>334</v>
      </c>
      <c r="N33" s="52" t="str">
        <f t="shared" si="4"/>
        <v/>
      </c>
      <c r="O33" s="52" t="str">
        <f t="shared" si="5"/>
        <v/>
      </c>
      <c r="P33" s="199">
        <v>47000019677</v>
      </c>
      <c r="Q33" s="199">
        <v>1000073154</v>
      </c>
      <c r="R33" s="200">
        <f t="shared" si="0"/>
        <v>0.16251828979187449</v>
      </c>
      <c r="S33" s="231"/>
    </row>
    <row r="34" spans="1:19" ht="18.75" customHeight="1" x14ac:dyDescent="0.2">
      <c r="A34" s="194">
        <v>25</v>
      </c>
      <c r="B34" s="202">
        <v>994859893</v>
      </c>
      <c r="C34" s="127">
        <v>46022</v>
      </c>
      <c r="D34" s="127"/>
      <c r="E34" s="196" t="s">
        <v>274</v>
      </c>
      <c r="F34" s="199" t="s">
        <v>271</v>
      </c>
      <c r="G34" s="198">
        <v>4250</v>
      </c>
      <c r="H34" s="198"/>
      <c r="I34" s="198">
        <f t="shared" si="1"/>
        <v>0</v>
      </c>
      <c r="J34" s="135">
        <f t="shared" si="2"/>
        <v>4250</v>
      </c>
      <c r="K34" s="135">
        <f t="shared" si="3"/>
        <v>4250</v>
      </c>
      <c r="L34" s="135">
        <f t="shared" si="6"/>
        <v>769312</v>
      </c>
      <c r="M34" s="230" t="s">
        <v>334</v>
      </c>
      <c r="N34" s="52" t="str">
        <f t="shared" si="4"/>
        <v/>
      </c>
      <c r="O34" s="52" t="str">
        <f t="shared" si="5"/>
        <v/>
      </c>
      <c r="P34" s="199">
        <v>4700019885</v>
      </c>
      <c r="Q34" s="199">
        <v>1000073942</v>
      </c>
      <c r="R34" s="200">
        <f t="shared" si="0"/>
        <v>0.16342109601099852</v>
      </c>
      <c r="S34" s="231"/>
    </row>
    <row r="35" spans="1:19" ht="18.75" customHeight="1" x14ac:dyDescent="0.2">
      <c r="A35" s="194">
        <v>26</v>
      </c>
      <c r="B35" s="202">
        <v>994859894</v>
      </c>
      <c r="C35" s="127">
        <v>46022</v>
      </c>
      <c r="D35" s="127"/>
      <c r="E35" s="196" t="s">
        <v>274</v>
      </c>
      <c r="F35" s="199" t="s">
        <v>276</v>
      </c>
      <c r="G35" s="198">
        <v>4850</v>
      </c>
      <c r="H35" s="198"/>
      <c r="I35" s="198">
        <f t="shared" si="1"/>
        <v>0</v>
      </c>
      <c r="J35" s="135">
        <f t="shared" si="2"/>
        <v>4850</v>
      </c>
      <c r="K35" s="135">
        <f t="shared" si="3"/>
        <v>4850</v>
      </c>
      <c r="L35" s="135">
        <f t="shared" si="6"/>
        <v>774162</v>
      </c>
      <c r="M35" s="230" t="s">
        <v>334</v>
      </c>
      <c r="N35" s="52" t="str">
        <f t="shared" si="4"/>
        <v/>
      </c>
      <c r="O35" s="52" t="str">
        <f t="shared" si="5"/>
        <v/>
      </c>
      <c r="P35" s="199">
        <v>4700019886</v>
      </c>
      <c r="Q35" s="199">
        <v>1000073944</v>
      </c>
      <c r="R35" s="200">
        <f t="shared" si="0"/>
        <v>0.16445135722576359</v>
      </c>
      <c r="S35" s="231"/>
    </row>
    <row r="36" spans="1:19" s="167" customFormat="1" ht="18.75" customHeight="1" x14ac:dyDescent="0.2">
      <c r="A36" s="203">
        <v>27</v>
      </c>
      <c r="B36" s="202">
        <v>994859921</v>
      </c>
      <c r="C36" s="169">
        <v>46022</v>
      </c>
      <c r="D36" s="169"/>
      <c r="E36" s="196" t="s">
        <v>274</v>
      </c>
      <c r="F36" s="199" t="s">
        <v>277</v>
      </c>
      <c r="G36" s="207">
        <v>4490</v>
      </c>
      <c r="H36" s="198"/>
      <c r="I36" s="198">
        <f t="shared" si="1"/>
        <v>0</v>
      </c>
      <c r="J36" s="135">
        <f t="shared" si="2"/>
        <v>4490</v>
      </c>
      <c r="K36" s="135">
        <f t="shared" si="3"/>
        <v>4490</v>
      </c>
      <c r="L36" s="135">
        <f t="shared" si="6"/>
        <v>778652</v>
      </c>
      <c r="M36" s="230" t="s">
        <v>334</v>
      </c>
      <c r="N36" s="52" t="str">
        <f t="shared" si="4"/>
        <v/>
      </c>
      <c r="O36" s="52" t="str">
        <f t="shared" si="5"/>
        <v/>
      </c>
      <c r="P36" s="199">
        <v>4700019887</v>
      </c>
      <c r="Q36" s="199">
        <v>1000073951</v>
      </c>
      <c r="R36" s="200">
        <f t="shared" si="0"/>
        <v>0.16540514544314402</v>
      </c>
      <c r="S36" s="231"/>
    </row>
    <row r="37" spans="1:19" ht="18.75" customHeight="1" x14ac:dyDescent="0.2">
      <c r="A37" s="194">
        <v>28</v>
      </c>
      <c r="B37" s="202">
        <v>994859954</v>
      </c>
      <c r="C37" s="127">
        <v>46084</v>
      </c>
      <c r="D37" s="127"/>
      <c r="E37" s="196" t="s">
        <v>242</v>
      </c>
      <c r="F37" s="199" t="s">
        <v>278</v>
      </c>
      <c r="G37" s="198">
        <v>287550</v>
      </c>
      <c r="H37" s="198"/>
      <c r="I37" s="198">
        <f t="shared" si="1"/>
        <v>0</v>
      </c>
      <c r="J37" s="135">
        <f t="shared" si="2"/>
        <v>287550</v>
      </c>
      <c r="K37" s="135">
        <f t="shared" si="3"/>
        <v>287550</v>
      </c>
      <c r="L37" s="135">
        <f t="shared" si="6"/>
        <v>1066202</v>
      </c>
      <c r="M37" s="230" t="s">
        <v>334</v>
      </c>
      <c r="N37" s="52" t="str">
        <f t="shared" si="4"/>
        <v/>
      </c>
      <c r="O37" s="52" t="str">
        <f t="shared" si="5"/>
        <v/>
      </c>
      <c r="P37" s="199">
        <v>4700020173</v>
      </c>
      <c r="Q37" s="199">
        <v>1000075059</v>
      </c>
      <c r="R37" s="200">
        <f t="shared" si="0"/>
        <v>0.22648795210411204</v>
      </c>
      <c r="S37" s="231"/>
    </row>
    <row r="38" spans="1:19" ht="18.75" customHeight="1" x14ac:dyDescent="0.2">
      <c r="A38" s="194">
        <v>29</v>
      </c>
      <c r="B38" s="202">
        <v>994860010</v>
      </c>
      <c r="C38" s="127">
        <v>46097</v>
      </c>
      <c r="D38" s="127"/>
      <c r="E38" s="196" t="s">
        <v>279</v>
      </c>
      <c r="F38" s="199" t="s">
        <v>280</v>
      </c>
      <c r="G38" s="198">
        <v>3400</v>
      </c>
      <c r="H38" s="198"/>
      <c r="I38" s="198">
        <f t="shared" si="1"/>
        <v>0</v>
      </c>
      <c r="J38" s="135">
        <f t="shared" si="2"/>
        <v>3400</v>
      </c>
      <c r="K38" s="135">
        <f t="shared" si="3"/>
        <v>3400</v>
      </c>
      <c r="L38" s="135">
        <f t="shared" si="6"/>
        <v>1069602</v>
      </c>
      <c r="M38" s="230" t="s">
        <v>334</v>
      </c>
      <c r="N38" s="52" t="str">
        <f t="shared" si="4"/>
        <v/>
      </c>
      <c r="O38" s="52" t="str">
        <f t="shared" si="5"/>
        <v/>
      </c>
      <c r="P38" s="199">
        <v>4700021276</v>
      </c>
      <c r="Q38" s="199">
        <v>1000079748</v>
      </c>
      <c r="R38" s="200">
        <f t="shared" si="0"/>
        <v>0.22721019707941126</v>
      </c>
      <c r="S38" s="231"/>
    </row>
    <row r="39" spans="1:19" ht="18.75" customHeight="1" x14ac:dyDescent="0.2">
      <c r="A39" s="194">
        <v>30</v>
      </c>
      <c r="B39" s="202">
        <v>994860011</v>
      </c>
      <c r="C39" s="127">
        <v>46097</v>
      </c>
      <c r="D39" s="127"/>
      <c r="E39" s="196" t="s">
        <v>242</v>
      </c>
      <c r="F39" s="199" t="s">
        <v>281</v>
      </c>
      <c r="G39" s="198">
        <v>26220</v>
      </c>
      <c r="H39" s="198"/>
      <c r="I39" s="198">
        <f t="shared" si="1"/>
        <v>0</v>
      </c>
      <c r="J39" s="135">
        <f t="shared" si="2"/>
        <v>26220</v>
      </c>
      <c r="K39" s="135">
        <f t="shared" si="3"/>
        <v>26220</v>
      </c>
      <c r="L39" s="135">
        <f t="shared" si="6"/>
        <v>1095822</v>
      </c>
      <c r="M39" s="230" t="s">
        <v>334</v>
      </c>
      <c r="N39" s="52" t="str">
        <f t="shared" si="4"/>
        <v/>
      </c>
      <c r="O39" s="52" t="str">
        <f t="shared" si="5"/>
        <v/>
      </c>
      <c r="P39" s="199">
        <v>4700021279</v>
      </c>
      <c r="Q39" s="199">
        <v>1000079767</v>
      </c>
      <c r="R39" s="200">
        <f t="shared" si="0"/>
        <v>0.23277998038892467</v>
      </c>
      <c r="S39" s="231"/>
    </row>
    <row r="40" spans="1:19" ht="18.75" customHeight="1" x14ac:dyDescent="0.2">
      <c r="A40" s="194">
        <v>31</v>
      </c>
      <c r="B40" s="202">
        <v>994860039</v>
      </c>
      <c r="C40" s="127">
        <v>46098</v>
      </c>
      <c r="D40" s="127"/>
      <c r="E40" s="196" t="s">
        <v>274</v>
      </c>
      <c r="F40" s="199" t="s">
        <v>282</v>
      </c>
      <c r="G40" s="198">
        <v>5940</v>
      </c>
      <c r="H40" s="198"/>
      <c r="I40" s="198">
        <f t="shared" si="1"/>
        <v>0</v>
      </c>
      <c r="J40" s="135">
        <f t="shared" si="2"/>
        <v>5940</v>
      </c>
      <c r="K40" s="135">
        <f t="shared" si="3"/>
        <v>5940</v>
      </c>
      <c r="L40" s="135">
        <f t="shared" si="6"/>
        <v>1101762</v>
      </c>
      <c r="M40" s="230" t="s">
        <v>334</v>
      </c>
      <c r="N40" s="52" t="str">
        <f t="shared" si="4"/>
        <v/>
      </c>
      <c r="O40" s="52" t="str">
        <f t="shared" si="5"/>
        <v/>
      </c>
      <c r="P40" s="199">
        <v>4700021367</v>
      </c>
      <c r="Q40" s="199">
        <v>1000080097</v>
      </c>
      <c r="R40" s="200">
        <f t="shared" si="0"/>
        <v>0.23404178484577096</v>
      </c>
      <c r="S40" s="231"/>
    </row>
    <row r="41" spans="1:19" ht="18.75" customHeight="1" x14ac:dyDescent="0.2">
      <c r="A41" s="194">
        <v>32</v>
      </c>
      <c r="B41" s="202">
        <v>994860040</v>
      </c>
      <c r="C41" s="127">
        <v>46126</v>
      </c>
      <c r="D41" s="127"/>
      <c r="E41" s="196" t="s">
        <v>274</v>
      </c>
      <c r="F41" s="199" t="s">
        <v>283</v>
      </c>
      <c r="G41" s="198">
        <v>10150</v>
      </c>
      <c r="H41" s="198"/>
      <c r="I41" s="198">
        <f t="shared" si="1"/>
        <v>0</v>
      </c>
      <c r="J41" s="135">
        <f t="shared" si="2"/>
        <v>10150</v>
      </c>
      <c r="K41" s="135">
        <f t="shared" si="3"/>
        <v>10150</v>
      </c>
      <c r="L41" s="135">
        <f t="shared" si="6"/>
        <v>1111912</v>
      </c>
      <c r="M41" s="230" t="s">
        <v>334</v>
      </c>
      <c r="N41" s="52" t="str">
        <f t="shared" si="4"/>
        <v/>
      </c>
      <c r="O41" s="52" t="str">
        <f t="shared" si="5"/>
        <v/>
      </c>
      <c r="P41" s="199">
        <v>4700021859</v>
      </c>
      <c r="Q41" s="199">
        <v>1000081815</v>
      </c>
      <c r="R41" s="200">
        <f t="shared" si="0"/>
        <v>0.23619789852203188</v>
      </c>
      <c r="S41" s="231"/>
    </row>
    <row r="42" spans="1:19" ht="18.75" customHeight="1" x14ac:dyDescent="0.2">
      <c r="A42" s="194">
        <v>33</v>
      </c>
      <c r="B42" s="202">
        <v>994860195</v>
      </c>
      <c r="C42" s="127">
        <v>46142</v>
      </c>
      <c r="D42" s="127"/>
      <c r="E42" s="196" t="s">
        <v>243</v>
      </c>
      <c r="F42" s="199" t="s">
        <v>285</v>
      </c>
      <c r="G42" s="198">
        <v>80252.5</v>
      </c>
      <c r="H42" s="198"/>
      <c r="I42" s="198">
        <f t="shared" si="1"/>
        <v>0</v>
      </c>
      <c r="J42" s="135">
        <f t="shared" si="2"/>
        <v>80252.5</v>
      </c>
      <c r="K42" s="135">
        <f t="shared" si="3"/>
        <v>80252.5</v>
      </c>
      <c r="L42" s="135">
        <f t="shared" si="6"/>
        <v>1192164.5</v>
      </c>
      <c r="M42" s="230" t="s">
        <v>334</v>
      </c>
      <c r="N42" s="52" t="str">
        <f t="shared" si="4"/>
        <v/>
      </c>
      <c r="O42" s="52" t="str">
        <f t="shared" si="5"/>
        <v/>
      </c>
      <c r="P42" s="199">
        <v>4700022146</v>
      </c>
      <c r="Q42" s="199">
        <v>1000082905</v>
      </c>
      <c r="R42" s="200">
        <f t="shared" ref="R42:R66" si="7">L42/4707544</f>
        <v>0.25324553525150267</v>
      </c>
      <c r="S42" s="231"/>
    </row>
    <row r="43" spans="1:19" ht="18.75" customHeight="1" x14ac:dyDescent="0.2">
      <c r="A43" s="194">
        <v>34</v>
      </c>
      <c r="B43" s="195">
        <v>994860151</v>
      </c>
      <c r="C43" s="127">
        <v>46146</v>
      </c>
      <c r="D43" s="127"/>
      <c r="E43" s="196" t="s">
        <v>130</v>
      </c>
      <c r="F43" s="199" t="s">
        <v>284</v>
      </c>
      <c r="G43" s="198">
        <v>4098</v>
      </c>
      <c r="H43" s="198"/>
      <c r="I43" s="198">
        <f t="shared" si="1"/>
        <v>0</v>
      </c>
      <c r="J43" s="135">
        <f t="shared" si="2"/>
        <v>4098</v>
      </c>
      <c r="K43" s="135">
        <f t="shared" si="3"/>
        <v>4098</v>
      </c>
      <c r="L43" s="135">
        <f t="shared" si="6"/>
        <v>1196262.5</v>
      </c>
      <c r="M43" s="230" t="s">
        <v>334</v>
      </c>
      <c r="N43" s="52" t="str">
        <f t="shared" si="4"/>
        <v/>
      </c>
      <c r="O43" s="52" t="str">
        <f t="shared" si="5"/>
        <v/>
      </c>
      <c r="P43" s="199">
        <v>4700022234</v>
      </c>
      <c r="Q43" s="199">
        <v>1000083164</v>
      </c>
      <c r="R43" s="200">
        <f t="shared" si="7"/>
        <v>0.254116052871731</v>
      </c>
      <c r="S43" s="231"/>
    </row>
    <row r="44" spans="1:19" ht="18.75" customHeight="1" x14ac:dyDescent="0.2">
      <c r="A44" s="203">
        <v>35</v>
      </c>
      <c r="B44" s="210">
        <v>994860152</v>
      </c>
      <c r="C44" s="169">
        <v>46162</v>
      </c>
      <c r="D44" s="169"/>
      <c r="E44" s="205" t="s">
        <v>242</v>
      </c>
      <c r="F44" s="206" t="s">
        <v>287</v>
      </c>
      <c r="G44" s="207">
        <v>107060</v>
      </c>
      <c r="H44" s="198"/>
      <c r="I44" s="198">
        <f t="shared" si="1"/>
        <v>0</v>
      </c>
      <c r="J44" s="135">
        <f t="shared" si="2"/>
        <v>107060</v>
      </c>
      <c r="K44" s="135">
        <f t="shared" si="3"/>
        <v>107060</v>
      </c>
      <c r="L44" s="135">
        <f t="shared" si="6"/>
        <v>1303322.5</v>
      </c>
      <c r="M44" s="230" t="s">
        <v>334</v>
      </c>
      <c r="N44" s="52" t="str">
        <f t="shared" si="4"/>
        <v/>
      </c>
      <c r="O44" s="52" t="str">
        <f t="shared" si="5"/>
        <v/>
      </c>
      <c r="P44" s="199">
        <v>4700022531</v>
      </c>
      <c r="Q44" s="199">
        <v>1000084434</v>
      </c>
      <c r="R44" s="200">
        <f t="shared" si="7"/>
        <v>0.27685827259394707</v>
      </c>
      <c r="S44" s="231"/>
    </row>
    <row r="45" spans="1:19" ht="18.75" customHeight="1" x14ac:dyDescent="0.2">
      <c r="A45" s="194">
        <v>36</v>
      </c>
      <c r="B45" s="195">
        <v>994860199</v>
      </c>
      <c r="C45" s="127">
        <v>46162</v>
      </c>
      <c r="D45" s="127"/>
      <c r="E45" s="196" t="s">
        <v>288</v>
      </c>
      <c r="F45" s="199" t="s">
        <v>278</v>
      </c>
      <c r="G45" s="198">
        <v>30340</v>
      </c>
      <c r="H45" s="198"/>
      <c r="I45" s="198">
        <f t="shared" si="1"/>
        <v>0</v>
      </c>
      <c r="J45" s="135">
        <f t="shared" si="2"/>
        <v>30340</v>
      </c>
      <c r="K45" s="135">
        <f t="shared" si="3"/>
        <v>30340</v>
      </c>
      <c r="L45" s="135">
        <f t="shared" si="6"/>
        <v>1333662.5</v>
      </c>
      <c r="M45" s="230" t="s">
        <v>334</v>
      </c>
      <c r="N45" s="52" t="str">
        <f t="shared" si="4"/>
        <v/>
      </c>
      <c r="O45" s="52" t="str">
        <f t="shared" si="5"/>
        <v/>
      </c>
      <c r="P45" s="199">
        <v>4700022517</v>
      </c>
      <c r="Q45" s="199">
        <v>1000084381</v>
      </c>
      <c r="R45" s="200">
        <f t="shared" si="7"/>
        <v>0.28330324687352898</v>
      </c>
      <c r="S45" s="231"/>
    </row>
    <row r="46" spans="1:19" ht="18.75" customHeight="1" x14ac:dyDescent="0.2">
      <c r="A46" s="194">
        <v>37</v>
      </c>
      <c r="B46" s="195">
        <v>994860226</v>
      </c>
      <c r="C46" s="127">
        <v>46162</v>
      </c>
      <c r="D46" s="127"/>
      <c r="E46" s="196" t="s">
        <v>288</v>
      </c>
      <c r="F46" s="199" t="s">
        <v>287</v>
      </c>
      <c r="G46" s="198">
        <v>39250</v>
      </c>
      <c r="H46" s="198"/>
      <c r="I46" s="198">
        <f t="shared" si="1"/>
        <v>0</v>
      </c>
      <c r="J46" s="135">
        <f t="shared" si="2"/>
        <v>39250</v>
      </c>
      <c r="K46" s="135">
        <f t="shared" si="3"/>
        <v>39250</v>
      </c>
      <c r="L46" s="135">
        <f t="shared" si="6"/>
        <v>1372912.5</v>
      </c>
      <c r="M46" s="230" t="s">
        <v>334</v>
      </c>
      <c r="N46" s="52" t="str">
        <f t="shared" si="4"/>
        <v/>
      </c>
      <c r="O46" s="52" t="str">
        <f t="shared" si="5"/>
        <v/>
      </c>
      <c r="P46" s="199">
        <v>4700022550</v>
      </c>
      <c r="Q46" s="199">
        <v>1000084527</v>
      </c>
      <c r="R46" s="200">
        <f t="shared" si="7"/>
        <v>0.29164092783838025</v>
      </c>
      <c r="S46" s="231"/>
    </row>
    <row r="47" spans="1:19" ht="18.75" customHeight="1" x14ac:dyDescent="0.2">
      <c r="A47" s="194">
        <v>38</v>
      </c>
      <c r="B47" s="195">
        <v>994860264</v>
      </c>
      <c r="C47" s="127">
        <v>46162</v>
      </c>
      <c r="D47" s="127"/>
      <c r="E47" s="196" t="s">
        <v>288</v>
      </c>
      <c r="F47" s="199" t="s">
        <v>289</v>
      </c>
      <c r="G47" s="198">
        <v>4825</v>
      </c>
      <c r="H47" s="198"/>
      <c r="I47" s="198">
        <f t="shared" si="1"/>
        <v>0</v>
      </c>
      <c r="J47" s="135">
        <f t="shared" si="2"/>
        <v>4825</v>
      </c>
      <c r="K47" s="135">
        <f t="shared" si="3"/>
        <v>4825</v>
      </c>
      <c r="L47" s="135">
        <f t="shared" si="6"/>
        <v>1377737.5</v>
      </c>
      <c r="M47" s="230" t="s">
        <v>334</v>
      </c>
      <c r="N47" s="52" t="str">
        <f t="shared" si="4"/>
        <v/>
      </c>
      <c r="O47" s="52" t="str">
        <f t="shared" si="5"/>
        <v/>
      </c>
      <c r="P47" s="199">
        <v>4700022551</v>
      </c>
      <c r="Q47" s="199">
        <v>1000084530</v>
      </c>
      <c r="R47" s="200">
        <f t="shared" si="7"/>
        <v>0.29266587842832698</v>
      </c>
      <c r="S47" s="231"/>
    </row>
    <row r="48" spans="1:19" ht="18.75" customHeight="1" x14ac:dyDescent="0.2">
      <c r="A48" s="194">
        <v>39</v>
      </c>
      <c r="B48" s="195">
        <v>994860265</v>
      </c>
      <c r="C48" s="127">
        <v>46162</v>
      </c>
      <c r="D48" s="127"/>
      <c r="E48" s="196" t="s">
        <v>288</v>
      </c>
      <c r="F48" s="199" t="s">
        <v>290</v>
      </c>
      <c r="G48" s="198">
        <v>2772</v>
      </c>
      <c r="H48" s="198"/>
      <c r="I48" s="198">
        <f t="shared" si="1"/>
        <v>0</v>
      </c>
      <c r="J48" s="135">
        <f t="shared" si="2"/>
        <v>2772</v>
      </c>
      <c r="K48" s="135">
        <f t="shared" si="3"/>
        <v>2772</v>
      </c>
      <c r="L48" s="135">
        <f t="shared" si="6"/>
        <v>1380509.5</v>
      </c>
      <c r="M48" s="230" t="s">
        <v>334</v>
      </c>
      <c r="N48" s="52" t="str">
        <f t="shared" si="4"/>
        <v/>
      </c>
      <c r="O48" s="52" t="str">
        <f t="shared" si="5"/>
        <v/>
      </c>
      <c r="P48" s="199">
        <v>4700022552</v>
      </c>
      <c r="Q48" s="199">
        <v>1000084532</v>
      </c>
      <c r="R48" s="200">
        <f t="shared" si="7"/>
        <v>0.29325472050818857</v>
      </c>
      <c r="S48" s="231"/>
    </row>
    <row r="49" spans="1:19" ht="18.75" customHeight="1" x14ac:dyDescent="0.2">
      <c r="A49" s="194">
        <v>40</v>
      </c>
      <c r="B49" s="195">
        <v>994860291</v>
      </c>
      <c r="C49" s="127">
        <v>46175</v>
      </c>
      <c r="D49" s="127"/>
      <c r="E49" s="196" t="s">
        <v>292</v>
      </c>
      <c r="F49" s="199" t="s">
        <v>293</v>
      </c>
      <c r="G49" s="198">
        <v>52932.5</v>
      </c>
      <c r="H49" s="229">
        <v>16</v>
      </c>
      <c r="I49" s="198">
        <f t="shared" si="1"/>
        <v>8469.2000000000007</v>
      </c>
      <c r="J49" s="135">
        <f t="shared" si="2"/>
        <v>61401.7</v>
      </c>
      <c r="K49" s="135">
        <f t="shared" si="3"/>
        <v>61401.7</v>
      </c>
      <c r="L49" s="135">
        <f t="shared" si="6"/>
        <v>1441911.2</v>
      </c>
      <c r="M49" s="230" t="s">
        <v>334</v>
      </c>
      <c r="N49" s="52" t="str">
        <f t="shared" si="4"/>
        <v>Q4</v>
      </c>
      <c r="O49" s="52">
        <f t="shared" si="5"/>
        <v>2026</v>
      </c>
      <c r="P49" s="199">
        <v>4700022555</v>
      </c>
      <c r="Q49" s="199">
        <v>1000084565</v>
      </c>
      <c r="R49" s="200">
        <f t="shared" si="7"/>
        <v>0.30629797618460919</v>
      </c>
      <c r="S49" s="231">
        <v>46189</v>
      </c>
    </row>
    <row r="50" spans="1:19" ht="25.5" customHeight="1" x14ac:dyDescent="0.2">
      <c r="A50" s="194">
        <v>41</v>
      </c>
      <c r="B50" s="195">
        <v>994860292</v>
      </c>
      <c r="C50" s="127">
        <v>46175</v>
      </c>
      <c r="D50" s="127"/>
      <c r="E50" s="196" t="s">
        <v>292</v>
      </c>
      <c r="F50" s="199" t="s">
        <v>294</v>
      </c>
      <c r="G50" s="198">
        <v>5890</v>
      </c>
      <c r="H50" s="229">
        <v>16</v>
      </c>
      <c r="I50" s="198">
        <f t="shared" si="1"/>
        <v>942.4</v>
      </c>
      <c r="J50" s="135">
        <f t="shared" si="2"/>
        <v>6832.4</v>
      </c>
      <c r="K50" s="135">
        <f t="shared" si="3"/>
        <v>6832.4</v>
      </c>
      <c r="L50" s="135">
        <f t="shared" si="6"/>
        <v>1448743.5999999999</v>
      </c>
      <c r="M50" s="230" t="s">
        <v>334</v>
      </c>
      <c r="N50" s="52" t="str">
        <f t="shared" si="4"/>
        <v>Q4</v>
      </c>
      <c r="O50" s="52">
        <f t="shared" si="5"/>
        <v>2026</v>
      </c>
      <c r="P50" s="199">
        <v>4700022720</v>
      </c>
      <c r="Q50" s="199">
        <v>1000085295</v>
      </c>
      <c r="R50" s="200">
        <f t="shared" si="7"/>
        <v>0.30774934870497223</v>
      </c>
      <c r="S50" s="231">
        <v>46175</v>
      </c>
    </row>
    <row r="51" spans="1:19" ht="18.75" customHeight="1" x14ac:dyDescent="0.2">
      <c r="A51" s="194">
        <v>42</v>
      </c>
      <c r="B51" s="195">
        <v>994860361</v>
      </c>
      <c r="C51" s="127" t="s">
        <v>297</v>
      </c>
      <c r="D51" s="127"/>
      <c r="E51" s="196" t="s">
        <v>292</v>
      </c>
      <c r="F51" s="199" t="s">
        <v>298</v>
      </c>
      <c r="G51" s="198">
        <v>17670</v>
      </c>
      <c r="H51" s="229">
        <v>16</v>
      </c>
      <c r="I51" s="198">
        <f t="shared" si="1"/>
        <v>2827.2</v>
      </c>
      <c r="J51" s="135">
        <f t="shared" si="2"/>
        <v>20497.2</v>
      </c>
      <c r="K51" s="135">
        <f t="shared" si="3"/>
        <v>20497.2</v>
      </c>
      <c r="L51" s="135">
        <f t="shared" si="6"/>
        <v>1469240.7999999998</v>
      </c>
      <c r="M51" s="230" t="s">
        <v>334</v>
      </c>
      <c r="N51" s="52" t="str">
        <f t="shared" si="4"/>
        <v>Q4</v>
      </c>
      <c r="O51" s="52">
        <f t="shared" si="5"/>
        <v>2026</v>
      </c>
      <c r="P51" s="199">
        <v>4700023248</v>
      </c>
      <c r="Q51" s="199">
        <v>1000087375</v>
      </c>
      <c r="R51" s="211">
        <f t="shared" si="7"/>
        <v>0.31210346626606139</v>
      </c>
      <c r="S51" s="231">
        <v>46197</v>
      </c>
    </row>
    <row r="52" spans="1:19" ht="21.75" customHeight="1" x14ac:dyDescent="0.2">
      <c r="A52" s="203">
        <v>43</v>
      </c>
      <c r="B52" s="210">
        <v>994860317</v>
      </c>
      <c r="C52" s="127" t="s">
        <v>297</v>
      </c>
      <c r="D52" s="127"/>
      <c r="E52" s="196" t="s">
        <v>292</v>
      </c>
      <c r="F52" s="206" t="s">
        <v>299</v>
      </c>
      <c r="G52" s="207">
        <v>58805</v>
      </c>
      <c r="H52" s="229">
        <v>18</v>
      </c>
      <c r="I52" s="198">
        <f t="shared" si="1"/>
        <v>10584.9</v>
      </c>
      <c r="J52" s="135">
        <f t="shared" si="2"/>
        <v>69389.899999999994</v>
      </c>
      <c r="K52" s="135">
        <f t="shared" si="3"/>
        <v>69389.899999999994</v>
      </c>
      <c r="L52" s="135">
        <f t="shared" si="6"/>
        <v>1538630.6999999997</v>
      </c>
      <c r="M52" s="230" t="s">
        <v>334</v>
      </c>
      <c r="N52" s="52" t="str">
        <f t="shared" si="4"/>
        <v>Q4</v>
      </c>
      <c r="O52" s="52">
        <f t="shared" si="5"/>
        <v>2026</v>
      </c>
      <c r="P52" s="199">
        <v>4700023253</v>
      </c>
      <c r="Q52" s="199">
        <v>1000087388</v>
      </c>
      <c r="R52" s="211">
        <f t="shared" si="7"/>
        <v>0.32684361526944827</v>
      </c>
      <c r="S52" s="231">
        <v>46197</v>
      </c>
    </row>
    <row r="53" spans="1:19" ht="18.75" customHeight="1" x14ac:dyDescent="0.2">
      <c r="A53" s="194">
        <v>44</v>
      </c>
      <c r="B53" s="195">
        <v>994860146</v>
      </c>
      <c r="C53" s="127">
        <v>46203</v>
      </c>
      <c r="D53" s="127"/>
      <c r="E53" s="196" t="s">
        <v>242</v>
      </c>
      <c r="F53" s="199" t="s">
        <v>300</v>
      </c>
      <c r="G53" s="198">
        <v>45600</v>
      </c>
      <c r="H53" s="229">
        <v>15</v>
      </c>
      <c r="I53" s="198">
        <f t="shared" si="1"/>
        <v>6840</v>
      </c>
      <c r="J53" s="135">
        <f t="shared" si="2"/>
        <v>52440</v>
      </c>
      <c r="K53" s="135">
        <f t="shared" si="3"/>
        <v>52440</v>
      </c>
      <c r="L53" s="135">
        <f t="shared" si="6"/>
        <v>1591070.6999999997</v>
      </c>
      <c r="M53" s="230" t="s">
        <v>334</v>
      </c>
      <c r="N53" s="52" t="str">
        <f t="shared" si="4"/>
        <v>Q1</v>
      </c>
      <c r="O53" s="52">
        <f t="shared" si="5"/>
        <v>2026</v>
      </c>
      <c r="P53" s="199">
        <v>4700023511</v>
      </c>
      <c r="Q53" s="199">
        <v>1000088486</v>
      </c>
      <c r="R53" s="211">
        <f t="shared" si="7"/>
        <v>0.33798318188847509</v>
      </c>
      <c r="S53" s="231">
        <v>46209</v>
      </c>
    </row>
    <row r="54" spans="1:19" ht="18.75" customHeight="1" x14ac:dyDescent="0.2">
      <c r="A54" s="194">
        <v>45</v>
      </c>
      <c r="B54" s="195">
        <v>994860414</v>
      </c>
      <c r="C54" s="127">
        <v>46220</v>
      </c>
      <c r="D54" s="127"/>
      <c r="E54" s="196" t="s">
        <v>301</v>
      </c>
      <c r="F54" s="199" t="s">
        <v>302</v>
      </c>
      <c r="G54" s="198">
        <v>22197.5</v>
      </c>
      <c r="H54" s="229">
        <v>15</v>
      </c>
      <c r="I54" s="198">
        <f t="shared" si="1"/>
        <v>3329.625</v>
      </c>
      <c r="J54" s="135">
        <f t="shared" si="2"/>
        <v>25527.125</v>
      </c>
      <c r="K54" s="135">
        <f t="shared" si="3"/>
        <v>25527.125</v>
      </c>
      <c r="L54" s="135">
        <f t="shared" si="6"/>
        <v>1616597.8249999997</v>
      </c>
      <c r="M54" s="230" t="s">
        <v>334</v>
      </c>
      <c r="N54" s="52" t="str">
        <f t="shared" si="4"/>
        <v>Q1</v>
      </c>
      <c r="O54" s="52">
        <f t="shared" si="5"/>
        <v>2026</v>
      </c>
      <c r="P54" s="199">
        <v>4700023549</v>
      </c>
      <c r="Q54" s="199">
        <v>1000088496</v>
      </c>
      <c r="R54" s="211">
        <f t="shared" si="7"/>
        <v>0.34340578123114723</v>
      </c>
      <c r="S54" s="231">
        <v>46220</v>
      </c>
    </row>
    <row r="55" spans="1:19" ht="18.75" customHeight="1" x14ac:dyDescent="0.2">
      <c r="A55" s="194">
        <v>46</v>
      </c>
      <c r="B55" s="195">
        <v>994860413</v>
      </c>
      <c r="C55" s="127">
        <v>46220</v>
      </c>
      <c r="D55" s="127"/>
      <c r="E55" s="196" t="s">
        <v>292</v>
      </c>
      <c r="F55" s="199" t="s">
        <v>303</v>
      </c>
      <c r="G55" s="198">
        <v>5890</v>
      </c>
      <c r="H55" s="229">
        <v>16</v>
      </c>
      <c r="I55" s="198">
        <f t="shared" si="1"/>
        <v>942.4</v>
      </c>
      <c r="J55" s="135">
        <f t="shared" si="2"/>
        <v>6832.4</v>
      </c>
      <c r="K55" s="135">
        <f t="shared" si="3"/>
        <v>6832.4</v>
      </c>
      <c r="L55" s="135">
        <f t="shared" si="6"/>
        <v>1623430.2249999996</v>
      </c>
      <c r="M55" s="230" t="s">
        <v>334</v>
      </c>
      <c r="N55" s="52" t="str">
        <f t="shared" si="4"/>
        <v>Q1</v>
      </c>
      <c r="O55" s="52">
        <f t="shared" si="5"/>
        <v>2026</v>
      </c>
      <c r="P55" s="199">
        <v>4700023554</v>
      </c>
      <c r="Q55" s="199">
        <v>1000088510</v>
      </c>
      <c r="R55" s="211">
        <f t="shared" si="7"/>
        <v>0.34485715375151027</v>
      </c>
      <c r="S55" s="231">
        <v>46220</v>
      </c>
    </row>
    <row r="56" spans="1:19" ht="18.75" customHeight="1" x14ac:dyDescent="0.2">
      <c r="A56" s="194">
        <v>47</v>
      </c>
      <c r="B56" s="195">
        <v>994860411</v>
      </c>
      <c r="C56" s="127">
        <v>46203</v>
      </c>
      <c r="D56" s="127"/>
      <c r="E56" s="196" t="s">
        <v>301</v>
      </c>
      <c r="F56" s="199" t="s">
        <v>304</v>
      </c>
      <c r="G56" s="198">
        <v>3625</v>
      </c>
      <c r="H56" s="229">
        <v>18</v>
      </c>
      <c r="I56" s="198">
        <f t="shared" si="1"/>
        <v>652.5</v>
      </c>
      <c r="J56" s="135">
        <f t="shared" si="2"/>
        <v>4277.5</v>
      </c>
      <c r="K56" s="135">
        <f t="shared" si="3"/>
        <v>4277.5</v>
      </c>
      <c r="L56" s="135">
        <f t="shared" si="6"/>
        <v>1627707.7249999996</v>
      </c>
      <c r="M56" s="230" t="s">
        <v>334</v>
      </c>
      <c r="N56" s="52" t="str">
        <f t="shared" si="4"/>
        <v>Q1</v>
      </c>
      <c r="O56" s="52">
        <f t="shared" si="5"/>
        <v>2026</v>
      </c>
      <c r="P56" s="199">
        <v>4700023552</v>
      </c>
      <c r="Q56" s="199">
        <v>1000088507</v>
      </c>
      <c r="R56" s="211">
        <f t="shared" si="7"/>
        <v>0.34576580165793452</v>
      </c>
      <c r="S56" s="231">
        <v>46253</v>
      </c>
    </row>
    <row r="57" spans="1:19" s="167" customFormat="1" ht="18.75" customHeight="1" x14ac:dyDescent="0.2">
      <c r="A57" s="203">
        <v>48</v>
      </c>
      <c r="B57" s="210">
        <v>994860415</v>
      </c>
      <c r="C57" s="169">
        <v>46220</v>
      </c>
      <c r="D57" s="169"/>
      <c r="E57" s="205" t="s">
        <v>313</v>
      </c>
      <c r="F57" s="206" t="s">
        <v>305</v>
      </c>
      <c r="G57" s="207">
        <v>42687.5</v>
      </c>
      <c r="H57" s="229">
        <v>16</v>
      </c>
      <c r="I57" s="198">
        <f t="shared" si="1"/>
        <v>6830</v>
      </c>
      <c r="J57" s="135">
        <f t="shared" si="2"/>
        <v>49517.5</v>
      </c>
      <c r="K57" s="135">
        <f t="shared" si="3"/>
        <v>49517.5</v>
      </c>
      <c r="L57" s="135">
        <f t="shared" si="6"/>
        <v>1677225.2249999996</v>
      </c>
      <c r="M57" s="230" t="s">
        <v>334</v>
      </c>
      <c r="N57" s="52" t="str">
        <f t="shared" si="4"/>
        <v>Q1</v>
      </c>
      <c r="O57" s="52">
        <f t="shared" si="5"/>
        <v>2026</v>
      </c>
      <c r="P57" s="199">
        <v>4700023556</v>
      </c>
      <c r="Q57" s="199">
        <v>1000088511</v>
      </c>
      <c r="R57" s="211">
        <f t="shared" si="7"/>
        <v>0.35628455623569311</v>
      </c>
      <c r="S57" s="231">
        <v>46220</v>
      </c>
    </row>
    <row r="58" spans="1:19" s="167" customFormat="1" ht="18.75" customHeight="1" x14ac:dyDescent="0.2">
      <c r="A58" s="203">
        <v>49</v>
      </c>
      <c r="B58" s="210">
        <v>994860410</v>
      </c>
      <c r="C58" s="169">
        <v>46220</v>
      </c>
      <c r="D58" s="169"/>
      <c r="E58" s="205" t="s">
        <v>292</v>
      </c>
      <c r="F58" s="206" t="s">
        <v>306</v>
      </c>
      <c r="G58" s="207">
        <v>228000</v>
      </c>
      <c r="H58" s="229">
        <v>18</v>
      </c>
      <c r="I58" s="198">
        <f t="shared" si="1"/>
        <v>41040</v>
      </c>
      <c r="J58" s="135">
        <f t="shared" si="2"/>
        <v>269040</v>
      </c>
      <c r="K58" s="135">
        <f t="shared" si="3"/>
        <v>269040</v>
      </c>
      <c r="L58" s="135">
        <f t="shared" si="6"/>
        <v>1946265.2249999996</v>
      </c>
      <c r="M58" s="230" t="s">
        <v>334</v>
      </c>
      <c r="N58" s="52" t="str">
        <f t="shared" si="4"/>
        <v>Q1</v>
      </c>
      <c r="O58" s="52">
        <f t="shared" si="5"/>
        <v>2026</v>
      </c>
      <c r="P58" s="199">
        <v>4700023560</v>
      </c>
      <c r="Q58" s="199">
        <v>1000088515</v>
      </c>
      <c r="R58" s="211">
        <f t="shared" si="7"/>
        <v>0.41343537628113503</v>
      </c>
      <c r="S58" s="231">
        <v>46220</v>
      </c>
    </row>
    <row r="59" spans="1:19" ht="18.75" customHeight="1" x14ac:dyDescent="0.2">
      <c r="A59" s="203">
        <v>50</v>
      </c>
      <c r="B59" s="210">
        <v>994860412</v>
      </c>
      <c r="C59" s="169">
        <v>46203</v>
      </c>
      <c r="D59" s="169"/>
      <c r="E59" s="205" t="s">
        <v>301</v>
      </c>
      <c r="F59" s="206" t="s">
        <v>307</v>
      </c>
      <c r="G59" s="207">
        <v>2475</v>
      </c>
      <c r="H59" s="229">
        <v>18</v>
      </c>
      <c r="I59" s="198">
        <f t="shared" si="1"/>
        <v>445.5</v>
      </c>
      <c r="J59" s="135">
        <f t="shared" si="2"/>
        <v>2920.5</v>
      </c>
      <c r="K59" s="135">
        <f t="shared" si="3"/>
        <v>2920.5</v>
      </c>
      <c r="L59" s="135">
        <f t="shared" si="6"/>
        <v>1949185.7249999996</v>
      </c>
      <c r="M59" s="230" t="s">
        <v>334</v>
      </c>
      <c r="N59" s="52" t="str">
        <f t="shared" si="4"/>
        <v>Q1</v>
      </c>
      <c r="O59" s="52">
        <f t="shared" si="5"/>
        <v>2026</v>
      </c>
      <c r="P59" s="199">
        <v>4700023591</v>
      </c>
      <c r="Q59" s="199">
        <v>1000088710</v>
      </c>
      <c r="R59" s="211">
        <f t="shared" si="7"/>
        <v>0.41405576347241779</v>
      </c>
      <c r="S59" s="231">
        <v>46255</v>
      </c>
    </row>
    <row r="60" spans="1:19" ht="18.75" customHeight="1" x14ac:dyDescent="0.2">
      <c r="A60" s="203">
        <v>51</v>
      </c>
      <c r="B60" s="210">
        <v>994860515</v>
      </c>
      <c r="C60" s="214">
        <v>46251</v>
      </c>
      <c r="D60" s="214"/>
      <c r="E60" s="205" t="s">
        <v>314</v>
      </c>
      <c r="F60" s="199" t="s">
        <v>315</v>
      </c>
      <c r="G60" s="198">
        <v>22197.5</v>
      </c>
      <c r="H60" s="198"/>
      <c r="I60" s="198">
        <f t="shared" si="1"/>
        <v>0</v>
      </c>
      <c r="J60" s="135">
        <f t="shared" si="2"/>
        <v>22197.5</v>
      </c>
      <c r="K60" s="135">
        <f t="shared" si="3"/>
        <v>22197.5</v>
      </c>
      <c r="L60" s="135">
        <f t="shared" si="6"/>
        <v>1971383.2249999996</v>
      </c>
      <c r="M60" s="230" t="s">
        <v>334</v>
      </c>
      <c r="N60" s="52" t="str">
        <f t="shared" si="4"/>
        <v/>
      </c>
      <c r="O60" s="52" t="str">
        <f t="shared" si="5"/>
        <v/>
      </c>
      <c r="P60" s="199">
        <v>4700024492</v>
      </c>
      <c r="Q60" s="199">
        <v>1000091980</v>
      </c>
      <c r="R60" s="211">
        <f t="shared" si="7"/>
        <v>0.41877106724865443</v>
      </c>
      <c r="S60" s="231"/>
    </row>
    <row r="61" spans="1:19" ht="18.75" customHeight="1" x14ac:dyDescent="0.2">
      <c r="A61" s="203">
        <v>52</v>
      </c>
      <c r="B61" s="210">
        <v>994860514</v>
      </c>
      <c r="C61" s="169">
        <v>46251</v>
      </c>
      <c r="D61" s="169"/>
      <c r="E61" s="196" t="s">
        <v>292</v>
      </c>
      <c r="F61" s="199" t="s">
        <v>316</v>
      </c>
      <c r="G61" s="198">
        <v>31900</v>
      </c>
      <c r="H61" s="229">
        <v>18</v>
      </c>
      <c r="I61" s="198">
        <f t="shared" si="1"/>
        <v>5742</v>
      </c>
      <c r="J61" s="135">
        <f t="shared" si="2"/>
        <v>37642</v>
      </c>
      <c r="K61" s="135">
        <f t="shared" si="3"/>
        <v>37642</v>
      </c>
      <c r="L61" s="135">
        <f t="shared" si="6"/>
        <v>2009025.2249999996</v>
      </c>
      <c r="M61" s="230" t="s">
        <v>334</v>
      </c>
      <c r="N61" s="52" t="str">
        <f t="shared" si="4"/>
        <v>Q1</v>
      </c>
      <c r="O61" s="52">
        <f t="shared" si="5"/>
        <v>2026</v>
      </c>
      <c r="P61" s="199">
        <v>4700024496</v>
      </c>
      <c r="Q61" s="199">
        <v>1000092009</v>
      </c>
      <c r="R61" s="211">
        <f t="shared" si="7"/>
        <v>0.42676716882518773</v>
      </c>
      <c r="S61" s="231">
        <v>46255</v>
      </c>
    </row>
    <row r="62" spans="1:19" ht="18.75" customHeight="1" x14ac:dyDescent="0.2">
      <c r="A62" s="203">
        <v>53</v>
      </c>
      <c r="B62" s="210">
        <v>994860513</v>
      </c>
      <c r="C62" s="169">
        <v>46251</v>
      </c>
      <c r="D62" s="169"/>
      <c r="E62" s="196" t="s">
        <v>313</v>
      </c>
      <c r="F62" s="199" t="s">
        <v>317</v>
      </c>
      <c r="G62" s="198">
        <v>4590</v>
      </c>
      <c r="H62" s="229">
        <v>18</v>
      </c>
      <c r="I62" s="198">
        <f t="shared" si="1"/>
        <v>826.2</v>
      </c>
      <c r="J62" s="135">
        <f t="shared" si="2"/>
        <v>5416.2</v>
      </c>
      <c r="K62" s="135">
        <f t="shared" si="3"/>
        <v>5416.2</v>
      </c>
      <c r="L62" s="135">
        <f t="shared" si="6"/>
        <v>2014441.4249999996</v>
      </c>
      <c r="M62" s="230" t="s">
        <v>334</v>
      </c>
      <c r="N62" s="52" t="str">
        <f t="shared" si="4"/>
        <v>Q1</v>
      </c>
      <c r="O62" s="52">
        <f t="shared" si="5"/>
        <v>2026</v>
      </c>
      <c r="P62" s="199">
        <v>4700024499</v>
      </c>
      <c r="Q62" s="199">
        <v>1000092017</v>
      </c>
      <c r="R62" s="211">
        <f t="shared" si="7"/>
        <v>0.42791770507083937</v>
      </c>
      <c r="S62" s="231">
        <v>46255</v>
      </c>
    </row>
    <row r="63" spans="1:19" ht="18.75" customHeight="1" x14ac:dyDescent="0.2">
      <c r="A63" s="203">
        <v>54</v>
      </c>
      <c r="B63" s="210">
        <v>994860516</v>
      </c>
      <c r="C63" s="169">
        <v>46252</v>
      </c>
      <c r="D63" s="169"/>
      <c r="E63" s="196" t="s">
        <v>314</v>
      </c>
      <c r="F63" s="199" t="s">
        <v>299</v>
      </c>
      <c r="G63" s="198">
        <v>41600</v>
      </c>
      <c r="H63" s="198"/>
      <c r="I63" s="198">
        <f t="shared" si="1"/>
        <v>0</v>
      </c>
      <c r="J63" s="135">
        <f t="shared" si="2"/>
        <v>41600</v>
      </c>
      <c r="K63" s="135">
        <f t="shared" si="3"/>
        <v>41600</v>
      </c>
      <c r="L63" s="135">
        <f t="shared" si="6"/>
        <v>2056041.4249999996</v>
      </c>
      <c r="M63" s="230" t="s">
        <v>334</v>
      </c>
      <c r="N63" s="52" t="str">
        <f t="shared" si="4"/>
        <v/>
      </c>
      <c r="O63" s="52" t="str">
        <f t="shared" si="5"/>
        <v/>
      </c>
      <c r="P63" s="199">
        <v>4700024512</v>
      </c>
      <c r="Q63" s="199">
        <v>1000092067</v>
      </c>
      <c r="R63" s="200">
        <f t="shared" si="7"/>
        <v>0.43675458476861811</v>
      </c>
      <c r="S63" s="231"/>
    </row>
    <row r="64" spans="1:19" ht="18.75" customHeight="1" x14ac:dyDescent="0.2">
      <c r="A64" s="203">
        <v>55</v>
      </c>
      <c r="B64" s="210">
        <v>994860593</v>
      </c>
      <c r="C64" s="169">
        <v>46276</v>
      </c>
      <c r="D64" s="169"/>
      <c r="E64" s="196" t="s">
        <v>314</v>
      </c>
      <c r="F64" s="199" t="s">
        <v>321</v>
      </c>
      <c r="G64" s="198">
        <v>58175</v>
      </c>
      <c r="H64" s="198">
        <v>18</v>
      </c>
      <c r="I64" s="198">
        <f t="shared" si="1"/>
        <v>10471.5</v>
      </c>
      <c r="J64" s="135">
        <f t="shared" si="2"/>
        <v>68646.5</v>
      </c>
      <c r="K64" s="135">
        <f t="shared" si="3"/>
        <v>68646.5</v>
      </c>
      <c r="L64" s="135">
        <f t="shared" si="6"/>
        <v>2124687.9249999998</v>
      </c>
      <c r="M64" s="230" t="s">
        <v>334</v>
      </c>
      <c r="N64" s="52" t="str">
        <f t="shared" si="4"/>
        <v>Q1</v>
      </c>
      <c r="O64" s="52">
        <f t="shared" si="5"/>
        <v>2026</v>
      </c>
      <c r="P64" s="199">
        <v>4700024982</v>
      </c>
      <c r="Q64" s="199">
        <v>1000094006</v>
      </c>
      <c r="R64" s="200">
        <f t="shared" si="7"/>
        <v>0.4513368170324058</v>
      </c>
      <c r="S64" s="231">
        <v>46280</v>
      </c>
    </row>
    <row r="65" spans="1:19" ht="18.75" customHeight="1" x14ac:dyDescent="0.2">
      <c r="A65" s="203">
        <v>56</v>
      </c>
      <c r="B65" s="210">
        <v>994860594</v>
      </c>
      <c r="C65" s="169">
        <v>46276</v>
      </c>
      <c r="D65" s="169"/>
      <c r="E65" s="196" t="s">
        <v>292</v>
      </c>
      <c r="F65" s="199" t="s">
        <v>322</v>
      </c>
      <c r="G65" s="198">
        <v>5675</v>
      </c>
      <c r="H65" s="198">
        <v>18</v>
      </c>
      <c r="I65" s="198">
        <f t="shared" si="1"/>
        <v>1021.5</v>
      </c>
      <c r="J65" s="135">
        <f t="shared" si="2"/>
        <v>6696.5</v>
      </c>
      <c r="K65" s="135">
        <f t="shared" si="3"/>
        <v>6696.5</v>
      </c>
      <c r="L65" s="135">
        <f t="shared" si="6"/>
        <v>2131384.4249999998</v>
      </c>
      <c r="M65" s="230" t="s">
        <v>334</v>
      </c>
      <c r="N65" s="52" t="str">
        <f t="shared" si="4"/>
        <v>Q1</v>
      </c>
      <c r="O65" s="52">
        <f t="shared" si="5"/>
        <v>2026</v>
      </c>
      <c r="P65" s="199">
        <v>4700024983</v>
      </c>
      <c r="Q65" s="199">
        <v>1000094013</v>
      </c>
      <c r="R65" s="200">
        <f t="shared" si="7"/>
        <v>0.45275932099625621</v>
      </c>
      <c r="S65" s="231">
        <v>46280</v>
      </c>
    </row>
    <row r="66" spans="1:19" ht="18.75" customHeight="1" x14ac:dyDescent="0.2">
      <c r="A66" s="203">
        <v>57</v>
      </c>
      <c r="B66" s="210">
        <v>994860595</v>
      </c>
      <c r="C66" s="169">
        <v>46276</v>
      </c>
      <c r="D66" s="169"/>
      <c r="E66" s="196" t="s">
        <v>292</v>
      </c>
      <c r="F66" s="199" t="s">
        <v>323</v>
      </c>
      <c r="G66" s="198">
        <v>8180</v>
      </c>
      <c r="H66" s="198">
        <v>18</v>
      </c>
      <c r="I66" s="198">
        <f t="shared" si="1"/>
        <v>1472.4</v>
      </c>
      <c r="J66" s="135">
        <f t="shared" si="2"/>
        <v>9652.4</v>
      </c>
      <c r="K66" s="135">
        <f t="shared" si="3"/>
        <v>9652.4</v>
      </c>
      <c r="L66" s="135">
        <f t="shared" si="6"/>
        <v>2141036.8249999997</v>
      </c>
      <c r="M66" s="230" t="s">
        <v>334</v>
      </c>
      <c r="N66" s="52" t="str">
        <f t="shared" si="4"/>
        <v>Q1</v>
      </c>
      <c r="O66" s="52">
        <f t="shared" si="5"/>
        <v>2026</v>
      </c>
      <c r="P66" s="199">
        <v>4700024994</v>
      </c>
      <c r="Q66" s="199">
        <v>1000094064</v>
      </c>
      <c r="R66" s="200">
        <f t="shared" si="7"/>
        <v>0.45480973199613212</v>
      </c>
      <c r="S66" s="231">
        <v>46280</v>
      </c>
    </row>
    <row r="67" spans="1:19" ht="18.75" customHeight="1" x14ac:dyDescent="0.2">
      <c r="A67" s="203"/>
      <c r="B67" s="210"/>
      <c r="C67" s="169"/>
      <c r="D67" s="169"/>
      <c r="E67" s="196"/>
      <c r="F67" s="199"/>
      <c r="G67" s="198"/>
      <c r="H67" s="198"/>
      <c r="I67" s="198"/>
      <c r="J67" s="170"/>
      <c r="K67" s="135">
        <f t="shared" si="3"/>
        <v>0</v>
      </c>
      <c r="L67" s="135">
        <f t="shared" si="6"/>
        <v>2141036.8249999997</v>
      </c>
      <c r="M67" s="230" t="s">
        <v>334</v>
      </c>
      <c r="N67" s="52" t="str">
        <f t="shared" si="4"/>
        <v/>
      </c>
      <c r="O67" s="52" t="str">
        <f t="shared" si="5"/>
        <v/>
      </c>
      <c r="P67" s="199"/>
      <c r="Q67" s="199"/>
      <c r="R67" s="199"/>
      <c r="S67" s="199"/>
    </row>
    <row r="68" spans="1:19" ht="18.75" customHeight="1" x14ac:dyDescent="0.2">
      <c r="A68" s="126"/>
      <c r="B68" s="173"/>
      <c r="C68" s="172"/>
      <c r="D68" s="128"/>
      <c r="E68" s="129"/>
      <c r="F68" s="170"/>
      <c r="G68" s="171"/>
    </row>
    <row r="69" spans="1:19" ht="18.75" customHeight="1" x14ac:dyDescent="0.2">
      <c r="A69" s="126"/>
      <c r="B69" s="131"/>
      <c r="C69" s="127"/>
      <c r="D69" s="128"/>
      <c r="E69" s="129"/>
      <c r="F69" s="170"/>
      <c r="G69" s="171"/>
    </row>
    <row r="70" spans="1:19" ht="18.75" customHeight="1" x14ac:dyDescent="0.2">
      <c r="A70" s="126"/>
      <c r="B70" s="131"/>
      <c r="C70" s="127"/>
      <c r="D70" s="128"/>
      <c r="E70" s="129"/>
      <c r="F70" s="170"/>
      <c r="G70" s="171"/>
    </row>
    <row r="71" spans="1:19" ht="18.75" customHeight="1" x14ac:dyDescent="0.2">
      <c r="A71" s="126"/>
      <c r="B71" s="131"/>
      <c r="C71" s="127"/>
      <c r="D71" s="128"/>
      <c r="E71" s="129"/>
      <c r="F71" s="170"/>
      <c r="G71" s="171"/>
    </row>
    <row r="72" spans="1:19" ht="18.75" customHeight="1" x14ac:dyDescent="0.2">
      <c r="A72" s="126"/>
      <c r="B72" s="131"/>
      <c r="C72" s="127"/>
      <c r="D72" s="128"/>
      <c r="E72" s="129"/>
      <c r="F72" s="170"/>
      <c r="G72" s="171"/>
    </row>
    <row r="73" spans="1:19" ht="18.75" customHeight="1" x14ac:dyDescent="0.2">
      <c r="A73" s="126"/>
      <c r="B73" s="131"/>
      <c r="C73" s="127"/>
      <c r="D73" s="128"/>
      <c r="E73" s="129"/>
      <c r="F73" s="170"/>
      <c r="G73" s="171"/>
    </row>
    <row r="74" spans="1:19" ht="18.75" customHeight="1" x14ac:dyDescent="0.2">
      <c r="A74" s="126"/>
      <c r="B74" s="131"/>
      <c r="C74" s="127"/>
      <c r="D74" s="128"/>
      <c r="E74" s="129"/>
      <c r="F74" s="170"/>
      <c r="G74" s="171"/>
    </row>
    <row r="75" spans="1:19" ht="18.75" customHeight="1" x14ac:dyDescent="0.2">
      <c r="A75" s="126"/>
      <c r="B75" s="131"/>
      <c r="C75" s="127"/>
      <c r="D75" s="128"/>
      <c r="E75" s="129"/>
      <c r="F75" s="170"/>
      <c r="G75" s="171"/>
    </row>
    <row r="76" spans="1:19" ht="18.75" customHeight="1" x14ac:dyDescent="0.2">
      <c r="A76" s="126"/>
      <c r="B76" s="131"/>
      <c r="C76" s="127"/>
      <c r="D76" s="128"/>
      <c r="E76" s="129"/>
      <c r="F76" s="170"/>
      <c r="G76" s="171"/>
    </row>
    <row r="77" spans="1:19" ht="18.75" customHeight="1" x14ac:dyDescent="0.2">
      <c r="A77" s="126"/>
      <c r="B77" s="131"/>
      <c r="C77" s="127"/>
      <c r="D77" s="128"/>
      <c r="E77" s="129"/>
      <c r="F77" s="170"/>
      <c r="G77" s="171"/>
    </row>
    <row r="78" spans="1:19" ht="18.75" customHeight="1" x14ac:dyDescent="0.2">
      <c r="A78" s="126"/>
      <c r="B78" s="131"/>
      <c r="C78" s="127"/>
      <c r="D78" s="128"/>
      <c r="E78" s="129"/>
      <c r="F78" s="170"/>
      <c r="G78" s="171"/>
    </row>
    <row r="79" spans="1:19" ht="18.75" customHeight="1" x14ac:dyDescent="0.2">
      <c r="A79" s="126"/>
      <c r="B79" s="131"/>
      <c r="C79" s="127"/>
      <c r="D79" s="128"/>
      <c r="E79" s="129"/>
      <c r="F79" s="170"/>
      <c r="G79" s="171"/>
    </row>
    <row r="80" spans="1:19" ht="18.75" customHeight="1" x14ac:dyDescent="0.2">
      <c r="A80" s="126"/>
      <c r="B80" s="131"/>
      <c r="C80" s="127"/>
      <c r="D80" s="128"/>
      <c r="E80" s="129"/>
      <c r="F80" s="170"/>
      <c r="G80" s="171"/>
    </row>
    <row r="81" spans="1:7" ht="18.75" customHeight="1" x14ac:dyDescent="0.2">
      <c r="A81" s="126"/>
      <c r="B81" s="131"/>
      <c r="C81" s="127"/>
      <c r="D81" s="128"/>
      <c r="E81" s="129"/>
      <c r="F81" s="170"/>
      <c r="G81" s="171"/>
    </row>
    <row r="82" spans="1:7" ht="18.75" customHeight="1" x14ac:dyDescent="0.2">
      <c r="A82" s="126"/>
      <c r="B82" s="131"/>
      <c r="C82" s="127"/>
      <c r="D82" s="128"/>
      <c r="E82" s="129"/>
      <c r="F82" s="170"/>
      <c r="G82" s="171"/>
    </row>
    <row r="83" spans="1:7" ht="18.75" customHeight="1" x14ac:dyDescent="0.2">
      <c r="A83" s="126"/>
      <c r="B83" s="131"/>
      <c r="C83" s="127"/>
      <c r="D83" s="128"/>
      <c r="E83" s="129"/>
      <c r="F83" s="170"/>
      <c r="G83" s="171"/>
    </row>
    <row r="84" spans="1:7" ht="27" customHeight="1" x14ac:dyDescent="0.2">
      <c r="A84" s="126"/>
      <c r="B84" s="131"/>
      <c r="C84" s="127"/>
      <c r="D84" s="133"/>
      <c r="E84" s="129"/>
      <c r="F84" s="170"/>
      <c r="G84" s="171"/>
    </row>
    <row r="85" spans="1:7" ht="18.75" customHeight="1" x14ac:dyDescent="0.2">
      <c r="A85" s="126"/>
      <c r="B85" s="131"/>
      <c r="C85" s="127"/>
      <c r="D85" s="128"/>
      <c r="E85" s="129"/>
      <c r="F85" s="170"/>
      <c r="G85" s="171"/>
    </row>
    <row r="86" spans="1:7" ht="18.75" customHeight="1" x14ac:dyDescent="0.2">
      <c r="A86" s="126"/>
      <c r="B86" s="131"/>
      <c r="C86" s="127"/>
      <c r="D86" s="128"/>
      <c r="E86" s="129"/>
      <c r="F86" s="170"/>
      <c r="G86" s="171"/>
    </row>
    <row r="87" spans="1:7" ht="18.75" customHeight="1" x14ac:dyDescent="0.2">
      <c r="A87" s="126"/>
      <c r="B87" s="131"/>
      <c r="C87" s="127"/>
      <c r="D87" s="128"/>
      <c r="E87" s="129"/>
      <c r="F87" s="170"/>
      <c r="G87" s="171"/>
    </row>
    <row r="88" spans="1:7" ht="18.75" customHeight="1" x14ac:dyDescent="0.2">
      <c r="A88" s="126"/>
      <c r="B88" s="131"/>
      <c r="C88" s="127"/>
      <c r="D88" s="128"/>
      <c r="E88" s="129"/>
      <c r="F88" s="170"/>
      <c r="G88" s="171"/>
    </row>
    <row r="89" spans="1:7" ht="18.75" customHeight="1" x14ac:dyDescent="0.2">
      <c r="A89" s="126"/>
      <c r="B89" s="131"/>
      <c r="C89" s="127"/>
      <c r="D89" s="128"/>
      <c r="E89" s="129"/>
      <c r="F89" s="170"/>
      <c r="G89" s="171"/>
    </row>
    <row r="90" spans="1:7" ht="18.75" customHeight="1" x14ac:dyDescent="0.2">
      <c r="A90" s="126"/>
      <c r="B90" s="131"/>
      <c r="C90" s="127"/>
      <c r="D90" s="128"/>
      <c r="E90" s="129"/>
      <c r="F90" s="170"/>
      <c r="G90" s="171"/>
    </row>
    <row r="91" spans="1:7" ht="21.75" customHeight="1" x14ac:dyDescent="0.2">
      <c r="A91" s="126"/>
      <c r="B91" s="131"/>
      <c r="C91" s="127"/>
      <c r="D91" s="128"/>
      <c r="E91" s="129"/>
      <c r="F91" s="170"/>
      <c r="G91" s="171"/>
    </row>
    <row r="92" spans="1:7" ht="18.75" customHeight="1" x14ac:dyDescent="0.2">
      <c r="A92" s="126"/>
      <c r="B92" s="131"/>
      <c r="C92" s="127"/>
      <c r="D92" s="128"/>
      <c r="E92" s="129"/>
      <c r="F92" s="170"/>
      <c r="G92" s="171"/>
    </row>
    <row r="93" spans="1:7" ht="18.75" customHeight="1" x14ac:dyDescent="0.2">
      <c r="A93" s="126"/>
      <c r="B93" s="131"/>
      <c r="C93" s="127"/>
      <c r="D93" s="128"/>
      <c r="E93" s="129"/>
      <c r="F93" s="170"/>
      <c r="G93" s="171"/>
    </row>
    <row r="94" spans="1:7" ht="18.75" customHeight="1" x14ac:dyDescent="0.2">
      <c r="A94" s="126"/>
      <c r="B94" s="131"/>
      <c r="C94" s="127"/>
      <c r="D94" s="128"/>
      <c r="E94" s="129"/>
      <c r="F94" s="170"/>
      <c r="G94" s="171"/>
    </row>
    <row r="95" spans="1:7" ht="18.75" customHeight="1" x14ac:dyDescent="0.2">
      <c r="A95" s="126"/>
      <c r="B95" s="131"/>
      <c r="C95" s="127"/>
      <c r="D95" s="128"/>
      <c r="E95" s="129"/>
      <c r="F95" s="170"/>
      <c r="G95" s="171"/>
    </row>
    <row r="96" spans="1:7" ht="18.75" customHeight="1" x14ac:dyDescent="0.2">
      <c r="A96" s="126"/>
      <c r="B96" s="131"/>
      <c r="C96" s="127"/>
      <c r="D96" s="128"/>
      <c r="E96" s="129"/>
      <c r="F96" s="170"/>
      <c r="G96" s="171"/>
    </row>
    <row r="97" spans="1:10" ht="18.75" customHeight="1" x14ac:dyDescent="0.2">
      <c r="A97" s="126"/>
      <c r="B97" s="131"/>
      <c r="C97" s="127"/>
      <c r="D97" s="128"/>
      <c r="E97" s="129"/>
      <c r="F97" s="170"/>
      <c r="G97" s="171"/>
    </row>
    <row r="98" spans="1:10" ht="18.75" customHeight="1" x14ac:dyDescent="0.2">
      <c r="A98" s="126"/>
      <c r="B98" s="131"/>
      <c r="C98" s="127"/>
      <c r="D98" s="128"/>
      <c r="E98" s="129"/>
      <c r="F98" s="170"/>
      <c r="G98" s="171"/>
    </row>
    <row r="99" spans="1:10" ht="18.75" customHeight="1" x14ac:dyDescent="0.2">
      <c r="A99" s="126"/>
      <c r="B99" s="131"/>
      <c r="C99" s="127"/>
      <c r="D99" s="128"/>
      <c r="E99" s="129"/>
      <c r="F99" s="170"/>
      <c r="G99" s="171"/>
    </row>
    <row r="100" spans="1:10" ht="18.75" customHeight="1" x14ac:dyDescent="0.2">
      <c r="A100" s="126"/>
      <c r="B100" s="131"/>
      <c r="C100" s="127"/>
      <c r="D100" s="128"/>
      <c r="E100" s="129"/>
      <c r="F100" s="170"/>
      <c r="G100" s="171"/>
    </row>
    <row r="101" spans="1:10" ht="18.75" customHeight="1" x14ac:dyDescent="0.2">
      <c r="A101" s="126"/>
      <c r="B101" s="131"/>
      <c r="C101" s="127"/>
      <c r="D101" s="128"/>
      <c r="E101" s="129"/>
      <c r="F101" s="170"/>
      <c r="G101" s="171"/>
    </row>
    <row r="102" spans="1:10" ht="18.75" customHeight="1" x14ac:dyDescent="0.2">
      <c r="A102" s="126"/>
      <c r="B102" s="131"/>
      <c r="C102" s="127"/>
      <c r="D102" s="128"/>
      <c r="E102" s="129"/>
      <c r="F102" s="170"/>
      <c r="G102" s="171"/>
    </row>
    <row r="103" spans="1:10" ht="18.75" customHeight="1" x14ac:dyDescent="0.2">
      <c r="A103" s="126"/>
      <c r="B103" s="131"/>
      <c r="C103" s="127"/>
      <c r="D103" s="128"/>
      <c r="E103" s="129"/>
      <c r="F103" s="170"/>
      <c r="G103" s="171"/>
      <c r="H103" s="245"/>
      <c r="I103" s="246"/>
      <c r="J103" s="246"/>
    </row>
    <row r="104" spans="1:10" ht="18.75" customHeight="1" x14ac:dyDescent="0.2">
      <c r="A104" s="126"/>
      <c r="B104" s="131"/>
      <c r="C104" s="127"/>
      <c r="D104" s="128"/>
      <c r="E104" s="129"/>
      <c r="F104" s="135"/>
      <c r="G104" s="165"/>
    </row>
    <row r="105" spans="1:10" ht="22.5" customHeight="1" x14ac:dyDescent="0.2">
      <c r="A105" s="126"/>
      <c r="B105" s="131"/>
      <c r="C105" s="127"/>
      <c r="D105" s="133"/>
      <c r="E105" s="129"/>
      <c r="F105" s="135"/>
      <c r="G105" s="165"/>
    </row>
    <row r="106" spans="1:10" ht="18.75" customHeight="1" x14ac:dyDescent="0.2">
      <c r="A106" s="126"/>
      <c r="B106" s="131"/>
      <c r="C106" s="127"/>
      <c r="D106" s="133"/>
      <c r="E106" s="129"/>
      <c r="F106" s="135"/>
      <c r="G106" s="165"/>
    </row>
    <row r="107" spans="1:10" ht="24" customHeight="1" x14ac:dyDescent="0.2">
      <c r="A107" s="126"/>
      <c r="B107" s="131"/>
      <c r="C107" s="127"/>
      <c r="D107" s="133"/>
      <c r="E107" s="129"/>
      <c r="F107" s="135"/>
      <c r="G107" s="165"/>
    </row>
    <row r="108" spans="1:10" ht="18.75" customHeight="1" x14ac:dyDescent="0.2">
      <c r="A108" s="126"/>
      <c r="B108" s="131"/>
      <c r="C108" s="127"/>
      <c r="D108" s="128"/>
      <c r="E108" s="129"/>
      <c r="F108" s="135"/>
      <c r="G108" s="165"/>
    </row>
    <row r="109" spans="1:10" ht="18.75" customHeight="1" x14ac:dyDescent="0.2">
      <c r="A109" s="126"/>
      <c r="B109" s="131"/>
      <c r="C109" s="127"/>
      <c r="D109" s="128"/>
      <c r="E109" s="129"/>
      <c r="F109" s="135"/>
      <c r="G109" s="165"/>
    </row>
    <row r="110" spans="1:10" ht="18.75" customHeight="1" x14ac:dyDescent="0.2">
      <c r="A110" s="168"/>
      <c r="B110" s="131"/>
      <c r="C110" s="127"/>
      <c r="D110" s="128"/>
      <c r="E110" s="129"/>
      <c r="F110" s="170"/>
      <c r="G110" s="171"/>
    </row>
    <row r="111" spans="1:10" ht="18" customHeight="1" x14ac:dyDescent="0.2">
      <c r="A111" s="168"/>
      <c r="B111" s="131"/>
      <c r="C111" s="127"/>
      <c r="D111" s="128"/>
      <c r="E111" s="129"/>
      <c r="F111" s="170"/>
      <c r="G111" s="171"/>
    </row>
    <row r="112" spans="1:10" ht="17.25" customHeight="1" x14ac:dyDescent="0.2">
      <c r="A112" s="126"/>
      <c r="B112" s="131"/>
      <c r="C112" s="127"/>
      <c r="D112" s="128"/>
      <c r="E112" s="129"/>
      <c r="F112" s="170"/>
      <c r="G112" s="171"/>
    </row>
    <row r="113" spans="1:7" ht="17.25" customHeight="1" x14ac:dyDescent="0.2">
      <c r="A113" s="126"/>
      <c r="B113" s="131"/>
      <c r="C113" s="127"/>
      <c r="D113" s="128"/>
      <c r="E113" s="129"/>
      <c r="F113" s="170"/>
      <c r="G113" s="171"/>
    </row>
    <row r="114" spans="1:7" ht="17.25" customHeight="1" x14ac:dyDescent="0.2">
      <c r="A114" s="126"/>
      <c r="B114" s="130"/>
      <c r="C114" s="127"/>
      <c r="D114" s="128"/>
      <c r="E114" s="129"/>
      <c r="F114" s="170"/>
      <c r="G114" s="171"/>
    </row>
    <row r="115" spans="1:7" ht="16.5" customHeight="1" x14ac:dyDescent="0.2">
      <c r="A115" s="126"/>
      <c r="B115" s="130"/>
      <c r="C115" s="127"/>
      <c r="D115" s="128"/>
      <c r="E115" s="129"/>
      <c r="F115" s="170"/>
      <c r="G115" s="171"/>
    </row>
    <row r="116" spans="1:7" ht="16.5" customHeight="1" x14ac:dyDescent="0.2">
      <c r="A116" s="126"/>
      <c r="B116" s="130"/>
      <c r="C116" s="127"/>
      <c r="D116" s="128"/>
      <c r="E116" s="129"/>
      <c r="F116" s="170"/>
      <c r="G116" s="171"/>
    </row>
    <row r="117" spans="1:7" ht="18" customHeight="1" x14ac:dyDescent="0.2">
      <c r="A117" s="126"/>
      <c r="B117" s="130"/>
      <c r="C117" s="127"/>
      <c r="D117" s="128"/>
      <c r="E117" s="129"/>
      <c r="F117" s="170"/>
      <c r="G117" s="171"/>
    </row>
    <row r="118" spans="1:7" ht="16.5" customHeight="1" x14ac:dyDescent="0.2">
      <c r="A118" s="126"/>
      <c r="B118" s="130"/>
      <c r="C118" s="127"/>
      <c r="D118" s="128"/>
      <c r="E118" s="129"/>
      <c r="F118" s="170"/>
      <c r="G118" s="171"/>
    </row>
    <row r="119" spans="1:7" ht="18" customHeight="1" x14ac:dyDescent="0.2">
      <c r="A119" s="126"/>
      <c r="B119" s="130"/>
      <c r="C119" s="127"/>
      <c r="D119" s="128"/>
      <c r="E119" s="129"/>
      <c r="F119" s="170"/>
      <c r="G119" s="171"/>
    </row>
    <row r="120" spans="1:7" ht="16.5" customHeight="1" x14ac:dyDescent="0.2">
      <c r="A120" s="126"/>
      <c r="B120" s="130"/>
      <c r="C120" s="127"/>
      <c r="D120" s="128"/>
      <c r="E120" s="129"/>
      <c r="F120" s="170"/>
      <c r="G120" s="171"/>
    </row>
    <row r="121" spans="1:7" ht="18.75" customHeight="1" x14ac:dyDescent="0.2">
      <c r="A121" s="126"/>
      <c r="B121" s="130"/>
      <c r="C121" s="127"/>
      <c r="D121" s="128"/>
      <c r="E121" s="129"/>
      <c r="F121" s="170"/>
      <c r="G121" s="171"/>
    </row>
    <row r="122" spans="1:7" ht="17.25" customHeight="1" x14ac:dyDescent="0.2">
      <c r="A122" s="126"/>
      <c r="B122" s="130"/>
      <c r="C122" s="127"/>
      <c r="D122" s="128"/>
      <c r="E122" s="129"/>
      <c r="F122" s="170"/>
      <c r="G122" s="171"/>
    </row>
    <row r="123" spans="1:7" ht="14.25" x14ac:dyDescent="0.2">
      <c r="A123" s="126"/>
      <c r="B123" s="130"/>
      <c r="C123" s="127"/>
      <c r="D123" s="133"/>
      <c r="E123" s="129"/>
      <c r="F123" s="170"/>
      <c r="G123" s="171"/>
    </row>
    <row r="124" spans="1:7" ht="17.25" customHeight="1" x14ac:dyDescent="0.2">
      <c r="A124" s="126"/>
      <c r="B124" s="130"/>
      <c r="C124" s="127"/>
      <c r="D124" s="128"/>
      <c r="E124" s="129"/>
      <c r="F124" s="170"/>
      <c r="G124" s="171"/>
    </row>
    <row r="125" spans="1:7" ht="14.25" x14ac:dyDescent="0.2">
      <c r="A125" s="126"/>
      <c r="B125" s="130"/>
      <c r="C125" s="127"/>
      <c r="D125" s="128"/>
      <c r="E125" s="129"/>
      <c r="F125" s="170"/>
      <c r="G125" s="171"/>
    </row>
    <row r="126" spans="1:7" ht="14.25" x14ac:dyDescent="0.2">
      <c r="A126" s="126"/>
      <c r="B126" s="130"/>
      <c r="C126" s="127"/>
      <c r="D126" s="128"/>
      <c r="E126" s="129"/>
      <c r="F126" s="170"/>
      <c r="G126" s="171"/>
    </row>
    <row r="127" spans="1:7" ht="14.25" x14ac:dyDescent="0.2">
      <c r="A127" s="126"/>
      <c r="B127" s="131"/>
      <c r="C127" s="127"/>
      <c r="D127" s="128"/>
      <c r="E127" s="129"/>
      <c r="F127" s="170"/>
      <c r="G127" s="171"/>
    </row>
    <row r="128" spans="1:7" ht="14.25" x14ac:dyDescent="0.2">
      <c r="A128" s="126"/>
      <c r="B128" s="130"/>
      <c r="C128" s="127"/>
      <c r="D128" s="128"/>
      <c r="E128" s="129"/>
      <c r="F128" s="170"/>
      <c r="G128" s="171"/>
    </row>
    <row r="129" spans="1:7" ht="14.25" x14ac:dyDescent="0.2">
      <c r="A129" s="126"/>
      <c r="B129" s="130"/>
      <c r="C129" s="127"/>
      <c r="D129" s="133"/>
      <c r="E129" s="129"/>
      <c r="F129" s="170"/>
      <c r="G129" s="171"/>
    </row>
    <row r="130" spans="1:7" ht="14.25" x14ac:dyDescent="0.2">
      <c r="A130" s="126"/>
      <c r="B130" s="130"/>
      <c r="C130" s="127"/>
      <c r="D130" s="128"/>
      <c r="E130" s="129"/>
      <c r="F130" s="170"/>
      <c r="G130" s="171"/>
    </row>
    <row r="131" spans="1:7" ht="14.25" x14ac:dyDescent="0.2">
      <c r="A131" s="126"/>
      <c r="B131" s="130"/>
      <c r="C131" s="127"/>
      <c r="D131" s="128"/>
      <c r="E131" s="129"/>
      <c r="F131" s="170"/>
      <c r="G131" s="171"/>
    </row>
    <row r="132" spans="1:7" ht="14.25" x14ac:dyDescent="0.2">
      <c r="A132" s="126"/>
      <c r="B132" s="130"/>
      <c r="C132" s="127"/>
      <c r="D132" s="128"/>
      <c r="E132" s="129"/>
      <c r="F132" s="170"/>
      <c r="G132" s="171"/>
    </row>
    <row r="133" spans="1:7" ht="14.25" x14ac:dyDescent="0.2">
      <c r="A133" s="126"/>
      <c r="B133" s="130"/>
      <c r="C133" s="127"/>
      <c r="D133" s="128"/>
      <c r="E133" s="129"/>
      <c r="F133" s="170"/>
      <c r="G133" s="171"/>
    </row>
    <row r="134" spans="1:7" ht="14.25" x14ac:dyDescent="0.2">
      <c r="A134" s="126"/>
      <c r="B134" s="131"/>
      <c r="C134" s="127"/>
      <c r="D134" s="128"/>
      <c r="E134" s="129"/>
      <c r="F134" s="170"/>
      <c r="G134" s="171"/>
    </row>
    <row r="135" spans="1:7" ht="14.25" x14ac:dyDescent="0.2">
      <c r="A135" s="126"/>
      <c r="B135" s="131"/>
      <c r="C135" s="127"/>
      <c r="D135" s="128"/>
      <c r="E135" s="129"/>
      <c r="F135" s="170"/>
      <c r="G135" s="171"/>
    </row>
    <row r="136" spans="1:7" ht="14.25" x14ac:dyDescent="0.2">
      <c r="A136" s="126"/>
      <c r="B136" s="130"/>
      <c r="C136" s="127"/>
      <c r="D136" s="128"/>
      <c r="E136" s="129"/>
      <c r="F136" s="170"/>
      <c r="G136" s="171"/>
    </row>
    <row r="137" spans="1:7" ht="14.25" x14ac:dyDescent="0.2">
      <c r="A137" s="126"/>
      <c r="B137" s="130"/>
      <c r="C137" s="127"/>
      <c r="D137" s="128"/>
      <c r="E137" s="129"/>
      <c r="F137" s="170"/>
      <c r="G137" s="171"/>
    </row>
    <row r="138" spans="1:7" ht="14.25" x14ac:dyDescent="0.2">
      <c r="A138" s="126"/>
      <c r="B138" s="130"/>
      <c r="C138" s="127"/>
      <c r="D138" s="128"/>
      <c r="E138" s="129"/>
      <c r="F138" s="170"/>
      <c r="G138" s="171"/>
    </row>
    <row r="139" spans="1:7" ht="14.25" x14ac:dyDescent="0.2">
      <c r="A139" s="126"/>
      <c r="B139" s="130"/>
      <c r="C139" s="127"/>
      <c r="D139" s="128"/>
      <c r="E139" s="129"/>
      <c r="F139" s="170"/>
      <c r="G139" s="171"/>
    </row>
    <row r="140" spans="1:7" ht="14.25" x14ac:dyDescent="0.2">
      <c r="A140" s="126"/>
      <c r="B140" s="130"/>
      <c r="C140" s="127"/>
      <c r="D140" s="128"/>
      <c r="E140" s="129"/>
      <c r="F140" s="170"/>
      <c r="G140" s="171"/>
    </row>
    <row r="141" spans="1:7" ht="14.25" x14ac:dyDescent="0.2">
      <c r="A141" s="126"/>
      <c r="B141" s="130"/>
      <c r="C141" s="127"/>
      <c r="D141" s="128"/>
      <c r="E141" s="129"/>
      <c r="F141" s="170"/>
      <c r="G141" s="171"/>
    </row>
    <row r="142" spans="1:7" ht="14.25" x14ac:dyDescent="0.2">
      <c r="A142" s="126"/>
      <c r="B142" s="130"/>
      <c r="C142" s="127"/>
      <c r="D142" s="128"/>
      <c r="E142" s="129"/>
      <c r="F142" s="170"/>
      <c r="G142" s="171"/>
    </row>
    <row r="143" spans="1:7" ht="14.25" x14ac:dyDescent="0.2">
      <c r="A143" s="126"/>
      <c r="B143" s="130"/>
      <c r="C143" s="127"/>
      <c r="D143" s="128"/>
      <c r="E143" s="129"/>
      <c r="F143" s="170"/>
      <c r="G143" s="171"/>
    </row>
    <row r="144" spans="1:7" ht="14.25" x14ac:dyDescent="0.2">
      <c r="A144" s="126"/>
      <c r="B144" s="130"/>
      <c r="C144" s="127"/>
      <c r="D144" s="128"/>
      <c r="E144" s="129"/>
      <c r="F144" s="170"/>
      <c r="G144" s="171"/>
    </row>
    <row r="145" spans="1:10" ht="14.25" x14ac:dyDescent="0.2">
      <c r="A145" s="126"/>
      <c r="B145" s="130"/>
      <c r="C145" s="127"/>
      <c r="D145" s="128"/>
      <c r="E145" s="129"/>
      <c r="F145" s="170"/>
      <c r="G145" s="171"/>
    </row>
    <row r="146" spans="1:10" ht="14.25" x14ac:dyDescent="0.2">
      <c r="A146" s="126"/>
      <c r="B146" s="130"/>
      <c r="C146" s="127"/>
      <c r="D146" s="128"/>
      <c r="E146" s="129"/>
      <c r="F146" s="170"/>
      <c r="G146" s="171"/>
    </row>
    <row r="147" spans="1:10" ht="14.25" x14ac:dyDescent="0.2">
      <c r="A147" s="126"/>
      <c r="B147" s="131"/>
      <c r="C147" s="127"/>
      <c r="D147" s="128"/>
      <c r="E147" s="129"/>
      <c r="F147" s="170"/>
      <c r="G147" s="171"/>
    </row>
    <row r="148" spans="1:10" ht="14.25" x14ac:dyDescent="0.2">
      <c r="A148" s="126"/>
      <c r="B148" s="131"/>
      <c r="C148" s="127"/>
      <c r="D148" s="128"/>
      <c r="E148" s="129"/>
      <c r="F148" s="170"/>
      <c r="G148" s="171"/>
    </row>
    <row r="149" spans="1:10" ht="14.25" x14ac:dyDescent="0.2">
      <c r="A149" s="126"/>
      <c r="B149" s="131"/>
      <c r="C149" s="127"/>
      <c r="D149" s="128"/>
      <c r="E149" s="129"/>
      <c r="F149" s="170"/>
      <c r="G149" s="171"/>
    </row>
    <row r="150" spans="1:10" ht="14.25" x14ac:dyDescent="0.2">
      <c r="A150" s="126"/>
      <c r="B150" s="131"/>
      <c r="C150" s="127"/>
      <c r="D150" s="128"/>
      <c r="E150" s="129"/>
      <c r="F150" s="170"/>
      <c r="G150" s="171"/>
    </row>
    <row r="151" spans="1:10" ht="14.25" x14ac:dyDescent="0.2">
      <c r="A151" s="126"/>
      <c r="B151" s="131"/>
      <c r="C151" s="127"/>
      <c r="D151" s="128"/>
      <c r="E151" s="129"/>
      <c r="F151" s="170"/>
      <c r="G151" s="171"/>
    </row>
    <row r="152" spans="1:10" ht="14.25" x14ac:dyDescent="0.2">
      <c r="A152" s="126"/>
      <c r="B152" s="131"/>
      <c r="C152" s="127"/>
      <c r="D152" s="128"/>
      <c r="E152" s="129"/>
      <c r="F152" s="170"/>
      <c r="G152" s="171"/>
      <c r="I152" s="176"/>
      <c r="J152" s="175"/>
    </row>
    <row r="153" spans="1:10" ht="14.25" x14ac:dyDescent="0.2">
      <c r="A153" s="126"/>
      <c r="B153" s="131"/>
      <c r="C153" s="127"/>
      <c r="D153" s="128"/>
      <c r="E153" s="129"/>
      <c r="F153" s="170"/>
      <c r="G153" s="171"/>
    </row>
    <row r="154" spans="1:10" ht="14.25" x14ac:dyDescent="0.2">
      <c r="A154" s="126"/>
      <c r="B154" s="131"/>
      <c r="C154" s="127"/>
      <c r="D154" s="128"/>
      <c r="E154" s="129"/>
      <c r="F154" s="170"/>
      <c r="G154" s="171"/>
    </row>
    <row r="155" spans="1:10" ht="14.25" x14ac:dyDescent="0.2">
      <c r="A155" s="126"/>
      <c r="B155" s="131"/>
      <c r="C155" s="127"/>
      <c r="D155" s="128"/>
      <c r="E155" s="129"/>
      <c r="F155" s="170"/>
      <c r="G155" s="171"/>
    </row>
    <row r="156" spans="1:10" ht="14.25" x14ac:dyDescent="0.2">
      <c r="A156" s="126"/>
      <c r="B156" s="131"/>
      <c r="C156" s="127"/>
      <c r="D156" s="128"/>
      <c r="E156" s="129"/>
      <c r="F156" s="170"/>
      <c r="G156" s="171"/>
    </row>
    <row r="157" spans="1:10" ht="14.25" x14ac:dyDescent="0.2">
      <c r="A157" s="126"/>
      <c r="B157" s="131"/>
      <c r="C157" s="127"/>
      <c r="D157" s="128"/>
      <c r="E157" s="129"/>
      <c r="F157" s="170"/>
      <c r="G157" s="171"/>
    </row>
    <row r="158" spans="1:10" ht="14.25" x14ac:dyDescent="0.2">
      <c r="A158" s="126"/>
      <c r="B158" s="131"/>
      <c r="C158" s="127"/>
      <c r="D158" s="128"/>
      <c r="E158" s="129"/>
      <c r="F158" s="170"/>
      <c r="G158" s="171"/>
    </row>
    <row r="159" spans="1:10" ht="14.25" x14ac:dyDescent="0.2">
      <c r="A159" s="126"/>
      <c r="B159" s="131"/>
      <c r="C159" s="127"/>
      <c r="D159" s="128"/>
      <c r="E159" s="129"/>
      <c r="F159" s="170"/>
      <c r="G159" s="171"/>
    </row>
    <row r="160" spans="1:10" ht="14.25" x14ac:dyDescent="0.2">
      <c r="A160" s="126"/>
      <c r="B160" s="131"/>
      <c r="C160" s="127"/>
      <c r="D160" s="128"/>
      <c r="E160" s="129"/>
      <c r="F160" s="170"/>
      <c r="G160" s="171"/>
    </row>
    <row r="161" spans="1:15" ht="14.25" x14ac:dyDescent="0.2">
      <c r="A161" s="126"/>
      <c r="B161" s="131"/>
      <c r="C161" s="127"/>
      <c r="D161" s="128"/>
      <c r="E161" s="129"/>
      <c r="F161" s="170"/>
      <c r="G161" s="171"/>
    </row>
    <row r="162" spans="1:15" ht="14.25" x14ac:dyDescent="0.2">
      <c r="A162" s="126"/>
      <c r="B162" s="131"/>
      <c r="C162" s="127"/>
      <c r="D162" s="128"/>
      <c r="E162" s="129"/>
      <c r="F162" s="170"/>
      <c r="G162" s="171"/>
      <c r="H162" s="175"/>
    </row>
    <row r="163" spans="1:15" ht="14.25" x14ac:dyDescent="0.2">
      <c r="A163" s="126"/>
      <c r="B163" s="131"/>
      <c r="C163" s="127"/>
      <c r="D163" s="128"/>
      <c r="E163" s="129"/>
      <c r="F163" s="170"/>
      <c r="G163" s="171"/>
    </row>
    <row r="164" spans="1:15" ht="14.25" x14ac:dyDescent="0.2">
      <c r="A164" s="126"/>
      <c r="B164" s="131"/>
      <c r="C164" s="127"/>
      <c r="D164" s="128"/>
      <c r="E164" s="129"/>
      <c r="F164" s="170"/>
      <c r="G164" s="171"/>
    </row>
    <row r="165" spans="1:15" ht="14.25" x14ac:dyDescent="0.2">
      <c r="A165" s="126"/>
      <c r="B165" s="131"/>
      <c r="C165" s="127"/>
      <c r="D165" s="128"/>
      <c r="E165" s="129"/>
      <c r="F165" s="170"/>
      <c r="G165" s="171"/>
    </row>
    <row r="166" spans="1:15" ht="14.25" x14ac:dyDescent="0.2">
      <c r="A166" s="126"/>
      <c r="B166" s="131"/>
      <c r="C166" s="127"/>
      <c r="D166" s="128"/>
      <c r="E166" s="129"/>
      <c r="F166" s="170"/>
      <c r="G166" s="171"/>
    </row>
    <row r="167" spans="1:15" ht="14.25" x14ac:dyDescent="0.2">
      <c r="A167" s="126"/>
      <c r="B167" s="131"/>
      <c r="C167" s="127"/>
      <c r="D167" s="128"/>
      <c r="E167" s="129"/>
      <c r="F167" s="170"/>
      <c r="G167" s="171"/>
    </row>
    <row r="168" spans="1:15" ht="14.25" x14ac:dyDescent="0.2">
      <c r="A168" s="126"/>
      <c r="B168" s="131"/>
      <c r="C168" s="127"/>
      <c r="D168" s="128"/>
      <c r="E168" s="129"/>
      <c r="F168" s="170"/>
      <c r="G168" s="171"/>
    </row>
    <row r="169" spans="1:15" ht="14.25" x14ac:dyDescent="0.2">
      <c r="A169" s="126"/>
      <c r="B169" s="131"/>
      <c r="C169" s="127"/>
      <c r="D169" s="128"/>
      <c r="E169" s="129"/>
      <c r="F169" s="170"/>
      <c r="G169" s="171"/>
    </row>
    <row r="170" spans="1:15" ht="14.25" x14ac:dyDescent="0.2">
      <c r="A170" s="126"/>
      <c r="B170" s="131"/>
      <c r="C170" s="127"/>
      <c r="D170" s="128"/>
      <c r="E170" s="129"/>
      <c r="F170" s="170"/>
      <c r="G170" s="171"/>
    </row>
    <row r="171" spans="1:15" ht="14.25" x14ac:dyDescent="0.2">
      <c r="A171" s="126"/>
      <c r="B171" s="131"/>
      <c r="C171" s="127"/>
      <c r="D171" s="128"/>
      <c r="E171" s="129"/>
      <c r="F171" s="170"/>
      <c r="G171" s="171"/>
    </row>
    <row r="172" spans="1:15" ht="14.25" x14ac:dyDescent="0.2">
      <c r="A172" s="126"/>
      <c r="B172" s="131"/>
      <c r="C172" s="127"/>
      <c r="D172" s="128"/>
      <c r="E172" s="129"/>
      <c r="F172" s="170"/>
      <c r="G172" s="171"/>
      <c r="H172" s="175"/>
    </row>
    <row r="173" spans="1:15" ht="14.25" x14ac:dyDescent="0.2">
      <c r="A173" s="126"/>
      <c r="B173" s="131"/>
      <c r="C173" s="127"/>
      <c r="D173" s="128"/>
      <c r="E173" s="129"/>
      <c r="F173" s="170"/>
      <c r="G173" s="171"/>
      <c r="H173" s="175"/>
    </row>
    <row r="174" spans="1:15" ht="14.25" x14ac:dyDescent="0.2">
      <c r="A174" s="126"/>
      <c r="B174" s="131"/>
      <c r="C174" s="127"/>
      <c r="D174" s="128"/>
      <c r="E174" s="129"/>
      <c r="F174" s="170"/>
      <c r="G174" s="171"/>
    </row>
    <row r="175" spans="1:15" ht="14.25" x14ac:dyDescent="0.2">
      <c r="A175" s="126"/>
      <c r="B175" s="131"/>
      <c r="C175" s="127"/>
      <c r="D175" s="128"/>
      <c r="E175" s="129"/>
      <c r="F175" s="170"/>
      <c r="G175" s="171"/>
      <c r="H175" s="175"/>
    </row>
    <row r="176" spans="1:15" s="167" customFormat="1" ht="25.5" customHeight="1" x14ac:dyDescent="0.2">
      <c r="A176" s="177"/>
      <c r="B176" s="178"/>
      <c r="C176" s="179"/>
      <c r="D176" s="180"/>
      <c r="E176" s="181"/>
      <c r="F176" s="182"/>
      <c r="G176" s="183"/>
      <c r="H176" s="185"/>
      <c r="K176" s="184"/>
      <c r="L176" s="184"/>
      <c r="N176" s="232"/>
      <c r="O176" s="232"/>
    </row>
    <row r="177" spans="1:12" ht="14.25" x14ac:dyDescent="0.2">
      <c r="A177" s="126"/>
      <c r="B177" s="131"/>
      <c r="C177" s="127"/>
      <c r="D177" s="128"/>
      <c r="E177" s="129"/>
      <c r="F177" s="135"/>
      <c r="G177" s="165"/>
      <c r="H177" s="175"/>
      <c r="K177" s="134"/>
      <c r="L177" s="134"/>
    </row>
    <row r="178" spans="1:12" ht="14.25" x14ac:dyDescent="0.2">
      <c r="A178" s="126"/>
      <c r="B178" s="131"/>
      <c r="C178" s="127"/>
      <c r="D178" s="128"/>
      <c r="E178" s="129"/>
      <c r="F178" s="135"/>
      <c r="G178" s="165"/>
      <c r="H178" s="175"/>
      <c r="K178" s="134"/>
      <c r="L178" s="134"/>
    </row>
    <row r="179" spans="1:12" ht="14.25" x14ac:dyDescent="0.2">
      <c r="A179" s="126"/>
      <c r="B179" s="131"/>
      <c r="C179" s="127"/>
      <c r="D179" s="128"/>
      <c r="E179" s="129"/>
      <c r="F179" s="135"/>
      <c r="G179" s="165"/>
      <c r="K179" s="134"/>
      <c r="L179" s="134"/>
    </row>
    <row r="180" spans="1:12" ht="14.25" x14ac:dyDescent="0.2">
      <c r="A180" s="126"/>
      <c r="B180" s="131"/>
      <c r="C180" s="127"/>
      <c r="D180" s="128"/>
      <c r="E180" s="129"/>
      <c r="F180" s="135"/>
      <c r="G180" s="165"/>
      <c r="H180" s="175"/>
      <c r="K180" s="134"/>
      <c r="L180" s="134"/>
    </row>
    <row r="181" spans="1:12" ht="14.25" x14ac:dyDescent="0.2">
      <c r="A181" s="126"/>
      <c r="B181" s="131"/>
      <c r="C181" s="127"/>
      <c r="D181" s="128"/>
      <c r="E181" s="129"/>
      <c r="F181" s="135"/>
      <c r="G181" s="165"/>
      <c r="K181" s="134"/>
    </row>
    <row r="182" spans="1:12" ht="14.25" x14ac:dyDescent="0.2">
      <c r="A182" s="126"/>
      <c r="B182" s="131"/>
      <c r="C182" s="127"/>
      <c r="D182" s="128"/>
      <c r="E182" s="129"/>
      <c r="F182" s="135"/>
      <c r="G182" s="165"/>
      <c r="K182" s="134"/>
    </row>
    <row r="183" spans="1:12" ht="14.25" x14ac:dyDescent="0.2">
      <c r="A183" s="126"/>
      <c r="B183" s="131"/>
      <c r="C183" s="127"/>
      <c r="D183" s="128"/>
      <c r="E183" s="129"/>
      <c r="F183" s="135"/>
      <c r="G183" s="165"/>
      <c r="K183" s="134"/>
    </row>
    <row r="184" spans="1:12" ht="14.25" x14ac:dyDescent="0.2">
      <c r="A184" s="126"/>
      <c r="B184" s="131"/>
      <c r="C184" s="127"/>
      <c r="D184" s="128"/>
      <c r="E184" s="129"/>
      <c r="F184" s="135"/>
      <c r="G184" s="165"/>
      <c r="K184" s="134"/>
    </row>
    <row r="185" spans="1:12" ht="14.25" x14ac:dyDescent="0.2">
      <c r="A185" s="126"/>
      <c r="B185" s="131"/>
      <c r="C185" s="127"/>
      <c r="D185" s="128"/>
      <c r="E185" s="129"/>
      <c r="F185" s="135"/>
      <c r="G185" s="165"/>
      <c r="H185" s="175"/>
      <c r="K185" s="134"/>
      <c r="L185" s="134"/>
    </row>
    <row r="186" spans="1:12" ht="14.25" x14ac:dyDescent="0.2">
      <c r="A186" s="126"/>
      <c r="B186" s="131"/>
      <c r="C186" s="127"/>
      <c r="D186" s="128"/>
      <c r="E186" s="129"/>
      <c r="F186" s="135"/>
      <c r="G186" s="165"/>
      <c r="H186" s="175"/>
      <c r="K186" s="134"/>
    </row>
    <row r="187" spans="1:12" ht="14.25" x14ac:dyDescent="0.2">
      <c r="A187" s="126"/>
      <c r="B187" s="131"/>
      <c r="C187" s="127"/>
      <c r="D187" s="128"/>
      <c r="E187" s="129"/>
      <c r="F187" s="135"/>
      <c r="G187" s="165"/>
      <c r="K187" s="134"/>
    </row>
    <row r="188" spans="1:12" ht="14.25" x14ac:dyDescent="0.2">
      <c r="A188" s="126"/>
      <c r="B188" s="131"/>
      <c r="C188" s="127"/>
      <c r="D188" s="128"/>
      <c r="E188" s="129"/>
      <c r="F188" s="135"/>
      <c r="G188" s="165"/>
      <c r="K188" s="134"/>
      <c r="L188" s="134"/>
    </row>
    <row r="189" spans="1:12" ht="14.25" x14ac:dyDescent="0.2">
      <c r="A189" s="126"/>
      <c r="B189" s="131"/>
      <c r="C189" s="127"/>
      <c r="D189" s="128"/>
      <c r="E189" s="129"/>
      <c r="F189" s="135"/>
      <c r="G189" s="165"/>
      <c r="K189" s="134"/>
    </row>
    <row r="190" spans="1:12" ht="14.25" x14ac:dyDescent="0.2">
      <c r="A190" s="126"/>
      <c r="B190" s="131"/>
      <c r="C190" s="127"/>
      <c r="D190" s="128"/>
      <c r="E190" s="129"/>
      <c r="F190" s="135"/>
      <c r="G190" s="165"/>
      <c r="K190" s="134"/>
      <c r="L190" s="134"/>
    </row>
    <row r="191" spans="1:12" ht="14.25" x14ac:dyDescent="0.2">
      <c r="A191" s="126"/>
      <c r="B191" s="131"/>
      <c r="C191" s="127"/>
      <c r="D191" s="128"/>
      <c r="E191" s="129"/>
      <c r="F191" s="135"/>
      <c r="G191" s="165"/>
      <c r="K191" s="134"/>
    </row>
    <row r="192" spans="1:12" ht="14.25" x14ac:dyDescent="0.2">
      <c r="A192" s="126"/>
      <c r="B192" s="131"/>
      <c r="C192" s="127"/>
      <c r="D192" s="128"/>
      <c r="E192" s="129"/>
      <c r="F192" s="135"/>
      <c r="G192" s="165"/>
      <c r="K192" s="134"/>
      <c r="L192" s="134"/>
    </row>
    <row r="193" spans="1:12" ht="14.25" x14ac:dyDescent="0.2">
      <c r="A193" s="126"/>
      <c r="B193" s="131"/>
      <c r="C193" s="127"/>
      <c r="D193" s="128"/>
      <c r="E193" s="129"/>
      <c r="F193" s="135"/>
      <c r="G193" s="165"/>
      <c r="K193" s="134"/>
    </row>
    <row r="194" spans="1:12" ht="14.25" x14ac:dyDescent="0.2">
      <c r="A194" s="126"/>
      <c r="B194" s="131"/>
      <c r="C194" s="127"/>
      <c r="D194" s="128"/>
      <c r="E194" s="129"/>
      <c r="F194" s="135"/>
      <c r="G194" s="165"/>
      <c r="K194" s="134"/>
    </row>
    <row r="195" spans="1:12" ht="14.25" x14ac:dyDescent="0.2">
      <c r="A195" s="126"/>
      <c r="B195" s="131"/>
      <c r="C195" s="127"/>
      <c r="D195" s="128"/>
      <c r="E195" s="129"/>
      <c r="F195" s="135"/>
      <c r="G195" s="165"/>
      <c r="K195" s="134"/>
    </row>
    <row r="196" spans="1:12" ht="14.25" x14ac:dyDescent="0.2">
      <c r="A196" s="126"/>
      <c r="B196" s="131"/>
      <c r="C196" s="127"/>
      <c r="D196" s="128"/>
      <c r="E196" s="129"/>
      <c r="F196" s="135"/>
      <c r="G196" s="165"/>
      <c r="K196" s="134"/>
    </row>
    <row r="197" spans="1:12" ht="14.25" x14ac:dyDescent="0.2">
      <c r="A197" s="126"/>
      <c r="B197" s="131"/>
      <c r="C197" s="127"/>
      <c r="D197" s="128"/>
      <c r="E197" s="129"/>
      <c r="F197" s="135"/>
      <c r="G197" s="165"/>
      <c r="K197" s="134"/>
    </row>
    <row r="198" spans="1:12" ht="14.25" x14ac:dyDescent="0.2">
      <c r="A198" s="126"/>
      <c r="B198" s="131"/>
      <c r="C198" s="127"/>
      <c r="D198" s="128"/>
      <c r="E198" s="129"/>
      <c r="F198" s="135"/>
      <c r="G198" s="165"/>
      <c r="K198" s="134"/>
      <c r="L198" s="134"/>
    </row>
    <row r="199" spans="1:12" ht="14.25" x14ac:dyDescent="0.2">
      <c r="A199" s="126"/>
      <c r="B199" s="131"/>
      <c r="C199" s="127"/>
      <c r="D199" s="128"/>
      <c r="E199" s="129"/>
      <c r="F199" s="135"/>
      <c r="G199" s="165"/>
      <c r="K199" s="134"/>
    </row>
    <row r="200" spans="1:12" ht="14.25" x14ac:dyDescent="0.2">
      <c r="A200" s="126"/>
      <c r="B200" s="131"/>
      <c r="C200" s="127"/>
      <c r="D200" s="128"/>
      <c r="E200" s="129"/>
      <c r="F200" s="135"/>
      <c r="G200" s="165"/>
      <c r="K200" s="134"/>
    </row>
    <row r="201" spans="1:12" ht="14.25" x14ac:dyDescent="0.2">
      <c r="A201" s="126"/>
      <c r="B201" s="131"/>
      <c r="C201" s="127"/>
      <c r="D201" s="128"/>
      <c r="E201" s="129"/>
      <c r="F201" s="135"/>
      <c r="G201" s="165"/>
      <c r="K201" s="134"/>
      <c r="L201" s="134"/>
    </row>
    <row r="202" spans="1:12" ht="14.25" x14ac:dyDescent="0.2">
      <c r="A202" s="126"/>
      <c r="B202" s="131"/>
      <c r="C202" s="127"/>
      <c r="D202" s="128"/>
      <c r="E202" s="129"/>
      <c r="F202" s="135"/>
      <c r="G202" s="165"/>
      <c r="K202" s="134"/>
      <c r="L202" s="134"/>
    </row>
    <row r="203" spans="1:12" ht="14.25" x14ac:dyDescent="0.2">
      <c r="A203" s="126"/>
      <c r="B203" s="131"/>
      <c r="C203" s="127"/>
      <c r="D203" s="128"/>
      <c r="E203" s="129"/>
      <c r="F203" s="135"/>
      <c r="G203" s="165"/>
      <c r="K203" s="134"/>
      <c r="L203" s="134"/>
    </row>
    <row r="204" spans="1:12" ht="14.25" x14ac:dyDescent="0.2">
      <c r="A204" s="126"/>
      <c r="B204" s="131"/>
      <c r="C204" s="127"/>
      <c r="D204" s="128"/>
      <c r="E204" s="129"/>
      <c r="F204" s="135"/>
      <c r="G204" s="165"/>
      <c r="K204" s="134"/>
    </row>
    <row r="205" spans="1:12" ht="14.25" x14ac:dyDescent="0.2">
      <c r="A205" s="126"/>
      <c r="B205" s="131"/>
      <c r="C205" s="127"/>
      <c r="D205" s="128"/>
      <c r="E205" s="129"/>
      <c r="F205" s="135"/>
      <c r="G205" s="165"/>
      <c r="K205" s="134"/>
    </row>
    <row r="206" spans="1:12" ht="14.25" x14ac:dyDescent="0.2">
      <c r="A206" s="126"/>
      <c r="B206" s="131"/>
      <c r="C206" s="127"/>
      <c r="D206" s="128"/>
      <c r="E206" s="129"/>
      <c r="F206" s="135"/>
      <c r="G206" s="165"/>
      <c r="K206" s="134"/>
    </row>
    <row r="207" spans="1:12" ht="14.25" x14ac:dyDescent="0.2">
      <c r="A207" s="126"/>
      <c r="B207" s="131"/>
      <c r="C207" s="127"/>
      <c r="D207" s="128"/>
      <c r="E207" s="129"/>
      <c r="F207" s="135"/>
      <c r="G207" s="165"/>
      <c r="K207" s="134"/>
    </row>
    <row r="208" spans="1:12" ht="14.25" x14ac:dyDescent="0.2">
      <c r="A208" s="126"/>
      <c r="B208" s="131"/>
      <c r="C208" s="127"/>
      <c r="D208" s="128"/>
      <c r="E208" s="129"/>
      <c r="F208" s="135"/>
      <c r="G208" s="165"/>
      <c r="K208" s="134"/>
    </row>
    <row r="209" spans="1:12" ht="14.25" x14ac:dyDescent="0.2">
      <c r="A209" s="126"/>
      <c r="B209" s="131"/>
      <c r="C209" s="127"/>
      <c r="D209" s="128"/>
      <c r="E209" s="129"/>
      <c r="F209" s="135"/>
      <c r="G209" s="165"/>
      <c r="K209" s="134"/>
      <c r="L209" s="134"/>
    </row>
    <row r="210" spans="1:12" ht="14.25" x14ac:dyDescent="0.2">
      <c r="A210" s="126"/>
      <c r="B210" s="131"/>
      <c r="C210" s="127"/>
      <c r="D210" s="128"/>
      <c r="E210" s="129"/>
      <c r="F210" s="135"/>
      <c r="G210" s="165"/>
      <c r="K210" s="134"/>
      <c r="L210" s="134"/>
    </row>
    <row r="211" spans="1:12" ht="14.25" x14ac:dyDescent="0.2">
      <c r="A211" s="126"/>
      <c r="B211" s="131"/>
      <c r="C211" s="127"/>
      <c r="D211" s="128"/>
      <c r="E211" s="129"/>
      <c r="F211" s="135"/>
      <c r="G211" s="165"/>
      <c r="K211" s="134"/>
    </row>
    <row r="212" spans="1:12" ht="14.25" x14ac:dyDescent="0.2">
      <c r="A212" s="126"/>
      <c r="B212" s="131"/>
      <c r="C212" s="127"/>
      <c r="D212" s="128"/>
      <c r="E212" s="129"/>
      <c r="F212" s="135"/>
      <c r="G212" s="165"/>
      <c r="K212" s="134"/>
    </row>
    <row r="213" spans="1:12" ht="14.25" x14ac:dyDescent="0.2">
      <c r="A213" s="126"/>
      <c r="B213" s="131"/>
      <c r="C213" s="127"/>
      <c r="D213" s="128"/>
      <c r="E213" s="129"/>
      <c r="F213" s="135"/>
      <c r="G213" s="165"/>
      <c r="K213" s="134"/>
      <c r="L213" s="134"/>
    </row>
    <row r="214" spans="1:12" ht="14.25" x14ac:dyDescent="0.2">
      <c r="A214" s="126"/>
      <c r="B214" s="131"/>
      <c r="C214" s="127"/>
      <c r="D214" s="128"/>
      <c r="E214" s="129"/>
      <c r="F214" s="135"/>
      <c r="G214" s="165"/>
      <c r="K214" s="134"/>
      <c r="L214" s="134"/>
    </row>
    <row r="215" spans="1:12" ht="14.25" x14ac:dyDescent="0.2">
      <c r="A215" s="126"/>
      <c r="B215" s="131"/>
      <c r="C215" s="127"/>
      <c r="D215" s="128"/>
      <c r="E215" s="129"/>
      <c r="F215" s="135"/>
      <c r="G215" s="165"/>
      <c r="K215" s="134"/>
    </row>
    <row r="216" spans="1:12" ht="13.5" customHeight="1" x14ac:dyDescent="0.2">
      <c r="A216" s="126"/>
      <c r="B216" s="131"/>
      <c r="C216" s="127"/>
      <c r="D216" s="128"/>
      <c r="E216" s="129"/>
      <c r="F216" s="135"/>
      <c r="G216" s="165"/>
      <c r="K216" s="134"/>
      <c r="L216" s="134"/>
    </row>
    <row r="217" spans="1:12" ht="15.75" customHeight="1" x14ac:dyDescent="0.2">
      <c r="A217" s="126"/>
      <c r="B217" s="131"/>
      <c r="C217" s="127"/>
      <c r="D217" s="128"/>
      <c r="E217" s="129"/>
      <c r="F217" s="135"/>
      <c r="G217" s="165"/>
      <c r="K217" s="134"/>
      <c r="L217" s="134"/>
    </row>
    <row r="218" spans="1:12" ht="18" customHeight="1" x14ac:dyDescent="0.2">
      <c r="A218" s="126"/>
      <c r="B218" s="131"/>
      <c r="C218" s="127"/>
      <c r="D218" s="128"/>
      <c r="E218" s="129"/>
      <c r="F218" s="135"/>
      <c r="G218" s="165"/>
      <c r="K218" s="134"/>
      <c r="L218" s="134"/>
    </row>
    <row r="219" spans="1:12" ht="15" customHeight="1" x14ac:dyDescent="0.2">
      <c r="A219" s="126"/>
      <c r="B219" s="131"/>
      <c r="C219" s="127"/>
      <c r="D219" s="128"/>
      <c r="E219" s="129"/>
      <c r="F219" s="135"/>
      <c r="G219" s="165"/>
      <c r="K219" s="134"/>
      <c r="L219" s="134"/>
    </row>
    <row r="220" spans="1:12" ht="21" customHeight="1" x14ac:dyDescent="0.2">
      <c r="A220" s="126"/>
      <c r="B220" s="131"/>
      <c r="C220" s="127"/>
      <c r="D220" s="128"/>
      <c r="E220" s="129"/>
      <c r="F220" s="135"/>
      <c r="G220" s="165"/>
      <c r="K220" s="134"/>
    </row>
    <row r="221" spans="1:12" ht="14.25" x14ac:dyDescent="0.2">
      <c r="A221" s="126"/>
      <c r="B221" s="131"/>
      <c r="C221" s="127"/>
      <c r="D221" s="128"/>
      <c r="E221" s="129"/>
      <c r="F221" s="135"/>
      <c r="G221" s="165"/>
      <c r="K221" s="134"/>
    </row>
    <row r="222" spans="1:12" ht="14.25" x14ac:dyDescent="0.2">
      <c r="A222" s="126"/>
      <c r="B222" s="131"/>
      <c r="C222" s="127"/>
      <c r="D222" s="128"/>
      <c r="E222" s="129"/>
      <c r="F222" s="135"/>
      <c r="G222" s="165"/>
      <c r="K222" s="134"/>
    </row>
    <row r="223" spans="1:12" ht="14.25" x14ac:dyDescent="0.2">
      <c r="A223" s="126"/>
      <c r="B223" s="131"/>
      <c r="C223" s="127"/>
      <c r="D223" s="128"/>
      <c r="E223" s="129"/>
      <c r="F223" s="135"/>
      <c r="G223" s="165"/>
      <c r="K223" s="134"/>
    </row>
    <row r="224" spans="1:12" ht="14.25" x14ac:dyDescent="0.2">
      <c r="A224" s="126"/>
      <c r="B224" s="131"/>
      <c r="C224" s="127"/>
      <c r="D224" s="128"/>
      <c r="E224" s="129"/>
      <c r="F224" s="135"/>
      <c r="G224" s="165"/>
      <c r="K224" s="134"/>
    </row>
    <row r="225" spans="1:12" ht="14.25" x14ac:dyDescent="0.2">
      <c r="A225" s="126"/>
      <c r="B225" s="131"/>
      <c r="C225" s="127"/>
      <c r="D225" s="128"/>
      <c r="E225" s="129"/>
      <c r="F225" s="135"/>
      <c r="G225" s="165"/>
      <c r="K225" s="134"/>
    </row>
    <row r="226" spans="1:12" ht="14.25" x14ac:dyDescent="0.2">
      <c r="A226" s="126"/>
      <c r="B226" s="131"/>
      <c r="C226" s="127"/>
      <c r="D226" s="128"/>
      <c r="E226" s="129"/>
      <c r="F226" s="135"/>
      <c r="G226" s="165"/>
      <c r="J226" s="134"/>
      <c r="K226" s="134"/>
    </row>
    <row r="227" spans="1:12" ht="14.25" x14ac:dyDescent="0.2">
      <c r="A227" s="126"/>
      <c r="B227" s="131"/>
      <c r="C227" s="127"/>
      <c r="D227" s="128"/>
      <c r="E227" s="129"/>
      <c r="F227" s="135"/>
      <c r="G227" s="165"/>
      <c r="K227" s="134"/>
    </row>
    <row r="228" spans="1:12" ht="14.25" x14ac:dyDescent="0.2">
      <c r="A228" s="126"/>
      <c r="B228" s="131"/>
      <c r="C228" s="127"/>
      <c r="D228" s="128"/>
      <c r="E228" s="129"/>
      <c r="F228" s="135"/>
      <c r="G228" s="165"/>
      <c r="K228" s="134"/>
    </row>
    <row r="229" spans="1:12" ht="14.25" x14ac:dyDescent="0.2">
      <c r="A229" s="126"/>
      <c r="B229" s="131"/>
      <c r="C229" s="127"/>
      <c r="D229" s="128"/>
      <c r="E229" s="129"/>
      <c r="F229" s="135"/>
      <c r="G229" s="165"/>
      <c r="K229" s="134"/>
    </row>
    <row r="230" spans="1:12" ht="14.25" x14ac:dyDescent="0.2">
      <c r="A230" s="126"/>
      <c r="B230" s="131"/>
      <c r="C230" s="127"/>
      <c r="D230" s="128"/>
      <c r="E230" s="129"/>
      <c r="F230" s="135"/>
      <c r="G230" s="165"/>
      <c r="K230" s="134"/>
    </row>
    <row r="231" spans="1:12" ht="14.25" x14ac:dyDescent="0.2">
      <c r="A231" s="126"/>
      <c r="B231" s="131"/>
      <c r="C231" s="127"/>
      <c r="D231" s="128"/>
      <c r="E231" s="129"/>
      <c r="F231" s="135"/>
      <c r="G231" s="165"/>
      <c r="K231" s="134"/>
    </row>
    <row r="232" spans="1:12" ht="14.25" x14ac:dyDescent="0.2">
      <c r="A232" s="126"/>
      <c r="B232" s="131"/>
      <c r="C232" s="127"/>
      <c r="D232" s="128"/>
      <c r="E232" s="129"/>
      <c r="F232" s="135"/>
      <c r="G232" s="165"/>
      <c r="K232" s="134"/>
    </row>
    <row r="233" spans="1:12" ht="14.25" x14ac:dyDescent="0.2">
      <c r="A233" s="126"/>
      <c r="B233" s="131"/>
      <c r="C233" s="127"/>
      <c r="D233" s="128"/>
      <c r="E233" s="129"/>
      <c r="F233" s="135"/>
      <c r="G233" s="165"/>
      <c r="K233" s="134"/>
      <c r="L233" s="134"/>
    </row>
    <row r="234" spans="1:12" ht="14.25" x14ac:dyDescent="0.2">
      <c r="A234" s="126"/>
      <c r="B234" s="131"/>
      <c r="C234" s="127"/>
      <c r="D234" s="128"/>
      <c r="E234" s="129"/>
      <c r="F234" s="135"/>
      <c r="G234" s="165"/>
      <c r="K234" s="134"/>
      <c r="L234" s="134"/>
    </row>
    <row r="235" spans="1:12" ht="14.25" x14ac:dyDescent="0.2">
      <c r="A235" s="126"/>
      <c r="B235" s="131"/>
      <c r="C235" s="127"/>
      <c r="D235" s="128"/>
      <c r="E235" s="129"/>
      <c r="F235" s="135"/>
      <c r="G235" s="165"/>
      <c r="K235" s="134"/>
    </row>
    <row r="236" spans="1:12" ht="14.25" x14ac:dyDescent="0.2">
      <c r="A236" s="126"/>
      <c r="B236" s="131"/>
      <c r="C236" s="127"/>
      <c r="D236" s="128"/>
      <c r="E236" s="129"/>
      <c r="F236" s="135"/>
      <c r="G236" s="165"/>
      <c r="K236" s="134"/>
    </row>
    <row r="237" spans="1:12" ht="14.25" x14ac:dyDescent="0.2">
      <c r="A237" s="126"/>
      <c r="B237" s="131"/>
      <c r="C237" s="127"/>
      <c r="D237" s="128"/>
      <c r="E237" s="129"/>
      <c r="F237" s="135"/>
      <c r="G237" s="165"/>
      <c r="K237" s="134"/>
    </row>
    <row r="238" spans="1:12" ht="14.25" x14ac:dyDescent="0.2">
      <c r="A238" s="126"/>
      <c r="B238" s="131"/>
      <c r="C238" s="127"/>
      <c r="D238" s="128"/>
      <c r="E238" s="129"/>
      <c r="F238" s="135"/>
      <c r="G238" s="165"/>
      <c r="K238" s="134"/>
    </row>
    <row r="239" spans="1:12" ht="14.25" x14ac:dyDescent="0.2">
      <c r="A239" s="126"/>
      <c r="B239" s="131"/>
      <c r="C239" s="127"/>
      <c r="D239" s="128"/>
      <c r="E239" s="129"/>
      <c r="F239" s="135"/>
      <c r="G239" s="165"/>
      <c r="K239" s="134"/>
      <c r="L239" s="134"/>
    </row>
    <row r="240" spans="1:12" ht="14.25" x14ac:dyDescent="0.2">
      <c r="A240" s="126">
        <v>1</v>
      </c>
      <c r="K240" s="134"/>
      <c r="L240" s="134"/>
    </row>
    <row r="241" spans="1:12" ht="14.25" x14ac:dyDescent="0.2">
      <c r="A241" s="126">
        <v>2</v>
      </c>
      <c r="K241" s="134"/>
      <c r="L241" s="134"/>
    </row>
    <row r="242" spans="1:12" ht="14.25" x14ac:dyDescent="0.2">
      <c r="A242" s="126">
        <v>3</v>
      </c>
      <c r="K242" s="134"/>
      <c r="L242" s="134"/>
    </row>
    <row r="243" spans="1:12" ht="14.25" x14ac:dyDescent="0.2">
      <c r="A243" s="126"/>
      <c r="K243" s="134"/>
    </row>
    <row r="244" spans="1:12" ht="14.25" x14ac:dyDescent="0.2">
      <c r="A244" s="126"/>
      <c r="B244" s="178"/>
      <c r="C244" s="179"/>
      <c r="D244" s="180"/>
      <c r="E244" s="181"/>
      <c r="F244" s="182"/>
      <c r="G244" s="183"/>
      <c r="H244" s="167"/>
      <c r="K244" s="134"/>
    </row>
    <row r="245" spans="1:12" ht="14.25" x14ac:dyDescent="0.2">
      <c r="A245" s="126"/>
      <c r="B245" s="131"/>
      <c r="C245" s="127"/>
      <c r="D245" s="128"/>
      <c r="E245" s="129"/>
      <c r="F245" s="135"/>
      <c r="G245" s="165"/>
      <c r="K245" s="134"/>
    </row>
    <row r="246" spans="1:12" ht="14.25" x14ac:dyDescent="0.2">
      <c r="A246" s="126"/>
      <c r="B246" s="178"/>
      <c r="C246" s="179"/>
      <c r="D246" s="180"/>
      <c r="E246" s="181"/>
      <c r="F246" s="182"/>
      <c r="G246" s="183"/>
      <c r="H246" s="167"/>
      <c r="K246" s="134"/>
      <c r="L246" s="134"/>
    </row>
    <row r="247" spans="1:12" ht="14.25" x14ac:dyDescent="0.2">
      <c r="A247" s="126"/>
      <c r="B247" s="131"/>
      <c r="C247" s="127"/>
      <c r="D247" s="128"/>
      <c r="E247" s="129"/>
      <c r="F247" s="135"/>
      <c r="G247" s="165"/>
      <c r="K247" s="134"/>
    </row>
    <row r="248" spans="1:12" ht="14.25" x14ac:dyDescent="0.2">
      <c r="A248" s="126"/>
      <c r="B248" s="131"/>
      <c r="C248" s="127"/>
      <c r="D248" s="128"/>
      <c r="E248" s="129"/>
      <c r="F248" s="135"/>
      <c r="G248" s="165"/>
      <c r="K248" s="134"/>
      <c r="L248" s="134"/>
    </row>
    <row r="249" spans="1:12" ht="14.25" x14ac:dyDescent="0.2">
      <c r="A249" s="126"/>
      <c r="B249" s="131"/>
      <c r="C249" s="127"/>
      <c r="D249" s="128"/>
      <c r="E249" s="129"/>
      <c r="F249" s="135"/>
      <c r="G249" s="165"/>
      <c r="K249" s="134"/>
      <c r="L249" s="134"/>
    </row>
    <row r="250" spans="1:12" ht="14.25" x14ac:dyDescent="0.2">
      <c r="A250" s="126"/>
      <c r="B250" s="131"/>
      <c r="C250" s="127"/>
      <c r="D250" s="128"/>
      <c r="E250" s="129"/>
      <c r="F250" s="135"/>
      <c r="G250" s="165"/>
      <c r="K250" s="134"/>
      <c r="L250" s="134"/>
    </row>
    <row r="251" spans="1:12" ht="14.25" x14ac:dyDescent="0.2">
      <c r="A251" s="126"/>
      <c r="B251" s="131"/>
      <c r="C251" s="127"/>
      <c r="D251" s="128"/>
      <c r="E251" s="129"/>
      <c r="F251" s="135"/>
      <c r="G251" s="165"/>
      <c r="K251" s="134"/>
    </row>
    <row r="252" spans="1:12" ht="14.25" x14ac:dyDescent="0.2">
      <c r="A252" s="126"/>
      <c r="B252" s="131"/>
      <c r="C252" s="127"/>
      <c r="D252" s="128"/>
      <c r="E252" s="129"/>
      <c r="F252" s="135"/>
      <c r="G252" s="165"/>
      <c r="K252" s="134"/>
    </row>
    <row r="253" spans="1:12" ht="14.25" x14ac:dyDescent="0.2">
      <c r="A253" s="126"/>
      <c r="B253" s="131"/>
      <c r="C253" s="127"/>
      <c r="D253" s="128"/>
      <c r="E253" s="129"/>
      <c r="F253" s="135"/>
      <c r="G253" s="165"/>
      <c r="K253" s="134"/>
    </row>
    <row r="254" spans="1:12" ht="14.25" x14ac:dyDescent="0.2">
      <c r="A254" s="126"/>
      <c r="B254" s="131"/>
      <c r="C254" s="127"/>
      <c r="D254" s="128"/>
      <c r="E254" s="129"/>
      <c r="F254" s="135"/>
      <c r="G254" s="165"/>
      <c r="K254" s="134"/>
    </row>
    <row r="255" spans="1:12" ht="14.25" x14ac:dyDescent="0.2">
      <c r="A255" s="126"/>
      <c r="B255" s="131"/>
      <c r="C255" s="127"/>
      <c r="D255" s="128"/>
      <c r="E255" s="129"/>
      <c r="F255" s="135"/>
      <c r="G255" s="165"/>
      <c r="K255" s="134"/>
    </row>
    <row r="256" spans="1:12" ht="14.25" x14ac:dyDescent="0.2">
      <c r="A256" s="126"/>
      <c r="B256" s="131"/>
      <c r="C256" s="127"/>
      <c r="D256" s="128"/>
      <c r="E256" s="129"/>
      <c r="F256" s="135"/>
      <c r="G256" s="165"/>
      <c r="K256" s="134"/>
    </row>
    <row r="257" spans="1:12" ht="14.25" x14ac:dyDescent="0.2">
      <c r="A257" s="126"/>
      <c r="B257" s="131"/>
      <c r="C257" s="127"/>
      <c r="D257" s="128"/>
      <c r="E257" s="129"/>
      <c r="F257" s="135"/>
      <c r="G257" s="165"/>
      <c r="K257" s="134"/>
    </row>
    <row r="258" spans="1:12" ht="14.25" x14ac:dyDescent="0.2">
      <c r="A258" s="126"/>
      <c r="B258" s="131"/>
      <c r="C258" s="127"/>
      <c r="D258" s="128"/>
      <c r="E258" s="129"/>
      <c r="F258" s="135"/>
      <c r="G258" s="165"/>
      <c r="K258" s="134"/>
      <c r="L258" s="134"/>
    </row>
    <row r="259" spans="1:12" ht="14.25" x14ac:dyDescent="0.2">
      <c r="A259" s="126"/>
      <c r="B259" s="131"/>
      <c r="C259" s="127"/>
      <c r="D259" s="128"/>
      <c r="E259" s="129"/>
      <c r="F259" s="135"/>
      <c r="G259" s="165"/>
      <c r="K259" s="134"/>
      <c r="L259" s="134"/>
    </row>
    <row r="260" spans="1:12" ht="14.25" x14ac:dyDescent="0.2">
      <c r="A260" s="126"/>
      <c r="B260" s="131"/>
      <c r="C260" s="127"/>
      <c r="D260" s="128"/>
      <c r="E260" s="129"/>
      <c r="F260" s="135"/>
      <c r="G260" s="165"/>
      <c r="K260" s="134"/>
      <c r="L260" s="134"/>
    </row>
    <row r="261" spans="1:12" ht="18.75" customHeight="1" x14ac:dyDescent="0.2">
      <c r="A261" s="126"/>
      <c r="B261" s="131"/>
      <c r="C261" s="127"/>
      <c r="D261" s="128"/>
      <c r="E261" s="129"/>
      <c r="F261" s="135"/>
      <c r="G261" s="165"/>
      <c r="K261" s="134"/>
      <c r="L261" s="134"/>
    </row>
    <row r="262" spans="1:12" ht="14.25" x14ac:dyDescent="0.2">
      <c r="A262" s="126"/>
      <c r="B262" s="131"/>
      <c r="C262" s="127"/>
      <c r="D262" s="128"/>
      <c r="E262" s="129"/>
      <c r="F262" s="135"/>
      <c r="G262" s="165"/>
      <c r="K262" s="134"/>
    </row>
    <row r="263" spans="1:12" ht="14.25" x14ac:dyDescent="0.2">
      <c r="A263" s="126"/>
      <c r="B263" s="131"/>
      <c r="C263" s="127"/>
      <c r="D263" s="128"/>
      <c r="E263" s="129"/>
      <c r="F263" s="135"/>
      <c r="G263" s="165"/>
      <c r="K263" s="134"/>
      <c r="L263" s="134"/>
    </row>
    <row r="264" spans="1:12" ht="14.25" x14ac:dyDescent="0.2">
      <c r="A264" s="126"/>
      <c r="B264" s="131"/>
      <c r="C264" s="127"/>
      <c r="D264" s="128"/>
      <c r="E264" s="129"/>
      <c r="F264" s="135"/>
      <c r="G264" s="165"/>
      <c r="K264" s="134"/>
      <c r="L264" s="134"/>
    </row>
    <row r="265" spans="1:12" ht="14.25" x14ac:dyDescent="0.2">
      <c r="A265" s="126"/>
      <c r="B265" s="131"/>
      <c r="C265" s="127"/>
      <c r="D265" s="128"/>
      <c r="E265" s="129"/>
      <c r="F265" s="135"/>
      <c r="G265" s="165"/>
      <c r="K265" s="134"/>
      <c r="L265" s="134"/>
    </row>
    <row r="266" spans="1:12" ht="14.25" x14ac:dyDescent="0.2">
      <c r="A266" s="126"/>
      <c r="B266" s="131"/>
      <c r="C266" s="127"/>
      <c r="D266" s="128"/>
      <c r="E266" s="129"/>
      <c r="F266" s="135"/>
      <c r="G266" s="165"/>
      <c r="K266" s="134"/>
      <c r="L266" s="134"/>
    </row>
    <row r="267" spans="1:12" ht="14.25" x14ac:dyDescent="0.2">
      <c r="A267" s="126"/>
      <c r="B267" s="131"/>
      <c r="C267" s="127"/>
      <c r="D267" s="128"/>
      <c r="E267" s="129"/>
      <c r="F267" s="135"/>
      <c r="G267" s="165"/>
      <c r="K267" s="134"/>
    </row>
    <row r="268" spans="1:12" ht="14.25" x14ac:dyDescent="0.2">
      <c r="A268" s="126"/>
      <c r="B268" s="131"/>
      <c r="C268" s="127"/>
      <c r="D268" s="128"/>
      <c r="E268" s="129"/>
      <c r="F268" s="135"/>
      <c r="G268" s="165"/>
      <c r="K268" s="134"/>
    </row>
    <row r="269" spans="1:12" ht="14.25" x14ac:dyDescent="0.2">
      <c r="A269" s="126"/>
      <c r="B269" s="131"/>
      <c r="C269" s="127"/>
      <c r="D269" s="128"/>
      <c r="E269" s="129"/>
      <c r="F269" s="135"/>
      <c r="G269" s="165"/>
      <c r="K269" s="134"/>
    </row>
    <row r="270" spans="1:12" ht="14.25" x14ac:dyDescent="0.2">
      <c r="A270" s="126"/>
      <c r="B270" s="131"/>
      <c r="C270" s="127"/>
      <c r="D270" s="128"/>
      <c r="E270" s="129"/>
      <c r="F270" s="135"/>
      <c r="G270" s="165"/>
      <c r="K270" s="134"/>
    </row>
    <row r="271" spans="1:12" ht="14.25" x14ac:dyDescent="0.2">
      <c r="A271" s="126"/>
      <c r="B271" s="131"/>
      <c r="C271" s="127"/>
      <c r="D271" s="128"/>
      <c r="E271" s="129"/>
      <c r="F271" s="135"/>
      <c r="G271" s="165"/>
      <c r="K271" s="134"/>
    </row>
    <row r="272" spans="1:12" ht="14.25" x14ac:dyDescent="0.2">
      <c r="A272" s="126"/>
      <c r="B272" s="131"/>
      <c r="C272" s="127"/>
      <c r="D272" s="128"/>
      <c r="E272" s="129"/>
      <c r="F272" s="135"/>
      <c r="G272" s="165"/>
      <c r="K272" s="134"/>
      <c r="L272" s="134"/>
    </row>
    <row r="273" spans="1:12" ht="14.25" x14ac:dyDescent="0.2">
      <c r="A273" s="126"/>
      <c r="B273" s="131"/>
      <c r="C273" s="127"/>
      <c r="D273" s="128"/>
      <c r="E273" s="129"/>
      <c r="F273" s="135"/>
      <c r="G273" s="165"/>
      <c r="K273" s="134"/>
      <c r="L273" s="134"/>
    </row>
    <row r="274" spans="1:12" ht="14.25" x14ac:dyDescent="0.2">
      <c r="A274" s="126"/>
      <c r="B274" s="131"/>
      <c r="C274" s="127"/>
      <c r="D274" s="128"/>
      <c r="E274" s="129"/>
      <c r="F274" s="135"/>
      <c r="G274" s="165"/>
      <c r="K274" s="134"/>
      <c r="L274" s="134"/>
    </row>
    <row r="275" spans="1:12" ht="14.25" x14ac:dyDescent="0.2">
      <c r="A275" s="126"/>
      <c r="B275" s="131"/>
      <c r="C275" s="127"/>
      <c r="D275" s="128"/>
      <c r="E275" s="129"/>
      <c r="F275" s="135"/>
      <c r="G275" s="165"/>
      <c r="K275" s="134"/>
      <c r="L275" s="134"/>
    </row>
    <row r="276" spans="1:12" ht="14.25" x14ac:dyDescent="0.2">
      <c r="A276" s="126"/>
      <c r="B276" s="131"/>
      <c r="C276" s="127"/>
      <c r="D276" s="128"/>
      <c r="E276" s="129"/>
      <c r="F276" s="135"/>
      <c r="G276" s="165"/>
      <c r="K276" s="134"/>
      <c r="L276" s="134"/>
    </row>
    <row r="277" spans="1:12" ht="14.25" x14ac:dyDescent="0.2">
      <c r="A277" s="126"/>
      <c r="B277" s="131"/>
      <c r="C277" s="127"/>
      <c r="D277" s="128"/>
      <c r="E277" s="129"/>
      <c r="F277" s="135"/>
      <c r="G277" s="165"/>
      <c r="K277" s="134"/>
    </row>
    <row r="278" spans="1:12" ht="14.25" x14ac:dyDescent="0.2">
      <c r="A278" s="126"/>
      <c r="B278" s="131"/>
      <c r="C278" s="127"/>
      <c r="D278" s="128"/>
      <c r="E278" s="129"/>
      <c r="F278" s="135"/>
      <c r="G278" s="165"/>
      <c r="K278" s="134"/>
      <c r="L278" s="134"/>
    </row>
    <row r="279" spans="1:12" ht="14.25" x14ac:dyDescent="0.2">
      <c r="A279" s="126"/>
      <c r="B279" s="131"/>
      <c r="C279" s="127"/>
      <c r="D279" s="128"/>
      <c r="E279" s="129"/>
      <c r="F279" s="135"/>
      <c r="G279" s="165"/>
      <c r="K279" s="134"/>
    </row>
    <row r="280" spans="1:12" ht="14.25" x14ac:dyDescent="0.2">
      <c r="A280" s="126"/>
      <c r="B280" s="131"/>
      <c r="C280" s="127"/>
      <c r="D280" s="128"/>
      <c r="E280" s="129"/>
      <c r="F280" s="135"/>
      <c r="G280" s="165"/>
      <c r="K280" s="134"/>
      <c r="L280" s="134"/>
    </row>
    <row r="281" spans="1:12" ht="14.25" x14ac:dyDescent="0.2">
      <c r="A281" s="126"/>
      <c r="B281" s="131"/>
      <c r="C281" s="127"/>
      <c r="D281" s="128"/>
      <c r="E281" s="129"/>
      <c r="F281" s="135"/>
      <c r="G281" s="165"/>
      <c r="K281" s="134"/>
      <c r="L281" s="134"/>
    </row>
    <row r="282" spans="1:12" ht="14.25" x14ac:dyDescent="0.2">
      <c r="A282" s="126"/>
      <c r="B282" s="131"/>
      <c r="C282" s="127"/>
      <c r="D282" s="128"/>
      <c r="E282" s="129"/>
      <c r="F282" s="135"/>
      <c r="G282" s="165"/>
      <c r="K282" s="134"/>
    </row>
    <row r="283" spans="1:12" ht="14.25" x14ac:dyDescent="0.2">
      <c r="A283" s="126"/>
      <c r="B283" s="131"/>
      <c r="C283" s="127"/>
      <c r="D283" s="128"/>
      <c r="E283" s="129"/>
      <c r="F283" s="135"/>
      <c r="G283" s="165"/>
      <c r="K283" s="134"/>
    </row>
    <row r="284" spans="1:12" ht="14.25" x14ac:dyDescent="0.2">
      <c r="A284" s="126"/>
      <c r="B284" s="131"/>
      <c r="C284" s="127"/>
      <c r="D284" s="128"/>
      <c r="E284" s="129"/>
      <c r="F284" s="135"/>
      <c r="G284" s="165"/>
      <c r="K284" s="134"/>
      <c r="L284" s="134"/>
    </row>
    <row r="285" spans="1:12" ht="14.25" x14ac:dyDescent="0.2">
      <c r="A285" s="126"/>
      <c r="B285" s="131"/>
      <c r="C285" s="127"/>
      <c r="D285" s="128"/>
      <c r="E285" s="129"/>
      <c r="F285" s="135"/>
      <c r="G285" s="165"/>
      <c r="K285" s="134"/>
    </row>
    <row r="286" spans="1:12" ht="14.25" x14ac:dyDescent="0.2">
      <c r="A286" s="126"/>
      <c r="B286" s="131"/>
      <c r="C286" s="127"/>
      <c r="D286" s="128"/>
      <c r="E286" s="129"/>
      <c r="F286" s="135"/>
      <c r="G286" s="165"/>
      <c r="K286" s="134"/>
    </row>
    <row r="287" spans="1:12" ht="14.25" x14ac:dyDescent="0.2">
      <c r="A287" s="126"/>
      <c r="B287" s="131"/>
      <c r="C287" s="127"/>
      <c r="D287" s="128"/>
      <c r="E287" s="129"/>
      <c r="F287" s="135"/>
      <c r="G287" s="165"/>
      <c r="K287" s="134"/>
    </row>
    <row r="288" spans="1:12" ht="14.25" x14ac:dyDescent="0.2">
      <c r="A288" s="126"/>
      <c r="B288" s="131"/>
      <c r="C288" s="127"/>
      <c r="D288" s="128"/>
      <c r="E288" s="129"/>
      <c r="F288" s="135"/>
      <c r="G288" s="165"/>
      <c r="K288" s="134"/>
    </row>
    <row r="289" spans="1:12" ht="14.25" x14ac:dyDescent="0.2">
      <c r="A289" s="126"/>
      <c r="B289" s="131"/>
      <c r="C289" s="127"/>
      <c r="D289" s="128"/>
      <c r="E289" s="129"/>
      <c r="F289" s="135"/>
      <c r="G289" s="165"/>
      <c r="K289" s="134"/>
    </row>
    <row r="290" spans="1:12" ht="14.25" x14ac:dyDescent="0.2">
      <c r="A290" s="126"/>
      <c r="B290" s="131"/>
      <c r="C290" s="127"/>
      <c r="D290" s="128"/>
      <c r="E290" s="129"/>
      <c r="F290" s="135"/>
      <c r="G290" s="165"/>
      <c r="K290" s="134"/>
    </row>
    <row r="291" spans="1:12" ht="14.25" x14ac:dyDescent="0.2">
      <c r="A291" s="126"/>
      <c r="B291" s="131"/>
      <c r="C291" s="127"/>
      <c r="D291" s="128"/>
      <c r="E291" s="129"/>
      <c r="F291" s="135"/>
      <c r="G291" s="165"/>
      <c r="K291" s="134"/>
      <c r="L291" s="134"/>
    </row>
    <row r="292" spans="1:12" ht="14.25" x14ac:dyDescent="0.2">
      <c r="A292" s="126"/>
      <c r="B292" s="131"/>
      <c r="C292" s="127"/>
      <c r="D292" s="128"/>
      <c r="E292" s="129"/>
      <c r="F292" s="135"/>
      <c r="G292" s="165"/>
      <c r="K292" s="134"/>
      <c r="L292" s="134"/>
    </row>
    <row r="293" spans="1:12" ht="14.25" x14ac:dyDescent="0.2">
      <c r="A293" s="126"/>
      <c r="B293" s="131"/>
      <c r="C293" s="127"/>
      <c r="D293" s="128"/>
      <c r="E293" s="129"/>
      <c r="F293" s="135"/>
      <c r="G293" s="165"/>
      <c r="K293" s="134"/>
      <c r="L293" s="134"/>
    </row>
    <row r="294" spans="1:12" ht="14.25" x14ac:dyDescent="0.2">
      <c r="A294" s="126"/>
      <c r="B294" s="131"/>
      <c r="C294" s="127"/>
      <c r="D294" s="128"/>
      <c r="E294" s="129"/>
      <c r="F294" s="135"/>
      <c r="G294" s="165"/>
      <c r="K294" s="134"/>
      <c r="L294" s="134"/>
    </row>
    <row r="295" spans="1:12" ht="14.25" x14ac:dyDescent="0.2">
      <c r="A295" s="126"/>
      <c r="B295" s="131"/>
      <c r="C295" s="127"/>
      <c r="D295" s="128"/>
      <c r="E295" s="129"/>
      <c r="F295" s="135"/>
      <c r="G295" s="165"/>
      <c r="K295" s="134"/>
    </row>
    <row r="296" spans="1:12" ht="14.25" x14ac:dyDescent="0.2">
      <c r="A296" s="126"/>
      <c r="B296" s="131"/>
      <c r="C296" s="127"/>
      <c r="D296" s="128"/>
      <c r="E296" s="129"/>
      <c r="F296" s="135"/>
      <c r="G296" s="165"/>
      <c r="K296" s="134"/>
    </row>
    <row r="297" spans="1:12" ht="14.25" x14ac:dyDescent="0.2">
      <c r="A297" s="126"/>
      <c r="B297" s="131"/>
      <c r="C297" s="127"/>
      <c r="D297" s="128"/>
      <c r="E297" s="129"/>
      <c r="F297" s="135"/>
      <c r="G297" s="165"/>
      <c r="K297" s="134"/>
    </row>
    <row r="298" spans="1:12" ht="14.25" x14ac:dyDescent="0.2">
      <c r="A298" s="126"/>
      <c r="B298" s="131"/>
      <c r="C298" s="127"/>
      <c r="D298" s="128"/>
      <c r="E298" s="129"/>
      <c r="F298" s="135"/>
      <c r="G298" s="165"/>
      <c r="K298" s="134"/>
    </row>
    <row r="299" spans="1:12" ht="14.25" x14ac:dyDescent="0.2">
      <c r="A299" s="126"/>
      <c r="B299" s="131"/>
      <c r="C299" s="127"/>
      <c r="D299" s="128"/>
      <c r="E299" s="129"/>
      <c r="F299" s="135"/>
      <c r="G299" s="165"/>
      <c r="K299" s="134"/>
    </row>
    <row r="300" spans="1:12" ht="18.75" customHeight="1" x14ac:dyDescent="0.2">
      <c r="A300" s="126"/>
      <c r="B300" s="131"/>
      <c r="C300" s="137"/>
      <c r="D300" s="128"/>
      <c r="E300" s="135"/>
      <c r="F300" s="135"/>
      <c r="G300" s="165"/>
      <c r="K300" s="134"/>
    </row>
    <row r="301" spans="1:12" ht="18.75" customHeight="1" x14ac:dyDescent="0.2">
      <c r="A301" s="126"/>
      <c r="B301" s="131"/>
      <c r="C301" s="137"/>
      <c r="D301" s="136"/>
      <c r="E301" s="135"/>
      <c r="F301" s="135"/>
      <c r="G301" s="165"/>
      <c r="K301" s="134"/>
    </row>
    <row r="302" spans="1:12" ht="18.75" customHeight="1" x14ac:dyDescent="0.2">
      <c r="A302" s="126"/>
      <c r="B302" s="131"/>
      <c r="C302" s="137"/>
      <c r="D302" s="136"/>
      <c r="E302" s="135"/>
      <c r="F302" s="135"/>
      <c r="G302" s="165"/>
      <c r="K302" s="134"/>
    </row>
    <row r="303" spans="1:12" ht="18.75" customHeight="1" x14ac:dyDescent="0.2">
      <c r="A303" s="126"/>
      <c r="B303" s="131"/>
      <c r="C303" s="137"/>
      <c r="D303" s="128"/>
      <c r="E303" s="135"/>
      <c r="F303" s="135"/>
      <c r="G303" s="165"/>
      <c r="K303" s="134"/>
    </row>
    <row r="304" spans="1:12" ht="18.75" customHeight="1" x14ac:dyDescent="0.2">
      <c r="A304" s="126"/>
      <c r="B304" s="131"/>
      <c r="C304" s="137"/>
      <c r="D304" s="136"/>
      <c r="E304" s="135"/>
      <c r="F304" s="135"/>
      <c r="G304" s="165"/>
      <c r="K304" s="134"/>
    </row>
    <row r="305" spans="1:12" ht="18.75" customHeight="1" x14ac:dyDescent="0.2">
      <c r="A305" s="126"/>
      <c r="B305" s="131"/>
      <c r="C305" s="137"/>
      <c r="D305" s="128"/>
      <c r="E305" s="135"/>
      <c r="F305" s="135"/>
      <c r="G305" s="165"/>
      <c r="K305" s="134"/>
      <c r="L305" s="134"/>
    </row>
    <row r="306" spans="1:12" ht="18.75" customHeight="1" x14ac:dyDescent="0.2">
      <c r="A306" s="126"/>
      <c r="B306" s="131"/>
      <c r="C306" s="137"/>
      <c r="D306" s="136"/>
      <c r="E306" s="135"/>
      <c r="F306" s="135"/>
      <c r="G306" s="165"/>
      <c r="K306" s="134"/>
      <c r="L306" s="134"/>
    </row>
    <row r="307" spans="1:12" ht="18.75" customHeight="1" x14ac:dyDescent="0.2">
      <c r="A307" s="126"/>
      <c r="B307" s="131"/>
      <c r="C307" s="137"/>
      <c r="D307" s="136"/>
      <c r="E307" s="135"/>
      <c r="F307" s="135"/>
      <c r="G307" s="165"/>
      <c r="K307" s="134"/>
      <c r="L307" s="134"/>
    </row>
    <row r="308" spans="1:12" ht="18.75" customHeight="1" x14ac:dyDescent="0.2">
      <c r="A308" s="126"/>
      <c r="B308" s="131"/>
      <c r="C308" s="137"/>
      <c r="D308" s="136"/>
      <c r="E308" s="135"/>
      <c r="F308" s="135"/>
      <c r="G308" s="165"/>
      <c r="K308" s="134"/>
      <c r="L308" s="134"/>
    </row>
    <row r="309" spans="1:12" ht="18.75" customHeight="1" x14ac:dyDescent="0.2">
      <c r="A309" s="126"/>
      <c r="B309" s="131"/>
      <c r="C309" s="137"/>
      <c r="D309" s="136"/>
      <c r="E309" s="135"/>
      <c r="F309" s="135"/>
      <c r="G309" s="165"/>
      <c r="K309" s="134"/>
    </row>
    <row r="310" spans="1:12" ht="18.75" customHeight="1" x14ac:dyDescent="0.2">
      <c r="A310" s="126"/>
      <c r="B310" s="131"/>
      <c r="C310" s="137"/>
      <c r="D310" s="136"/>
      <c r="E310" s="135"/>
      <c r="F310" s="135"/>
      <c r="G310" s="165"/>
      <c r="K310" s="134"/>
    </row>
    <row r="311" spans="1:12" ht="18.75" customHeight="1" x14ac:dyDescent="0.2">
      <c r="A311" s="126"/>
      <c r="B311" s="131"/>
      <c r="C311" s="137"/>
      <c r="D311" s="136"/>
      <c r="E311" s="135"/>
      <c r="F311" s="135"/>
      <c r="G311" s="165"/>
      <c r="K311" s="134"/>
    </row>
    <row r="312" spans="1:12" ht="18.75" customHeight="1" x14ac:dyDescent="0.2">
      <c r="A312" s="126"/>
      <c r="B312" s="131"/>
      <c r="C312" s="137"/>
      <c r="D312" s="136"/>
      <c r="E312" s="135"/>
      <c r="F312" s="135"/>
      <c r="G312" s="165"/>
      <c r="K312" s="134"/>
    </row>
    <row r="313" spans="1:12" ht="18.75" customHeight="1" x14ac:dyDescent="0.2">
      <c r="A313" s="126"/>
      <c r="B313" s="131"/>
      <c r="C313" s="137"/>
      <c r="D313" s="136"/>
      <c r="E313" s="135"/>
      <c r="F313" s="135"/>
      <c r="G313" s="165"/>
    </row>
    <row r="314" spans="1:12" ht="18.75" customHeight="1" x14ac:dyDescent="0.2">
      <c r="A314" s="126"/>
      <c r="B314" s="131"/>
      <c r="C314" s="137"/>
      <c r="D314" s="136"/>
      <c r="E314" s="135"/>
      <c r="F314" s="135"/>
      <c r="G314" s="165"/>
      <c r="K314" s="134"/>
    </row>
    <row r="315" spans="1:12" ht="18.75" customHeight="1" x14ac:dyDescent="0.2">
      <c r="A315" s="126"/>
      <c r="B315" s="131"/>
      <c r="C315" s="137"/>
      <c r="D315" s="136"/>
      <c r="E315" s="135"/>
      <c r="F315" s="135"/>
      <c r="G315" s="165"/>
      <c r="K315" s="134"/>
      <c r="L315" s="134"/>
    </row>
    <row r="316" spans="1:12" ht="18.75" customHeight="1" x14ac:dyDescent="0.2">
      <c r="A316" s="126"/>
      <c r="B316" s="131"/>
      <c r="C316" s="137"/>
      <c r="D316" s="128"/>
      <c r="E316" s="135"/>
      <c r="F316" s="135"/>
      <c r="G316" s="165"/>
      <c r="K316" s="134"/>
      <c r="L316" s="134"/>
    </row>
    <row r="317" spans="1:12" ht="18.75" customHeight="1" x14ac:dyDescent="0.2">
      <c r="A317" s="126"/>
      <c r="B317" s="131"/>
      <c r="C317" s="137"/>
      <c r="D317" s="136"/>
      <c r="E317" s="135"/>
      <c r="F317" s="135"/>
      <c r="G317" s="165"/>
      <c r="K317" s="134"/>
      <c r="L317" s="134"/>
    </row>
    <row r="318" spans="1:12" ht="18.75" customHeight="1" x14ac:dyDescent="0.2">
      <c r="A318" s="126"/>
      <c r="B318" s="131"/>
      <c r="C318" s="137"/>
      <c r="D318" s="136"/>
      <c r="E318" s="135"/>
      <c r="F318" s="135"/>
      <c r="G318" s="165"/>
      <c r="K318" s="134"/>
      <c r="L318" s="134"/>
    </row>
    <row r="319" spans="1:12" ht="18.75" customHeight="1" x14ac:dyDescent="0.2">
      <c r="A319" s="126"/>
      <c r="B319" s="131"/>
      <c r="C319" s="137"/>
      <c r="D319" s="136"/>
      <c r="E319" s="135"/>
      <c r="F319" s="135"/>
      <c r="G319" s="165"/>
      <c r="K319" s="134"/>
    </row>
    <row r="320" spans="1:12" ht="18.75" customHeight="1" x14ac:dyDescent="0.2">
      <c r="A320" s="126"/>
      <c r="B320" s="131"/>
      <c r="C320" s="137"/>
      <c r="D320" s="136"/>
      <c r="E320" s="135"/>
      <c r="F320" s="135"/>
      <c r="G320" s="165"/>
      <c r="K320" s="134"/>
    </row>
    <row r="321" spans="1:12" ht="18.75" customHeight="1" x14ac:dyDescent="0.2">
      <c r="A321" s="126"/>
      <c r="B321" s="131"/>
      <c r="C321" s="137"/>
      <c r="D321" s="136"/>
      <c r="E321" s="135"/>
      <c r="F321" s="135"/>
      <c r="G321" s="165"/>
      <c r="K321" s="134"/>
    </row>
    <row r="322" spans="1:12" ht="18.75" customHeight="1" x14ac:dyDescent="0.2">
      <c r="A322" s="126"/>
      <c r="B322" s="131"/>
      <c r="C322" s="137"/>
      <c r="D322" s="128"/>
      <c r="E322" s="135"/>
      <c r="F322" s="135"/>
      <c r="G322" s="165"/>
      <c r="K322" s="134"/>
    </row>
    <row r="323" spans="1:12" ht="18.75" customHeight="1" x14ac:dyDescent="0.2">
      <c r="A323" s="126"/>
      <c r="B323" s="131"/>
      <c r="C323" s="137"/>
      <c r="D323" s="136"/>
      <c r="E323" s="135"/>
      <c r="F323" s="135"/>
      <c r="G323" s="165"/>
      <c r="K323" s="134"/>
    </row>
    <row r="324" spans="1:12" ht="18.75" customHeight="1" x14ac:dyDescent="0.2">
      <c r="A324" s="126"/>
      <c r="B324" s="131"/>
      <c r="C324" s="137"/>
      <c r="D324" s="136"/>
      <c r="E324" s="135"/>
      <c r="F324" s="135"/>
      <c r="G324" s="165"/>
      <c r="K324" s="134"/>
    </row>
    <row r="325" spans="1:12" ht="18.75" customHeight="1" x14ac:dyDescent="0.2">
      <c r="A325" s="126"/>
      <c r="B325" s="131"/>
      <c r="C325" s="137"/>
      <c r="D325" s="136"/>
      <c r="E325" s="135"/>
      <c r="F325" s="135"/>
      <c r="G325" s="165"/>
      <c r="K325" s="134"/>
      <c r="L325" s="134"/>
    </row>
    <row r="326" spans="1:12" ht="18.75" customHeight="1" x14ac:dyDescent="0.2">
      <c r="A326" s="126"/>
      <c r="B326" s="131"/>
      <c r="C326" s="137"/>
      <c r="D326" s="136"/>
      <c r="E326" s="135"/>
      <c r="F326" s="135"/>
      <c r="G326" s="165"/>
      <c r="K326" s="134"/>
      <c r="L326" s="134"/>
    </row>
    <row r="327" spans="1:12" ht="18.75" customHeight="1" x14ac:dyDescent="0.2">
      <c r="A327" s="126"/>
      <c r="B327" s="131"/>
      <c r="C327" s="137"/>
      <c r="D327" s="128"/>
      <c r="E327" s="135"/>
      <c r="F327" s="135"/>
      <c r="G327" s="165"/>
      <c r="K327" s="134"/>
      <c r="L327" s="134"/>
    </row>
    <row r="328" spans="1:12" ht="18.75" customHeight="1" x14ac:dyDescent="0.2">
      <c r="A328" s="126"/>
      <c r="B328" s="131"/>
      <c r="C328" s="137"/>
      <c r="D328" s="136"/>
      <c r="E328" s="135"/>
      <c r="F328" s="135"/>
      <c r="G328" s="165"/>
      <c r="K328" s="134"/>
      <c r="L328" s="134"/>
    </row>
    <row r="329" spans="1:12" ht="18.75" customHeight="1" x14ac:dyDescent="0.2">
      <c r="A329" s="126"/>
      <c r="B329" s="131"/>
      <c r="C329" s="137"/>
      <c r="D329" s="136"/>
      <c r="E329" s="135"/>
      <c r="F329" s="135"/>
      <c r="G329" s="165"/>
      <c r="K329" s="134"/>
    </row>
    <row r="330" spans="1:12" ht="18.75" customHeight="1" x14ac:dyDescent="0.2">
      <c r="A330" s="126"/>
      <c r="B330" s="131"/>
      <c r="C330" s="137"/>
      <c r="D330" s="136"/>
      <c r="E330" s="135"/>
      <c r="F330" s="135"/>
      <c r="G330" s="165"/>
      <c r="K330" s="134"/>
    </row>
    <row r="331" spans="1:12" ht="18.75" customHeight="1" x14ac:dyDescent="0.2">
      <c r="A331" s="126"/>
      <c r="B331" s="131"/>
      <c r="C331" s="137"/>
      <c r="D331" s="136"/>
      <c r="E331" s="135"/>
      <c r="F331" s="135"/>
      <c r="G331" s="165"/>
      <c r="K331" s="134"/>
    </row>
    <row r="332" spans="1:12" ht="18.75" customHeight="1" x14ac:dyDescent="0.2">
      <c r="A332" s="126"/>
      <c r="B332" s="131"/>
      <c r="C332" s="137"/>
      <c r="D332" s="136"/>
      <c r="E332" s="135"/>
      <c r="F332" s="135"/>
      <c r="G332" s="165"/>
      <c r="K332" s="134"/>
    </row>
    <row r="333" spans="1:12" ht="18.75" customHeight="1" x14ac:dyDescent="0.2">
      <c r="A333" s="126"/>
      <c r="B333" s="131"/>
      <c r="C333" s="137"/>
      <c r="D333" s="136"/>
      <c r="E333" s="135"/>
      <c r="F333" s="135"/>
      <c r="G333" s="165"/>
      <c r="K333" s="134"/>
      <c r="L333" s="134"/>
    </row>
    <row r="334" spans="1:12" ht="18.75" customHeight="1" x14ac:dyDescent="0.2">
      <c r="A334" s="126"/>
      <c r="B334" s="131"/>
      <c r="C334" s="137"/>
      <c r="D334" s="136"/>
      <c r="E334" s="135"/>
      <c r="F334" s="135"/>
      <c r="G334" s="165"/>
      <c r="K334" s="134"/>
      <c r="L334" s="134"/>
    </row>
    <row r="335" spans="1:12" ht="18.75" customHeight="1" x14ac:dyDescent="0.2">
      <c r="A335" s="126"/>
      <c r="B335" s="131"/>
      <c r="C335" s="137"/>
      <c r="D335" s="136"/>
      <c r="E335" s="135"/>
      <c r="F335" s="135"/>
      <c r="G335" s="165"/>
      <c r="K335" s="134"/>
      <c r="L335" s="134"/>
    </row>
    <row r="336" spans="1:12" ht="18.75" customHeight="1" x14ac:dyDescent="0.2">
      <c r="A336" s="126"/>
      <c r="B336" s="131"/>
      <c r="C336" s="137"/>
      <c r="D336" s="136"/>
      <c r="E336" s="135"/>
      <c r="F336" s="135"/>
      <c r="G336" s="165"/>
      <c r="K336" s="134"/>
      <c r="L336" s="134"/>
    </row>
    <row r="337" spans="1:12" ht="18.75" customHeight="1" x14ac:dyDescent="0.2">
      <c r="A337" s="126"/>
      <c r="B337" s="131"/>
      <c r="C337" s="137"/>
      <c r="D337" s="136"/>
      <c r="E337" s="135"/>
      <c r="F337" s="135"/>
      <c r="G337" s="165"/>
      <c r="K337" s="134"/>
    </row>
    <row r="338" spans="1:12" ht="18.75" customHeight="1" x14ac:dyDescent="0.2">
      <c r="A338" s="126"/>
      <c r="B338" s="131"/>
      <c r="C338" s="137"/>
      <c r="D338" s="136"/>
      <c r="E338" s="135"/>
      <c r="F338" s="135"/>
      <c r="G338" s="165"/>
      <c r="K338" s="134"/>
    </row>
    <row r="339" spans="1:12" ht="18.75" customHeight="1" x14ac:dyDescent="0.2">
      <c r="A339" s="126"/>
      <c r="B339" s="131"/>
      <c r="C339" s="137"/>
      <c r="D339" s="136"/>
      <c r="E339" s="135"/>
      <c r="F339" s="135"/>
      <c r="G339" s="165"/>
      <c r="K339" s="134"/>
      <c r="L339" s="134"/>
    </row>
    <row r="340" spans="1:12" ht="18.75" customHeight="1" x14ac:dyDescent="0.2">
      <c r="A340" s="126"/>
      <c r="B340" s="131"/>
      <c r="C340" s="137"/>
      <c r="D340" s="136"/>
      <c r="E340" s="135"/>
      <c r="F340" s="135"/>
      <c r="G340" s="165"/>
      <c r="K340" s="134"/>
      <c r="L340" s="134"/>
    </row>
    <row r="341" spans="1:12" ht="18.75" customHeight="1" x14ac:dyDescent="0.2">
      <c r="A341" s="126"/>
      <c r="B341" s="131"/>
      <c r="C341" s="137"/>
      <c r="D341" s="136"/>
      <c r="E341" s="135"/>
      <c r="F341" s="135"/>
      <c r="G341" s="165"/>
      <c r="K341" s="134"/>
      <c r="L341" s="134"/>
    </row>
    <row r="342" spans="1:12" ht="18.75" customHeight="1" x14ac:dyDescent="0.2">
      <c r="A342" s="126"/>
      <c r="B342" s="131"/>
      <c r="C342" s="137"/>
      <c r="D342" s="136"/>
      <c r="E342" s="135"/>
      <c r="F342" s="135"/>
      <c r="G342" s="165"/>
      <c r="K342" s="134"/>
    </row>
    <row r="343" spans="1:12" ht="18.75" customHeight="1" x14ac:dyDescent="0.2">
      <c r="A343" s="126"/>
      <c r="B343" s="131"/>
      <c r="C343" s="137"/>
      <c r="D343" s="136"/>
      <c r="E343" s="135"/>
      <c r="F343" s="135"/>
      <c r="G343" s="165"/>
      <c r="K343" s="134"/>
      <c r="L343" s="134"/>
    </row>
    <row r="344" spans="1:12" ht="18.75" customHeight="1" x14ac:dyDescent="0.2">
      <c r="A344" s="126"/>
      <c r="B344" s="131"/>
      <c r="C344" s="137"/>
      <c r="D344" s="136"/>
      <c r="E344" s="135"/>
      <c r="F344" s="135"/>
      <c r="G344" s="165"/>
      <c r="K344" s="134"/>
    </row>
    <row r="345" spans="1:12" ht="18.75" customHeight="1" x14ac:dyDescent="0.2">
      <c r="A345" s="126"/>
      <c r="B345" s="131"/>
      <c r="C345" s="137"/>
      <c r="D345" s="136"/>
      <c r="E345" s="135"/>
      <c r="F345" s="135"/>
      <c r="G345" s="165"/>
      <c r="K345" s="134"/>
    </row>
    <row r="346" spans="1:12" ht="18.75" customHeight="1" x14ac:dyDescent="0.2">
      <c r="A346" s="126"/>
      <c r="B346" s="131"/>
      <c r="C346" s="137"/>
      <c r="D346" s="136"/>
      <c r="E346" s="135"/>
      <c r="F346" s="135"/>
      <c r="G346" s="165"/>
      <c r="K346" s="134"/>
    </row>
    <row r="347" spans="1:12" ht="18.75" customHeight="1" x14ac:dyDescent="0.2">
      <c r="A347" s="126"/>
      <c r="B347" s="131"/>
      <c r="C347" s="137"/>
      <c r="D347" s="136"/>
      <c r="E347" s="135"/>
      <c r="F347" s="135"/>
      <c r="G347" s="165"/>
      <c r="K347" s="134"/>
      <c r="L347" s="134"/>
    </row>
    <row r="348" spans="1:12" ht="18.75" customHeight="1" x14ac:dyDescent="0.2">
      <c r="A348" s="126"/>
      <c r="B348" s="131"/>
      <c r="C348" s="137"/>
      <c r="D348" s="136"/>
      <c r="E348" s="135"/>
      <c r="F348" s="135"/>
      <c r="G348" s="165"/>
      <c r="K348" s="134"/>
      <c r="L348" s="134"/>
    </row>
    <row r="349" spans="1:12" ht="18.75" customHeight="1" x14ac:dyDescent="0.2">
      <c r="A349" s="126"/>
      <c r="B349" s="131"/>
      <c r="C349" s="137"/>
      <c r="D349" s="136"/>
      <c r="E349" s="135"/>
      <c r="F349" s="135"/>
      <c r="G349" s="165"/>
      <c r="K349" s="134"/>
    </row>
    <row r="350" spans="1:12" ht="18.75" customHeight="1" x14ac:dyDescent="0.2">
      <c r="A350" s="126"/>
      <c r="B350" s="131"/>
      <c r="C350" s="137"/>
      <c r="D350" s="136"/>
      <c r="E350" s="135"/>
      <c r="F350" s="135"/>
      <c r="G350" s="165"/>
      <c r="K350" s="134"/>
    </row>
    <row r="351" spans="1:12" ht="18.75" customHeight="1" x14ac:dyDescent="0.2">
      <c r="A351" s="126"/>
      <c r="B351" s="131"/>
      <c r="C351" s="137"/>
      <c r="D351" s="136"/>
      <c r="E351" s="135"/>
      <c r="F351" s="135"/>
      <c r="G351" s="165"/>
      <c r="K351" s="134"/>
    </row>
    <row r="352" spans="1:12" ht="18.75" customHeight="1" x14ac:dyDescent="0.2">
      <c r="A352" s="126"/>
      <c r="B352" s="131"/>
      <c r="C352" s="137"/>
      <c r="D352" s="136"/>
      <c r="E352" s="135"/>
      <c r="F352" s="135"/>
      <c r="G352" s="165"/>
      <c r="K352" s="134"/>
    </row>
    <row r="353" spans="1:12" ht="18.75" customHeight="1" x14ac:dyDescent="0.2">
      <c r="A353" s="126"/>
      <c r="B353" s="131"/>
      <c r="C353" s="137"/>
      <c r="D353" s="136"/>
      <c r="E353" s="135"/>
      <c r="F353" s="135"/>
      <c r="G353" s="165"/>
      <c r="K353" s="134"/>
      <c r="L353" s="134"/>
    </row>
    <row r="354" spans="1:12" ht="18.75" customHeight="1" x14ac:dyDescent="0.2">
      <c r="A354" s="126"/>
      <c r="B354" s="131"/>
      <c r="C354" s="137"/>
      <c r="D354" s="136"/>
      <c r="E354" s="135"/>
      <c r="F354" s="135"/>
      <c r="G354" s="165"/>
      <c r="K354" s="134"/>
      <c r="L354" s="134"/>
    </row>
    <row r="355" spans="1:12" ht="18.75" customHeight="1" x14ac:dyDescent="0.2">
      <c r="A355" s="132"/>
      <c r="B355" s="131"/>
      <c r="C355" s="137"/>
      <c r="D355" s="136"/>
      <c r="E355" s="135"/>
      <c r="F355" s="135"/>
      <c r="G355" s="165"/>
      <c r="K355" s="134"/>
    </row>
    <row r="356" spans="1:12" ht="18.75" customHeight="1" x14ac:dyDescent="0.2">
      <c r="A356" s="126"/>
      <c r="B356" s="131"/>
      <c r="C356" s="137"/>
      <c r="D356" s="136"/>
      <c r="E356" s="135"/>
      <c r="F356" s="135"/>
      <c r="G356" s="165"/>
      <c r="K356" s="134"/>
      <c r="L356" s="134"/>
    </row>
    <row r="357" spans="1:12" ht="18.75" customHeight="1" x14ac:dyDescent="0.2">
      <c r="A357" s="132"/>
      <c r="B357" s="131"/>
      <c r="C357" s="137"/>
      <c r="D357" s="136"/>
      <c r="E357" s="135"/>
      <c r="F357" s="135"/>
      <c r="G357" s="165"/>
      <c r="K357" s="134"/>
      <c r="L357" s="134"/>
    </row>
    <row r="358" spans="1:12" ht="18.75" customHeight="1" x14ac:dyDescent="0.2">
      <c r="A358" s="126"/>
      <c r="B358" s="131"/>
      <c r="C358" s="137"/>
      <c r="D358" s="136"/>
      <c r="E358" s="135"/>
      <c r="F358" s="135"/>
      <c r="G358" s="165"/>
      <c r="K358" s="134"/>
      <c r="L358" s="134"/>
    </row>
    <row r="359" spans="1:12" ht="18.75" customHeight="1" x14ac:dyDescent="0.2">
      <c r="A359" s="126"/>
      <c r="B359" s="131"/>
      <c r="C359" s="137"/>
      <c r="D359" s="136"/>
      <c r="E359" s="135"/>
      <c r="F359" s="135"/>
      <c r="G359" s="165"/>
      <c r="K359" s="134"/>
      <c r="L359" s="134"/>
    </row>
    <row r="360" spans="1:12" ht="18.75" customHeight="1" x14ac:dyDescent="0.2">
      <c r="A360" s="126"/>
      <c r="B360" s="131"/>
      <c r="C360" s="137"/>
      <c r="D360" s="136"/>
      <c r="E360" s="135"/>
      <c r="F360" s="135"/>
      <c r="G360" s="165"/>
      <c r="K360" s="134"/>
    </row>
    <row r="361" spans="1:12" ht="18.75" customHeight="1" x14ac:dyDescent="0.2">
      <c r="A361" s="126"/>
      <c r="B361" s="131"/>
      <c r="C361" s="137"/>
      <c r="D361" s="136"/>
      <c r="E361" s="135"/>
      <c r="F361" s="135"/>
      <c r="G361" s="165"/>
      <c r="K361" s="134"/>
    </row>
    <row r="362" spans="1:12" ht="18.75" customHeight="1" x14ac:dyDescent="0.2">
      <c r="A362" s="126"/>
      <c r="B362" s="131"/>
      <c r="C362" s="137"/>
      <c r="D362" s="136"/>
      <c r="E362" s="135"/>
      <c r="F362" s="135"/>
      <c r="G362" s="165"/>
      <c r="K362" s="134"/>
    </row>
    <row r="363" spans="1:12" ht="18.75" customHeight="1" x14ac:dyDescent="0.2">
      <c r="A363" s="126"/>
      <c r="B363" s="131"/>
      <c r="C363" s="137"/>
      <c r="D363" s="136"/>
      <c r="E363" s="135"/>
      <c r="F363" s="135"/>
      <c r="G363" s="165"/>
      <c r="K363" s="134"/>
    </row>
    <row r="364" spans="1:12" ht="18.75" customHeight="1" x14ac:dyDescent="0.2">
      <c r="A364" s="126"/>
      <c r="B364" s="131"/>
      <c r="C364" s="137"/>
      <c r="D364" s="136"/>
      <c r="E364" s="135"/>
      <c r="F364" s="135"/>
      <c r="G364" s="165"/>
      <c r="K364" s="134"/>
      <c r="L364" s="134"/>
    </row>
    <row r="365" spans="1:12" ht="18.75" customHeight="1" x14ac:dyDescent="0.2">
      <c r="A365" s="126"/>
      <c r="B365" s="131"/>
      <c r="C365" s="137"/>
      <c r="D365" s="136"/>
      <c r="E365" s="135"/>
      <c r="F365" s="135"/>
      <c r="G365" s="165"/>
      <c r="K365" s="134"/>
      <c r="L365" s="134"/>
    </row>
    <row r="366" spans="1:12" ht="18.75" customHeight="1" x14ac:dyDescent="0.2">
      <c r="A366" s="126"/>
      <c r="B366" s="131"/>
      <c r="C366" s="137"/>
      <c r="D366" s="136"/>
      <c r="E366" s="135"/>
      <c r="F366" s="135"/>
      <c r="G366" s="165"/>
      <c r="K366" s="134"/>
      <c r="L366" s="134"/>
    </row>
    <row r="367" spans="1:12" ht="18.75" customHeight="1" x14ac:dyDescent="0.2">
      <c r="A367" s="126"/>
      <c r="B367" s="131"/>
      <c r="C367" s="137"/>
      <c r="D367" s="136"/>
      <c r="E367" s="135"/>
      <c r="F367" s="135"/>
      <c r="G367" s="165"/>
      <c r="K367" s="134"/>
      <c r="L367" s="134"/>
    </row>
    <row r="368" spans="1:12" ht="18.75" customHeight="1" x14ac:dyDescent="0.2">
      <c r="A368" s="126"/>
      <c r="B368" s="131"/>
      <c r="C368" s="137"/>
      <c r="D368" s="136"/>
      <c r="E368" s="135"/>
      <c r="F368" s="135"/>
      <c r="G368" s="165"/>
      <c r="K368" s="134"/>
    </row>
    <row r="369" spans="1:12" ht="18.75" customHeight="1" x14ac:dyDescent="0.2">
      <c r="A369" s="126"/>
      <c r="B369" s="131"/>
      <c r="C369" s="137"/>
      <c r="D369" s="136"/>
      <c r="E369" s="135"/>
      <c r="F369" s="135"/>
      <c r="G369" s="165"/>
      <c r="K369" s="134"/>
    </row>
    <row r="370" spans="1:12" ht="18.75" customHeight="1" x14ac:dyDescent="0.2">
      <c r="A370" s="126"/>
      <c r="B370" s="131"/>
      <c r="C370" s="137"/>
      <c r="D370" s="136"/>
      <c r="E370" s="135"/>
      <c r="F370" s="135"/>
      <c r="G370" s="165"/>
      <c r="K370" s="134"/>
    </row>
    <row r="371" spans="1:12" ht="18.75" customHeight="1" x14ac:dyDescent="0.2">
      <c r="A371" s="126"/>
      <c r="B371" s="131"/>
      <c r="C371" s="137"/>
      <c r="D371" s="136"/>
      <c r="E371" s="135"/>
      <c r="F371" s="135"/>
      <c r="G371" s="165"/>
      <c r="K371" s="134"/>
    </row>
    <row r="372" spans="1:12" ht="18.75" customHeight="1" x14ac:dyDescent="0.2">
      <c r="A372" s="126"/>
      <c r="B372" s="131"/>
      <c r="C372" s="137"/>
      <c r="D372" s="136"/>
      <c r="E372" s="135"/>
      <c r="F372" s="135"/>
      <c r="G372" s="165"/>
      <c r="K372" s="134"/>
    </row>
    <row r="373" spans="1:12" ht="18.75" customHeight="1" x14ac:dyDescent="0.2">
      <c r="A373" s="126"/>
      <c r="B373" s="131"/>
      <c r="C373" s="137"/>
      <c r="D373" s="136"/>
      <c r="E373" s="135"/>
      <c r="F373" s="135"/>
      <c r="G373" s="165"/>
      <c r="K373" s="134"/>
    </row>
    <row r="374" spans="1:12" ht="18.75" customHeight="1" x14ac:dyDescent="0.2">
      <c r="A374" s="126"/>
      <c r="B374" s="131"/>
      <c r="C374" s="137"/>
      <c r="D374" s="136"/>
      <c r="E374" s="135"/>
      <c r="F374" s="135"/>
      <c r="G374" s="165"/>
      <c r="K374" s="134"/>
    </row>
    <row r="375" spans="1:12" ht="18.75" customHeight="1" x14ac:dyDescent="0.2">
      <c r="A375" s="126"/>
      <c r="B375" s="131"/>
      <c r="C375" s="137"/>
      <c r="D375" s="136"/>
      <c r="E375" s="135"/>
      <c r="F375" s="135"/>
      <c r="G375" s="165"/>
      <c r="K375" s="134"/>
      <c r="L375" s="134"/>
    </row>
    <row r="376" spans="1:12" ht="18.75" customHeight="1" x14ac:dyDescent="0.2">
      <c r="A376" s="126"/>
      <c r="B376" s="131"/>
      <c r="C376" s="137"/>
      <c r="D376" s="136"/>
      <c r="E376" s="135"/>
      <c r="F376" s="135"/>
      <c r="G376" s="165"/>
      <c r="K376" s="134"/>
    </row>
    <row r="377" spans="1:12" ht="18.75" customHeight="1" x14ac:dyDescent="0.2">
      <c r="A377" s="126"/>
      <c r="B377" s="131"/>
      <c r="C377" s="137"/>
      <c r="D377" s="136"/>
      <c r="E377" s="135"/>
      <c r="F377" s="135"/>
      <c r="G377" s="165"/>
      <c r="K377" s="134"/>
      <c r="L377" s="134"/>
    </row>
    <row r="378" spans="1:12" ht="18.75" customHeight="1" x14ac:dyDescent="0.2">
      <c r="A378" s="126"/>
      <c r="B378" s="131"/>
      <c r="C378" s="137"/>
      <c r="D378" s="136"/>
      <c r="E378" s="135"/>
      <c r="F378" s="135"/>
      <c r="G378" s="165"/>
      <c r="K378" s="134"/>
      <c r="L378" s="134"/>
    </row>
    <row r="379" spans="1:12" ht="18.75" customHeight="1" x14ac:dyDescent="0.2">
      <c r="A379" s="126"/>
      <c r="B379" s="131"/>
      <c r="C379" s="137"/>
      <c r="D379" s="136"/>
      <c r="E379" s="135"/>
      <c r="F379" s="135"/>
      <c r="G379" s="165" t="str">
        <f t="shared" ref="G379:G395" si="8">IF(A379&gt;A378,G378+E379,"")</f>
        <v/>
      </c>
    </row>
    <row r="380" spans="1:12" ht="18.75" customHeight="1" x14ac:dyDescent="0.2">
      <c r="A380" s="126"/>
      <c r="B380" s="131"/>
      <c r="C380" s="137"/>
      <c r="D380" s="136"/>
      <c r="E380" s="135"/>
      <c r="F380" s="135"/>
      <c r="G380" s="165" t="str">
        <f t="shared" si="8"/>
        <v/>
      </c>
    </row>
    <row r="381" spans="1:12" ht="18.75" customHeight="1" x14ac:dyDescent="0.2">
      <c r="A381" s="126"/>
      <c r="B381" s="131"/>
      <c r="C381" s="137"/>
      <c r="D381" s="136"/>
      <c r="E381" s="135"/>
      <c r="F381" s="135"/>
      <c r="G381" s="165" t="str">
        <f t="shared" si="8"/>
        <v/>
      </c>
    </row>
    <row r="382" spans="1:12" ht="18.75" customHeight="1" x14ac:dyDescent="0.2">
      <c r="A382" s="126"/>
      <c r="B382" s="131"/>
      <c r="C382" s="137"/>
      <c r="D382" s="136"/>
      <c r="E382" s="135"/>
      <c r="F382" s="135"/>
      <c r="G382" s="165" t="str">
        <f t="shared" si="8"/>
        <v/>
      </c>
    </row>
    <row r="383" spans="1:12" ht="18.75" customHeight="1" x14ac:dyDescent="0.2">
      <c r="A383" s="126"/>
      <c r="B383" s="131"/>
      <c r="C383" s="137"/>
      <c r="D383" s="136"/>
      <c r="E383" s="135"/>
      <c r="F383" s="135"/>
      <c r="G383" s="165" t="str">
        <f t="shared" si="8"/>
        <v/>
      </c>
    </row>
    <row r="384" spans="1:12" ht="18.75" customHeight="1" x14ac:dyDescent="0.2">
      <c r="A384" s="126"/>
      <c r="B384" s="131"/>
      <c r="C384" s="137"/>
      <c r="D384" s="136"/>
      <c r="E384" s="135"/>
      <c r="F384" s="135"/>
      <c r="G384" s="165" t="str">
        <f t="shared" si="8"/>
        <v/>
      </c>
    </row>
    <row r="385" spans="1:7" ht="18.75" customHeight="1" x14ac:dyDescent="0.2">
      <c r="A385" s="126"/>
      <c r="B385" s="131"/>
      <c r="C385" s="137"/>
      <c r="D385" s="136"/>
      <c r="E385" s="135"/>
      <c r="F385" s="135"/>
      <c r="G385" s="165" t="str">
        <f t="shared" si="8"/>
        <v/>
      </c>
    </row>
    <row r="386" spans="1:7" ht="18.75" customHeight="1" x14ac:dyDescent="0.2">
      <c r="A386" s="126"/>
      <c r="B386" s="131"/>
      <c r="C386" s="137"/>
      <c r="D386" s="136"/>
      <c r="E386" s="135"/>
      <c r="F386" s="135"/>
      <c r="G386" s="165" t="str">
        <f t="shared" si="8"/>
        <v/>
      </c>
    </row>
    <row r="387" spans="1:7" ht="18.75" customHeight="1" x14ac:dyDescent="0.2">
      <c r="A387" s="126"/>
      <c r="B387" s="131"/>
      <c r="C387" s="137"/>
      <c r="D387" s="136"/>
      <c r="E387" s="135"/>
      <c r="F387" s="135"/>
      <c r="G387" s="165" t="str">
        <f t="shared" si="8"/>
        <v/>
      </c>
    </row>
    <row r="388" spans="1:7" ht="18.75" customHeight="1" x14ac:dyDescent="0.2">
      <c r="A388" s="126"/>
      <c r="B388" s="131"/>
      <c r="C388" s="137"/>
      <c r="D388" s="136"/>
      <c r="E388" s="135"/>
      <c r="F388" s="135"/>
      <c r="G388" s="165" t="str">
        <f t="shared" si="8"/>
        <v/>
      </c>
    </row>
    <row r="389" spans="1:7" ht="18.75" customHeight="1" x14ac:dyDescent="0.2">
      <c r="A389" s="126"/>
      <c r="B389" s="131"/>
      <c r="C389" s="137"/>
      <c r="D389" s="136"/>
      <c r="E389" s="135"/>
      <c r="F389" s="135"/>
      <c r="G389" s="165" t="str">
        <f t="shared" si="8"/>
        <v/>
      </c>
    </row>
    <row r="390" spans="1:7" ht="18.75" customHeight="1" x14ac:dyDescent="0.2">
      <c r="A390" s="126"/>
      <c r="B390" s="131"/>
      <c r="C390" s="137"/>
      <c r="D390" s="136"/>
      <c r="E390" s="135"/>
      <c r="F390" s="135"/>
      <c r="G390" s="165" t="str">
        <f t="shared" si="8"/>
        <v/>
      </c>
    </row>
    <row r="391" spans="1:7" ht="18.75" customHeight="1" x14ac:dyDescent="0.2">
      <c r="A391" s="126"/>
      <c r="B391" s="131"/>
      <c r="C391" s="137"/>
      <c r="D391" s="136"/>
      <c r="E391" s="135"/>
      <c r="F391" s="135"/>
      <c r="G391" s="165" t="str">
        <f t="shared" si="8"/>
        <v/>
      </c>
    </row>
    <row r="392" spans="1:7" ht="18.75" customHeight="1" x14ac:dyDescent="0.2">
      <c r="A392" s="126"/>
      <c r="B392" s="131"/>
      <c r="C392" s="137"/>
      <c r="D392" s="136"/>
      <c r="E392" s="135"/>
      <c r="F392" s="135"/>
      <c r="G392" s="165" t="str">
        <f t="shared" si="8"/>
        <v/>
      </c>
    </row>
    <row r="393" spans="1:7" ht="18.75" customHeight="1" x14ac:dyDescent="0.2">
      <c r="A393" s="126"/>
      <c r="B393" s="131"/>
      <c r="C393" s="137"/>
      <c r="D393" s="136"/>
      <c r="E393" s="135"/>
      <c r="F393" s="135"/>
      <c r="G393" s="165" t="str">
        <f t="shared" si="8"/>
        <v/>
      </c>
    </row>
    <row r="394" spans="1:7" ht="18.75" customHeight="1" x14ac:dyDescent="0.2">
      <c r="A394" s="126"/>
      <c r="B394" s="131"/>
      <c r="C394" s="137"/>
      <c r="D394" s="136"/>
      <c r="E394" s="135"/>
      <c r="F394" s="135"/>
      <c r="G394" s="165" t="str">
        <f t="shared" si="8"/>
        <v/>
      </c>
    </row>
    <row r="395" spans="1:7" ht="18.75" customHeight="1" x14ac:dyDescent="0.2">
      <c r="A395" s="126"/>
      <c r="B395" s="131"/>
      <c r="C395" s="137"/>
      <c r="D395" s="136"/>
      <c r="E395" s="135"/>
      <c r="F395" s="135"/>
      <c r="G395" s="165" t="str">
        <f t="shared" si="8"/>
        <v/>
      </c>
    </row>
  </sheetData>
  <autoFilter ref="A9:S67" xr:uid="{00000000-0001-0000-0200-000000000000}"/>
  <mergeCells count="11">
    <mergeCell ref="H103:J103"/>
    <mergeCell ref="A4:A8"/>
    <mergeCell ref="A1:G1"/>
    <mergeCell ref="A2:B2"/>
    <mergeCell ref="C3:E3"/>
    <mergeCell ref="A3:B3"/>
    <mergeCell ref="C4:D4"/>
    <mergeCell ref="D8:E8"/>
    <mergeCell ref="F8:G8"/>
    <mergeCell ref="C2:G2"/>
    <mergeCell ref="C7:D7"/>
  </mergeCells>
  <phoneticPr fontId="46" type="noConversion"/>
  <conditionalFormatting sqref="F244:G395 F68:G239">
    <cfRule type="cellIs" dxfId="17" priority="71" stopIfTrue="1" operator="equal">
      <formula>0</formula>
    </cfRule>
  </conditionalFormatting>
  <conditionalFormatting sqref="D5:D6 F5:G7">
    <cfRule type="expression" dxfId="16" priority="72">
      <formula>$E$5&gt;0</formula>
    </cfRule>
  </conditionalFormatting>
  <conditionalFormatting sqref="B5">
    <cfRule type="expression" dxfId="15" priority="10">
      <formula>$C$5&gt;0</formula>
    </cfRule>
  </conditionalFormatting>
  <conditionalFormatting sqref="B6:B8">
    <cfRule type="expression" dxfId="14" priority="9">
      <formula>$C$6&gt;0</formula>
    </cfRule>
  </conditionalFormatting>
  <conditionalFormatting sqref="J10:L67">
    <cfRule type="cellIs" dxfId="13" priority="1" stopIfTrue="1" operator="equal">
      <formula>0</formula>
    </cfRule>
  </conditionalFormatting>
  <pageMargins left="0.35433070866141736" right="0.11811023622047245" top="0.43307086614173229" bottom="0.19685039370078741" header="0.31496062992125984" footer="0.15748031496062992"/>
  <pageSetup paperSize="9" scale="99" orientation="portrait" r:id="rId1"/>
  <colBreaks count="1" manualBreakCount="1">
    <brk id="7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241B6-B01B-4F30-9EA5-2C7B1F175251}">
  <sheetPr>
    <tabColor rgb="FFFF0000"/>
  </sheetPr>
  <dimension ref="A3:S61"/>
  <sheetViews>
    <sheetView tabSelected="1" workbookViewId="0">
      <selection activeCell="Q4" sqref="Q4"/>
    </sheetView>
  </sheetViews>
  <sheetFormatPr defaultRowHeight="12.75" x14ac:dyDescent="0.2"/>
  <cols>
    <col min="1" max="1" width="4.5703125" bestFit="1" customWidth="1"/>
    <col min="2" max="2" width="11.28515625" bestFit="1" customWidth="1"/>
    <col min="3" max="3" width="10.85546875" bestFit="1" customWidth="1"/>
    <col min="4" max="4" width="10.85546875" customWidth="1"/>
    <col min="5" max="5" width="14.85546875" bestFit="1" customWidth="1"/>
    <col min="6" max="6" width="43.7109375" bestFit="1" customWidth="1"/>
    <col min="7" max="7" width="10.140625" bestFit="1" customWidth="1"/>
    <col min="8" max="9" width="10.140625" customWidth="1"/>
    <col min="10" max="10" width="12.28515625" hidden="1" customWidth="1"/>
    <col min="11" max="11" width="12.28515625" customWidth="1"/>
    <col min="12" max="12" width="11.7109375" hidden="1" customWidth="1"/>
    <col min="16" max="16" width="12" bestFit="1" customWidth="1"/>
    <col min="17" max="17" width="11" bestFit="1" customWidth="1"/>
    <col min="18" max="18" width="8.7109375" bestFit="1" customWidth="1"/>
    <col min="19" max="19" width="21.7109375" customWidth="1"/>
  </cols>
  <sheetData>
    <row r="3" spans="1:19" ht="51" x14ac:dyDescent="0.2">
      <c r="A3" s="193" t="s">
        <v>0</v>
      </c>
      <c r="B3" s="193" t="s">
        <v>1</v>
      </c>
      <c r="C3" s="193" t="s">
        <v>6</v>
      </c>
      <c r="D3" s="193" t="s">
        <v>325</v>
      </c>
      <c r="E3" s="163" t="s">
        <v>2</v>
      </c>
      <c r="F3" s="189" t="s">
        <v>246</v>
      </c>
      <c r="G3" s="164" t="s">
        <v>326</v>
      </c>
      <c r="H3" s="164" t="s">
        <v>327</v>
      </c>
      <c r="I3" s="164" t="s">
        <v>328</v>
      </c>
      <c r="J3" s="164" t="s">
        <v>329</v>
      </c>
      <c r="K3" s="164" t="s">
        <v>330</v>
      </c>
      <c r="L3" s="164" t="s">
        <v>5</v>
      </c>
      <c r="M3" s="164" t="s">
        <v>331</v>
      </c>
      <c r="N3" s="164" t="s">
        <v>332</v>
      </c>
      <c r="O3" s="164" t="s">
        <v>333</v>
      </c>
      <c r="P3" s="189" t="s">
        <v>247</v>
      </c>
      <c r="Q3" s="189" t="s">
        <v>248</v>
      </c>
      <c r="R3" s="189" t="s">
        <v>320</v>
      </c>
      <c r="S3" s="192" t="s">
        <v>324</v>
      </c>
    </row>
    <row r="4" spans="1:19" ht="38.25" x14ac:dyDescent="0.2">
      <c r="A4" s="194">
        <v>1</v>
      </c>
      <c r="B4" s="195">
        <v>994859574</v>
      </c>
      <c r="C4" s="127">
        <v>45897</v>
      </c>
      <c r="D4" s="127"/>
      <c r="E4" s="196" t="s">
        <v>242</v>
      </c>
      <c r="F4" s="197" t="s">
        <v>257</v>
      </c>
      <c r="G4" s="198">
        <v>68300</v>
      </c>
      <c r="H4" s="198"/>
      <c r="I4" s="198"/>
      <c r="J4" s="135">
        <f>J2-G4</f>
        <v>-68300</v>
      </c>
      <c r="K4" s="135"/>
      <c r="L4" s="135">
        <f>G4</f>
        <v>68300</v>
      </c>
      <c r="M4" s="51"/>
      <c r="N4" s="51"/>
      <c r="O4" s="51"/>
      <c r="P4" s="199">
        <v>4700017534</v>
      </c>
      <c r="Q4" s="199">
        <v>1000063669</v>
      </c>
      <c r="R4" s="200">
        <f>L4/4707544</f>
        <v>1.4508627003804956E-2</v>
      </c>
      <c r="S4" s="201"/>
    </row>
    <row r="5" spans="1:19" ht="14.25" x14ac:dyDescent="0.2">
      <c r="A5" s="194">
        <v>2</v>
      </c>
      <c r="B5" s="195">
        <v>994859502</v>
      </c>
      <c r="C5" s="127">
        <v>45897</v>
      </c>
      <c r="D5" s="127"/>
      <c r="E5" s="196" t="s">
        <v>243</v>
      </c>
      <c r="F5" s="199" t="s">
        <v>244</v>
      </c>
      <c r="G5" s="198">
        <v>39220</v>
      </c>
      <c r="H5" s="198"/>
      <c r="I5" s="198"/>
      <c r="J5" s="135">
        <f t="shared" ref="J5:J60" si="0">J4-G5</f>
        <v>-107520</v>
      </c>
      <c r="K5" s="135"/>
      <c r="L5" s="135">
        <f t="shared" ref="L5:L60" si="1">L4+G5</f>
        <v>107520</v>
      </c>
      <c r="M5" s="51"/>
      <c r="N5" s="51"/>
      <c r="O5" s="51"/>
      <c r="P5" s="199">
        <v>4700017529</v>
      </c>
      <c r="Q5" s="199">
        <v>1000063662</v>
      </c>
      <c r="R5" s="200">
        <f t="shared" ref="R5:R60" si="2">L5/4707544</f>
        <v>2.2839935218874216E-2</v>
      </c>
      <c r="S5" s="201"/>
    </row>
    <row r="6" spans="1:19" ht="14.25" x14ac:dyDescent="0.2">
      <c r="A6" s="194">
        <v>3</v>
      </c>
      <c r="B6" s="195">
        <v>994859510</v>
      </c>
      <c r="C6" s="127">
        <v>45897</v>
      </c>
      <c r="D6" s="127"/>
      <c r="E6" s="196" t="s">
        <v>243</v>
      </c>
      <c r="F6" s="199" t="s">
        <v>245</v>
      </c>
      <c r="G6" s="198">
        <v>65629</v>
      </c>
      <c r="H6" s="198"/>
      <c r="I6" s="198"/>
      <c r="J6" s="135">
        <f t="shared" si="0"/>
        <v>-173149</v>
      </c>
      <c r="K6" s="135"/>
      <c r="L6" s="135">
        <f t="shared" si="1"/>
        <v>173149</v>
      </c>
      <c r="M6" s="51"/>
      <c r="N6" s="51"/>
      <c r="O6" s="51"/>
      <c r="P6" s="199">
        <v>4700017572</v>
      </c>
      <c r="Q6" s="199">
        <v>1000063844</v>
      </c>
      <c r="R6" s="200">
        <f t="shared" si="2"/>
        <v>3.678117506708381E-2</v>
      </c>
      <c r="S6" s="201"/>
    </row>
    <row r="7" spans="1:19" ht="14.25" x14ac:dyDescent="0.2">
      <c r="A7" s="194">
        <v>4</v>
      </c>
      <c r="B7" s="195">
        <v>994859557</v>
      </c>
      <c r="C7" s="127">
        <v>45898</v>
      </c>
      <c r="D7" s="127"/>
      <c r="E7" s="196" t="s">
        <v>243</v>
      </c>
      <c r="F7" s="199" t="s">
        <v>249</v>
      </c>
      <c r="G7" s="198">
        <v>3500</v>
      </c>
      <c r="H7" s="198"/>
      <c r="I7" s="198"/>
      <c r="J7" s="135">
        <f t="shared" si="0"/>
        <v>-176649</v>
      </c>
      <c r="K7" s="135"/>
      <c r="L7" s="135">
        <f t="shared" si="1"/>
        <v>176649</v>
      </c>
      <c r="M7" s="51"/>
      <c r="N7" s="51"/>
      <c r="O7" s="51"/>
      <c r="P7" s="199">
        <v>4700017621</v>
      </c>
      <c r="Q7" s="199">
        <v>1000063997</v>
      </c>
      <c r="R7" s="200">
        <f t="shared" si="2"/>
        <v>3.7524662541656539E-2</v>
      </c>
      <c r="S7" s="201"/>
    </row>
    <row r="8" spans="1:19" ht="25.5" x14ac:dyDescent="0.2">
      <c r="A8" s="194">
        <v>5</v>
      </c>
      <c r="B8" s="195">
        <v>994859735</v>
      </c>
      <c r="C8" s="127">
        <v>45898</v>
      </c>
      <c r="D8" s="127"/>
      <c r="E8" s="196" t="s">
        <v>242</v>
      </c>
      <c r="F8" s="197" t="s">
        <v>258</v>
      </c>
      <c r="G8" s="198">
        <v>7600</v>
      </c>
      <c r="H8" s="198"/>
      <c r="I8" s="198"/>
      <c r="J8" s="135">
        <f t="shared" si="0"/>
        <v>-184249</v>
      </c>
      <c r="K8" s="135"/>
      <c r="L8" s="135">
        <f t="shared" si="1"/>
        <v>184249</v>
      </c>
      <c r="M8" s="51"/>
      <c r="N8" s="51"/>
      <c r="O8" s="51"/>
      <c r="P8" s="199">
        <v>4700017579</v>
      </c>
      <c r="Q8" s="199">
        <v>1000063858</v>
      </c>
      <c r="R8" s="200">
        <f t="shared" si="2"/>
        <v>3.9139092486443039E-2</v>
      </c>
      <c r="S8" s="201"/>
    </row>
    <row r="9" spans="1:19" ht="14.25" x14ac:dyDescent="0.2">
      <c r="A9" s="194">
        <v>6</v>
      </c>
      <c r="B9" s="202">
        <v>994859544</v>
      </c>
      <c r="C9" s="127">
        <v>45917</v>
      </c>
      <c r="D9" s="127"/>
      <c r="E9" s="196" t="s">
        <v>250</v>
      </c>
      <c r="F9" s="199" t="s">
        <v>251</v>
      </c>
      <c r="G9" s="198">
        <v>4350</v>
      </c>
      <c r="H9" s="198"/>
      <c r="I9" s="198"/>
      <c r="J9" s="135">
        <f t="shared" si="0"/>
        <v>-188599</v>
      </c>
      <c r="K9" s="135"/>
      <c r="L9" s="135">
        <f t="shared" si="1"/>
        <v>188599</v>
      </c>
      <c r="M9" s="51"/>
      <c r="N9" s="51"/>
      <c r="O9" s="51"/>
      <c r="P9" s="199">
        <v>4700017916</v>
      </c>
      <c r="Q9" s="199">
        <v>1000065650</v>
      </c>
      <c r="R9" s="200">
        <f t="shared" si="2"/>
        <v>4.0063141204840572E-2</v>
      </c>
      <c r="S9" s="201"/>
    </row>
    <row r="10" spans="1:19" ht="14.25" x14ac:dyDescent="0.2">
      <c r="A10" s="194">
        <v>7</v>
      </c>
      <c r="B10" s="202">
        <v>994859637</v>
      </c>
      <c r="C10" s="127">
        <v>45923</v>
      </c>
      <c r="D10" s="127"/>
      <c r="E10" s="196" t="s">
        <v>243</v>
      </c>
      <c r="F10" s="199" t="s">
        <v>253</v>
      </c>
      <c r="G10" s="198">
        <v>166050</v>
      </c>
      <c r="H10" s="198"/>
      <c r="I10" s="198"/>
      <c r="J10" s="135">
        <f t="shared" si="0"/>
        <v>-354649</v>
      </c>
      <c r="K10" s="135"/>
      <c r="L10" s="135">
        <f t="shared" si="1"/>
        <v>354649</v>
      </c>
      <c r="M10" s="51"/>
      <c r="N10" s="51"/>
      <c r="O10" s="51"/>
      <c r="P10" s="199">
        <v>4700017939</v>
      </c>
      <c r="Q10" s="199">
        <v>1000066037</v>
      </c>
      <c r="R10" s="200">
        <f t="shared" si="2"/>
        <v>7.5336311248498156E-2</v>
      </c>
      <c r="S10" s="201"/>
    </row>
    <row r="11" spans="1:19" ht="14.25" x14ac:dyDescent="0.2">
      <c r="A11" s="194">
        <v>8</v>
      </c>
      <c r="B11" s="202">
        <v>994859648</v>
      </c>
      <c r="C11" s="127">
        <v>45923</v>
      </c>
      <c r="D11" s="127"/>
      <c r="E11" s="196" t="s">
        <v>242</v>
      </c>
      <c r="F11" s="199" t="s">
        <v>254</v>
      </c>
      <c r="G11" s="198">
        <v>8480</v>
      </c>
      <c r="H11" s="198"/>
      <c r="I11" s="198"/>
      <c r="J11" s="135">
        <f t="shared" si="0"/>
        <v>-363129</v>
      </c>
      <c r="K11" s="135"/>
      <c r="L11" s="135">
        <f t="shared" si="1"/>
        <v>363129</v>
      </c>
      <c r="M11" s="51"/>
      <c r="N11" s="51"/>
      <c r="O11" s="51"/>
      <c r="P11" s="199">
        <v>4700017938</v>
      </c>
      <c r="Q11" s="199">
        <v>1000066041</v>
      </c>
      <c r="R11" s="200">
        <f t="shared" si="2"/>
        <v>7.7137675186891505E-2</v>
      </c>
      <c r="S11" s="201"/>
    </row>
    <row r="12" spans="1:19" ht="14.25" x14ac:dyDescent="0.2">
      <c r="A12" s="203">
        <v>9</v>
      </c>
      <c r="B12" s="204">
        <v>994859676</v>
      </c>
      <c r="C12" s="127">
        <v>45945</v>
      </c>
      <c r="D12" s="127"/>
      <c r="E12" s="205" t="s">
        <v>250</v>
      </c>
      <c r="F12" s="206" t="s">
        <v>256</v>
      </c>
      <c r="G12" s="207">
        <v>4350</v>
      </c>
      <c r="H12" s="207"/>
      <c r="I12" s="207"/>
      <c r="J12" s="135">
        <f t="shared" si="0"/>
        <v>-367479</v>
      </c>
      <c r="K12" s="135"/>
      <c r="L12" s="135">
        <f t="shared" si="1"/>
        <v>367479</v>
      </c>
      <c r="M12" s="51"/>
      <c r="N12" s="51"/>
      <c r="O12" s="51"/>
      <c r="P12" s="199">
        <v>4700018445</v>
      </c>
      <c r="Q12" s="199">
        <v>1000067588</v>
      </c>
      <c r="R12" s="200">
        <f t="shared" si="2"/>
        <v>7.8061723905289038E-2</v>
      </c>
      <c r="S12" s="201"/>
    </row>
    <row r="13" spans="1:19" ht="14.25" x14ac:dyDescent="0.2">
      <c r="A13" s="194">
        <v>10</v>
      </c>
      <c r="B13" s="202">
        <v>994859701</v>
      </c>
      <c r="C13" s="127">
        <v>45961</v>
      </c>
      <c r="D13" s="127"/>
      <c r="E13" s="205" t="s">
        <v>250</v>
      </c>
      <c r="F13" s="206" t="s">
        <v>260</v>
      </c>
      <c r="G13" s="207">
        <v>4350</v>
      </c>
      <c r="H13" s="207"/>
      <c r="I13" s="207"/>
      <c r="J13" s="135">
        <f t="shared" si="0"/>
        <v>-371829</v>
      </c>
      <c r="K13" s="135"/>
      <c r="L13" s="135">
        <f t="shared" si="1"/>
        <v>371829</v>
      </c>
      <c r="M13" s="51"/>
      <c r="N13" s="51"/>
      <c r="O13" s="51"/>
      <c r="P13" s="199">
        <v>4700018803</v>
      </c>
      <c r="Q13" s="199">
        <v>1000069144</v>
      </c>
      <c r="R13" s="200">
        <f t="shared" si="2"/>
        <v>7.898577262368657E-2</v>
      </c>
      <c r="S13" s="201"/>
    </row>
    <row r="14" spans="1:19" ht="14.25" x14ac:dyDescent="0.2">
      <c r="A14" s="194">
        <v>11</v>
      </c>
      <c r="B14" s="202">
        <v>994859699</v>
      </c>
      <c r="C14" s="127">
        <v>45961</v>
      </c>
      <c r="D14" s="127"/>
      <c r="E14" s="205" t="s">
        <v>250</v>
      </c>
      <c r="F14" s="206" t="s">
        <v>261</v>
      </c>
      <c r="G14" s="207">
        <v>4350</v>
      </c>
      <c r="H14" s="207"/>
      <c r="I14" s="207"/>
      <c r="J14" s="135">
        <f t="shared" si="0"/>
        <v>-376179</v>
      </c>
      <c r="K14" s="135"/>
      <c r="L14" s="135">
        <f t="shared" si="1"/>
        <v>376179</v>
      </c>
      <c r="M14" s="51"/>
      <c r="N14" s="51"/>
      <c r="O14" s="51"/>
      <c r="P14" s="199">
        <v>4700018814</v>
      </c>
      <c r="Q14" s="199">
        <v>1000069152</v>
      </c>
      <c r="R14" s="200">
        <f t="shared" si="2"/>
        <v>7.9909821342084117E-2</v>
      </c>
      <c r="S14" s="201"/>
    </row>
    <row r="15" spans="1:19" ht="14.25" x14ac:dyDescent="0.2">
      <c r="A15" s="194">
        <v>12</v>
      </c>
      <c r="B15" s="202">
        <v>994859700</v>
      </c>
      <c r="C15" s="127">
        <v>45961</v>
      </c>
      <c r="D15" s="127"/>
      <c r="E15" s="205" t="s">
        <v>250</v>
      </c>
      <c r="F15" s="206" t="s">
        <v>262</v>
      </c>
      <c r="G15" s="207">
        <v>4350</v>
      </c>
      <c r="H15" s="207"/>
      <c r="I15" s="207"/>
      <c r="J15" s="135">
        <f t="shared" si="0"/>
        <v>-380529</v>
      </c>
      <c r="K15" s="135"/>
      <c r="L15" s="135">
        <f t="shared" si="1"/>
        <v>380529</v>
      </c>
      <c r="M15" s="51"/>
      <c r="N15" s="51"/>
      <c r="O15" s="51"/>
      <c r="P15" s="199">
        <v>4700018815</v>
      </c>
      <c r="Q15" s="199">
        <v>1000069155</v>
      </c>
      <c r="R15" s="200">
        <f t="shared" si="2"/>
        <v>8.083387006048165E-2</v>
      </c>
      <c r="S15" s="201"/>
    </row>
    <row r="16" spans="1:19" ht="14.25" x14ac:dyDescent="0.2">
      <c r="A16" s="203">
        <v>13</v>
      </c>
      <c r="B16" s="204">
        <v>994859698</v>
      </c>
      <c r="C16" s="169">
        <v>45966</v>
      </c>
      <c r="D16" s="169"/>
      <c r="E16" s="205" t="s">
        <v>242</v>
      </c>
      <c r="F16" s="199" t="s">
        <v>263</v>
      </c>
      <c r="G16" s="207">
        <v>7600</v>
      </c>
      <c r="H16" s="207"/>
      <c r="I16" s="207"/>
      <c r="J16" s="135">
        <f t="shared" si="0"/>
        <v>-388129</v>
      </c>
      <c r="K16" s="135"/>
      <c r="L16" s="135">
        <f t="shared" si="1"/>
        <v>388129</v>
      </c>
      <c r="M16" s="51"/>
      <c r="N16" s="51"/>
      <c r="O16" s="51"/>
      <c r="P16" s="199">
        <v>4700018915</v>
      </c>
      <c r="Q16" s="199">
        <v>1000069622</v>
      </c>
      <c r="R16" s="200">
        <f t="shared" si="2"/>
        <v>8.2448300005268135E-2</v>
      </c>
      <c r="S16" s="201"/>
    </row>
    <row r="17" spans="1:19" ht="14.25" x14ac:dyDescent="0.2">
      <c r="A17" s="203">
        <v>14</v>
      </c>
      <c r="B17" s="204">
        <v>994859702</v>
      </c>
      <c r="C17" s="169">
        <v>45974</v>
      </c>
      <c r="D17" s="169"/>
      <c r="E17" s="205" t="s">
        <v>242</v>
      </c>
      <c r="F17" s="206" t="s">
        <v>264</v>
      </c>
      <c r="G17" s="207">
        <v>80730</v>
      </c>
      <c r="H17" s="207"/>
      <c r="I17" s="207"/>
      <c r="J17" s="135">
        <f t="shared" si="0"/>
        <v>-468859</v>
      </c>
      <c r="K17" s="135"/>
      <c r="L17" s="135">
        <f t="shared" si="1"/>
        <v>468859</v>
      </c>
      <c r="M17" s="51"/>
      <c r="N17" s="51"/>
      <c r="O17" s="51"/>
      <c r="P17" s="199">
        <v>4700019048</v>
      </c>
      <c r="Q17" s="199">
        <v>1000070334</v>
      </c>
      <c r="R17" s="200">
        <f t="shared" si="2"/>
        <v>9.9597369668769961E-2</v>
      </c>
      <c r="S17" s="201"/>
    </row>
    <row r="18" spans="1:19" ht="14.25" x14ac:dyDescent="0.2">
      <c r="A18" s="203">
        <v>15</v>
      </c>
      <c r="B18" s="204">
        <v>994859638</v>
      </c>
      <c r="C18" s="169">
        <v>45986</v>
      </c>
      <c r="D18" s="169"/>
      <c r="E18" s="205" t="s">
        <v>265</v>
      </c>
      <c r="F18" s="206" t="s">
        <v>266</v>
      </c>
      <c r="G18" s="207">
        <v>17475</v>
      </c>
      <c r="H18" s="207"/>
      <c r="I18" s="207"/>
      <c r="J18" s="135">
        <f t="shared" si="0"/>
        <v>-486334</v>
      </c>
      <c r="K18" s="135"/>
      <c r="L18" s="135">
        <f t="shared" si="1"/>
        <v>486334</v>
      </c>
      <c r="M18" s="51"/>
      <c r="N18" s="51"/>
      <c r="O18" s="51"/>
      <c r="P18" s="199">
        <v>4700019304</v>
      </c>
      <c r="Q18" s="199">
        <v>1000071154</v>
      </c>
      <c r="R18" s="200">
        <f t="shared" si="2"/>
        <v>0.10330949641681522</v>
      </c>
      <c r="S18" s="201"/>
    </row>
    <row r="19" spans="1:19" ht="14.25" x14ac:dyDescent="0.2">
      <c r="A19" s="194">
        <v>16</v>
      </c>
      <c r="B19" s="202">
        <v>994859672</v>
      </c>
      <c r="C19" s="169">
        <v>45986</v>
      </c>
      <c r="D19" s="169"/>
      <c r="E19" s="205" t="s">
        <v>265</v>
      </c>
      <c r="F19" s="199" t="s">
        <v>267</v>
      </c>
      <c r="G19" s="198">
        <v>11475</v>
      </c>
      <c r="H19" s="198"/>
      <c r="I19" s="198"/>
      <c r="J19" s="135">
        <f t="shared" si="0"/>
        <v>-497809</v>
      </c>
      <c r="K19" s="135"/>
      <c r="L19" s="135">
        <f t="shared" si="1"/>
        <v>497809</v>
      </c>
      <c r="M19" s="51"/>
      <c r="N19" s="51"/>
      <c r="O19" s="51"/>
      <c r="P19" s="199">
        <v>4700019264</v>
      </c>
      <c r="Q19" s="199">
        <v>1000071018</v>
      </c>
      <c r="R19" s="200">
        <f t="shared" si="2"/>
        <v>0.1057470732084501</v>
      </c>
      <c r="S19" s="201"/>
    </row>
    <row r="20" spans="1:19" ht="14.25" x14ac:dyDescent="0.2">
      <c r="A20" s="194">
        <v>17</v>
      </c>
      <c r="B20" s="202">
        <v>994859785</v>
      </c>
      <c r="C20" s="169">
        <v>45987</v>
      </c>
      <c r="D20" s="169"/>
      <c r="E20" s="205" t="s">
        <v>265</v>
      </c>
      <c r="F20" s="199" t="s">
        <v>268</v>
      </c>
      <c r="G20" s="198">
        <v>119525</v>
      </c>
      <c r="H20" s="198"/>
      <c r="I20" s="198"/>
      <c r="J20" s="135">
        <f t="shared" si="0"/>
        <v>-617334</v>
      </c>
      <c r="K20" s="135"/>
      <c r="L20" s="135">
        <f t="shared" si="1"/>
        <v>617334</v>
      </c>
      <c r="M20" s="51"/>
      <c r="N20" s="51"/>
      <c r="O20" s="51"/>
      <c r="P20" s="199">
        <v>4700019310</v>
      </c>
      <c r="Q20" s="199">
        <v>1000071182</v>
      </c>
      <c r="R20" s="200">
        <f t="shared" si="2"/>
        <v>0.13113717046510878</v>
      </c>
      <c r="S20" s="201"/>
    </row>
    <row r="21" spans="1:19" ht="14.25" x14ac:dyDescent="0.2">
      <c r="A21" s="194">
        <v>18</v>
      </c>
      <c r="B21" s="202">
        <v>994859647</v>
      </c>
      <c r="C21" s="169">
        <v>45987</v>
      </c>
      <c r="D21" s="169"/>
      <c r="E21" s="196" t="s">
        <v>243</v>
      </c>
      <c r="F21" s="199" t="s">
        <v>269</v>
      </c>
      <c r="G21" s="198">
        <v>21010</v>
      </c>
      <c r="H21" s="198"/>
      <c r="I21" s="198"/>
      <c r="J21" s="135">
        <f t="shared" si="0"/>
        <v>-638344</v>
      </c>
      <c r="K21" s="135"/>
      <c r="L21" s="135">
        <f t="shared" si="1"/>
        <v>638344</v>
      </c>
      <c r="M21" s="51"/>
      <c r="N21" s="51"/>
      <c r="O21" s="51"/>
      <c r="P21" s="199">
        <v>4700018563</v>
      </c>
      <c r="Q21" s="199">
        <v>1000068333</v>
      </c>
      <c r="R21" s="200">
        <f t="shared" si="2"/>
        <v>0.13560021956247248</v>
      </c>
      <c r="S21" s="201"/>
    </row>
    <row r="22" spans="1:19" ht="14.25" x14ac:dyDescent="0.2">
      <c r="A22" s="194">
        <v>19</v>
      </c>
      <c r="B22" s="202">
        <v>994859843</v>
      </c>
      <c r="C22" s="169">
        <v>46002</v>
      </c>
      <c r="D22" s="169"/>
      <c r="E22" s="196" t="s">
        <v>243</v>
      </c>
      <c r="F22" s="199" t="s">
        <v>266</v>
      </c>
      <c r="G22" s="198">
        <v>11640</v>
      </c>
      <c r="H22" s="198"/>
      <c r="I22" s="198"/>
      <c r="J22" s="135">
        <f t="shared" si="0"/>
        <v>-649984</v>
      </c>
      <c r="K22" s="135"/>
      <c r="L22" s="135">
        <f t="shared" si="1"/>
        <v>649984</v>
      </c>
      <c r="M22" s="51"/>
      <c r="N22" s="51"/>
      <c r="O22" s="51"/>
      <c r="P22" s="199">
        <v>4700019494</v>
      </c>
      <c r="Q22" s="199">
        <v>1000072260</v>
      </c>
      <c r="R22" s="200">
        <f t="shared" si="2"/>
        <v>0.13807284647790866</v>
      </c>
      <c r="S22" s="201"/>
    </row>
    <row r="23" spans="1:19" ht="14.25" x14ac:dyDescent="0.2">
      <c r="A23" s="194">
        <v>20</v>
      </c>
      <c r="B23" s="202">
        <v>994859847</v>
      </c>
      <c r="C23" s="169">
        <v>46002</v>
      </c>
      <c r="D23" s="169"/>
      <c r="E23" s="196" t="s">
        <v>270</v>
      </c>
      <c r="F23" s="199" t="s">
        <v>271</v>
      </c>
      <c r="G23" s="198">
        <v>4110</v>
      </c>
      <c r="H23" s="198"/>
      <c r="I23" s="198"/>
      <c r="J23" s="135">
        <f t="shared" si="0"/>
        <v>-654094</v>
      </c>
      <c r="K23" s="135"/>
      <c r="L23" s="135">
        <f t="shared" si="1"/>
        <v>654094</v>
      </c>
      <c r="M23" s="51"/>
      <c r="N23" s="51"/>
      <c r="O23" s="51"/>
      <c r="P23" s="199">
        <v>4700019516</v>
      </c>
      <c r="Q23" s="199">
        <v>1000072316</v>
      </c>
      <c r="R23" s="200">
        <f t="shared" si="2"/>
        <v>0.13894591319804978</v>
      </c>
      <c r="S23" s="201"/>
    </row>
    <row r="24" spans="1:19" ht="14.25" x14ac:dyDescent="0.2">
      <c r="A24" s="194">
        <v>21</v>
      </c>
      <c r="B24" s="202">
        <v>994859871</v>
      </c>
      <c r="C24" s="169">
        <v>46002</v>
      </c>
      <c r="D24" s="169"/>
      <c r="E24" s="196" t="s">
        <v>242</v>
      </c>
      <c r="F24" s="199" t="s">
        <v>272</v>
      </c>
      <c r="G24" s="198">
        <v>38000</v>
      </c>
      <c r="H24" s="198"/>
      <c r="I24" s="198"/>
      <c r="J24" s="135">
        <f t="shared" si="0"/>
        <v>-692094</v>
      </c>
      <c r="K24" s="135"/>
      <c r="L24" s="135">
        <f t="shared" si="1"/>
        <v>692094</v>
      </c>
      <c r="M24" s="51"/>
      <c r="N24" s="51"/>
      <c r="O24" s="51"/>
      <c r="P24" s="199">
        <v>4700019564</v>
      </c>
      <c r="Q24" s="199">
        <v>1000072468</v>
      </c>
      <c r="R24" s="200">
        <f t="shared" si="2"/>
        <v>0.14701806292198225</v>
      </c>
      <c r="S24" s="201"/>
    </row>
    <row r="25" spans="1:19" ht="14.25" x14ac:dyDescent="0.2">
      <c r="A25" s="194">
        <v>22</v>
      </c>
      <c r="B25" s="202">
        <v>994859842</v>
      </c>
      <c r="C25" s="169">
        <v>46003</v>
      </c>
      <c r="D25" s="169"/>
      <c r="E25" s="196" t="s">
        <v>243</v>
      </c>
      <c r="F25" s="199" t="s">
        <v>273</v>
      </c>
      <c r="G25" s="198">
        <v>34720</v>
      </c>
      <c r="H25" s="198"/>
      <c r="I25" s="198"/>
      <c r="J25" s="135">
        <f t="shared" si="0"/>
        <v>-726814</v>
      </c>
      <c r="K25" s="135"/>
      <c r="L25" s="135">
        <f t="shared" si="1"/>
        <v>726814</v>
      </c>
      <c r="M25" s="51"/>
      <c r="N25" s="51"/>
      <c r="O25" s="51"/>
      <c r="P25" s="199">
        <v>4700019504</v>
      </c>
      <c r="Q25" s="199">
        <v>1000072280</v>
      </c>
      <c r="R25" s="200">
        <f t="shared" si="2"/>
        <v>0.15439345866974372</v>
      </c>
      <c r="S25" s="201"/>
    </row>
    <row r="26" spans="1:19" ht="14.25" x14ac:dyDescent="0.2">
      <c r="A26" s="194">
        <v>23</v>
      </c>
      <c r="B26" s="202">
        <v>994859863</v>
      </c>
      <c r="C26" s="169">
        <v>46010</v>
      </c>
      <c r="D26" s="169"/>
      <c r="E26" s="196" t="s">
        <v>274</v>
      </c>
      <c r="F26" s="199" t="s">
        <v>275</v>
      </c>
      <c r="G26" s="198">
        <v>683</v>
      </c>
      <c r="H26" s="198"/>
      <c r="I26" s="198"/>
      <c r="J26" s="135">
        <f t="shared" si="0"/>
        <v>-727497</v>
      </c>
      <c r="K26" s="135"/>
      <c r="L26" s="135">
        <f t="shared" si="1"/>
        <v>727497</v>
      </c>
      <c r="M26" s="51"/>
      <c r="N26" s="51"/>
      <c r="O26" s="51"/>
      <c r="P26" s="199">
        <v>4700019669</v>
      </c>
      <c r="Q26" s="199">
        <v>1000073134</v>
      </c>
      <c r="R26" s="200">
        <f t="shared" si="2"/>
        <v>0.15453854493978175</v>
      </c>
      <c r="S26" s="201"/>
    </row>
    <row r="27" spans="1:19" ht="14.25" x14ac:dyDescent="0.2">
      <c r="A27" s="194">
        <v>24</v>
      </c>
      <c r="B27" s="202">
        <v>994859872</v>
      </c>
      <c r="C27" s="169">
        <v>46010</v>
      </c>
      <c r="D27" s="169"/>
      <c r="E27" s="196" t="s">
        <v>270</v>
      </c>
      <c r="F27" s="199" t="s">
        <v>275</v>
      </c>
      <c r="G27" s="198">
        <v>37565</v>
      </c>
      <c r="H27" s="198"/>
      <c r="I27" s="198"/>
      <c r="J27" s="135">
        <f t="shared" si="0"/>
        <v>-765062</v>
      </c>
      <c r="K27" s="135"/>
      <c r="L27" s="135">
        <f t="shared" si="1"/>
        <v>765062</v>
      </c>
      <c r="M27" s="51"/>
      <c r="N27" s="51"/>
      <c r="O27" s="51"/>
      <c r="P27" s="199">
        <v>47000019677</v>
      </c>
      <c r="Q27" s="199">
        <v>1000073154</v>
      </c>
      <c r="R27" s="200">
        <f t="shared" si="2"/>
        <v>0.16251828979187449</v>
      </c>
      <c r="S27" s="201"/>
    </row>
    <row r="28" spans="1:19" ht="14.25" x14ac:dyDescent="0.2">
      <c r="A28" s="194">
        <v>25</v>
      </c>
      <c r="B28" s="202">
        <v>994859893</v>
      </c>
      <c r="C28" s="127">
        <v>46022</v>
      </c>
      <c r="D28" s="127"/>
      <c r="E28" s="196" t="s">
        <v>274</v>
      </c>
      <c r="F28" s="199" t="s">
        <v>271</v>
      </c>
      <c r="G28" s="198">
        <v>4250</v>
      </c>
      <c r="H28" s="198"/>
      <c r="I28" s="198"/>
      <c r="J28" s="135">
        <f t="shared" si="0"/>
        <v>-769312</v>
      </c>
      <c r="K28" s="135"/>
      <c r="L28" s="135">
        <f t="shared" si="1"/>
        <v>769312</v>
      </c>
      <c r="M28" s="51"/>
      <c r="N28" s="51"/>
      <c r="O28" s="51"/>
      <c r="P28" s="199">
        <v>4700019885</v>
      </c>
      <c r="Q28" s="199">
        <v>1000073942</v>
      </c>
      <c r="R28" s="200">
        <f t="shared" si="2"/>
        <v>0.16342109601099852</v>
      </c>
      <c r="S28" s="201"/>
    </row>
    <row r="29" spans="1:19" ht="14.25" x14ac:dyDescent="0.2">
      <c r="A29" s="194">
        <v>26</v>
      </c>
      <c r="B29" s="202">
        <v>994859894</v>
      </c>
      <c r="C29" s="127">
        <v>46022</v>
      </c>
      <c r="D29" s="127"/>
      <c r="E29" s="196" t="s">
        <v>274</v>
      </c>
      <c r="F29" s="199" t="s">
        <v>276</v>
      </c>
      <c r="G29" s="198">
        <v>4850</v>
      </c>
      <c r="H29" s="198"/>
      <c r="I29" s="198"/>
      <c r="J29" s="135">
        <f t="shared" si="0"/>
        <v>-774162</v>
      </c>
      <c r="K29" s="135"/>
      <c r="L29" s="135">
        <f t="shared" si="1"/>
        <v>774162</v>
      </c>
      <c r="M29" s="51"/>
      <c r="N29" s="51"/>
      <c r="O29" s="51"/>
      <c r="P29" s="199">
        <v>4700019886</v>
      </c>
      <c r="Q29" s="199">
        <v>1000073944</v>
      </c>
      <c r="R29" s="200">
        <f t="shared" si="2"/>
        <v>0.16445135722576359</v>
      </c>
      <c r="S29" s="201"/>
    </row>
    <row r="30" spans="1:19" ht="14.25" x14ac:dyDescent="0.2">
      <c r="A30" s="203">
        <v>27</v>
      </c>
      <c r="B30" s="202">
        <v>994859921</v>
      </c>
      <c r="C30" s="169">
        <v>46022</v>
      </c>
      <c r="D30" s="169"/>
      <c r="E30" s="196" t="s">
        <v>274</v>
      </c>
      <c r="F30" s="199" t="s">
        <v>277</v>
      </c>
      <c r="G30" s="207">
        <v>4490</v>
      </c>
      <c r="H30" s="207"/>
      <c r="I30" s="207"/>
      <c r="J30" s="135">
        <f t="shared" si="0"/>
        <v>-778652</v>
      </c>
      <c r="K30" s="135"/>
      <c r="L30" s="135">
        <f t="shared" si="1"/>
        <v>778652</v>
      </c>
      <c r="M30" s="51"/>
      <c r="N30" s="51"/>
      <c r="O30" s="51"/>
      <c r="P30" s="199">
        <v>4700019887</v>
      </c>
      <c r="Q30" s="199">
        <v>1000073951</v>
      </c>
      <c r="R30" s="200">
        <f t="shared" si="2"/>
        <v>0.16540514544314402</v>
      </c>
      <c r="S30" s="201"/>
    </row>
    <row r="31" spans="1:19" ht="14.25" x14ac:dyDescent="0.2">
      <c r="A31" s="194">
        <v>28</v>
      </c>
      <c r="B31" s="202">
        <v>994859954</v>
      </c>
      <c r="C31" s="127">
        <v>46084</v>
      </c>
      <c r="D31" s="127"/>
      <c r="E31" s="196" t="s">
        <v>242</v>
      </c>
      <c r="F31" s="199" t="s">
        <v>278</v>
      </c>
      <c r="G31" s="198">
        <v>287550</v>
      </c>
      <c r="H31" s="198"/>
      <c r="I31" s="198"/>
      <c r="J31" s="135">
        <f t="shared" si="0"/>
        <v>-1066202</v>
      </c>
      <c r="K31" s="135"/>
      <c r="L31" s="135">
        <f t="shared" si="1"/>
        <v>1066202</v>
      </c>
      <c r="M31" s="51"/>
      <c r="N31" s="51"/>
      <c r="O31" s="51"/>
      <c r="P31" s="199">
        <v>4700020173</v>
      </c>
      <c r="Q31" s="199">
        <v>1000075059</v>
      </c>
      <c r="R31" s="200">
        <f t="shared" si="2"/>
        <v>0.22648795210411204</v>
      </c>
      <c r="S31" s="201"/>
    </row>
    <row r="32" spans="1:19" ht="14.25" x14ac:dyDescent="0.2">
      <c r="A32" s="208">
        <v>29</v>
      </c>
      <c r="B32" s="202">
        <v>994860010</v>
      </c>
      <c r="C32" s="127">
        <v>46097</v>
      </c>
      <c r="D32" s="127"/>
      <c r="E32" s="196" t="s">
        <v>279</v>
      </c>
      <c r="F32" s="199" t="s">
        <v>280</v>
      </c>
      <c r="G32" s="198">
        <v>3400</v>
      </c>
      <c r="H32" s="198"/>
      <c r="I32" s="198"/>
      <c r="J32" s="135">
        <f t="shared" si="0"/>
        <v>-1069602</v>
      </c>
      <c r="K32" s="135"/>
      <c r="L32" s="135">
        <f t="shared" si="1"/>
        <v>1069602</v>
      </c>
      <c r="M32" s="51"/>
      <c r="N32" s="51"/>
      <c r="O32" s="51"/>
      <c r="P32" s="199">
        <v>4700021276</v>
      </c>
      <c r="Q32" s="199">
        <v>1000079748</v>
      </c>
      <c r="R32" s="200">
        <f t="shared" si="2"/>
        <v>0.22721019707941126</v>
      </c>
      <c r="S32" s="201"/>
    </row>
    <row r="33" spans="1:19" ht="14.25" x14ac:dyDescent="0.2">
      <c r="A33" s="208">
        <v>30</v>
      </c>
      <c r="B33" s="202">
        <v>994860011</v>
      </c>
      <c r="C33" s="127">
        <v>46097</v>
      </c>
      <c r="D33" s="127"/>
      <c r="E33" s="196" t="s">
        <v>242</v>
      </c>
      <c r="F33" s="199" t="s">
        <v>281</v>
      </c>
      <c r="G33" s="198">
        <v>26220</v>
      </c>
      <c r="H33" s="198"/>
      <c r="I33" s="198"/>
      <c r="J33" s="135">
        <f t="shared" si="0"/>
        <v>-1095822</v>
      </c>
      <c r="K33" s="135"/>
      <c r="L33" s="135">
        <f t="shared" si="1"/>
        <v>1095822</v>
      </c>
      <c r="M33" s="51"/>
      <c r="N33" s="51"/>
      <c r="O33" s="51"/>
      <c r="P33" s="199">
        <v>4700021279</v>
      </c>
      <c r="Q33" s="199">
        <v>1000079767</v>
      </c>
      <c r="R33" s="200">
        <f t="shared" si="2"/>
        <v>0.23277998038892467</v>
      </c>
      <c r="S33" s="201"/>
    </row>
    <row r="34" spans="1:19" ht="14.25" x14ac:dyDescent="0.2">
      <c r="A34" s="208">
        <v>31</v>
      </c>
      <c r="B34" s="202">
        <v>994860039</v>
      </c>
      <c r="C34" s="127">
        <v>46098</v>
      </c>
      <c r="D34" s="127"/>
      <c r="E34" s="196" t="s">
        <v>274</v>
      </c>
      <c r="F34" s="199" t="s">
        <v>282</v>
      </c>
      <c r="G34" s="198">
        <v>5940</v>
      </c>
      <c r="H34" s="198"/>
      <c r="I34" s="198"/>
      <c r="J34" s="135">
        <f t="shared" si="0"/>
        <v>-1101762</v>
      </c>
      <c r="K34" s="135"/>
      <c r="L34" s="135">
        <f t="shared" si="1"/>
        <v>1101762</v>
      </c>
      <c r="M34" s="51"/>
      <c r="N34" s="51"/>
      <c r="O34" s="51"/>
      <c r="P34" s="199">
        <v>4700021367</v>
      </c>
      <c r="Q34" s="199">
        <v>1000080097</v>
      </c>
      <c r="R34" s="200">
        <f t="shared" si="2"/>
        <v>0.23404178484577096</v>
      </c>
      <c r="S34" s="201"/>
    </row>
    <row r="35" spans="1:19" ht="14.25" x14ac:dyDescent="0.2">
      <c r="A35" s="208">
        <v>32</v>
      </c>
      <c r="B35" s="202">
        <v>994860040</v>
      </c>
      <c r="C35" s="127">
        <v>46126</v>
      </c>
      <c r="D35" s="127"/>
      <c r="E35" s="196" t="s">
        <v>274</v>
      </c>
      <c r="F35" s="199" t="s">
        <v>283</v>
      </c>
      <c r="G35" s="198">
        <v>10150</v>
      </c>
      <c r="H35" s="198"/>
      <c r="I35" s="198"/>
      <c r="J35" s="135">
        <f t="shared" si="0"/>
        <v>-1111912</v>
      </c>
      <c r="K35" s="135"/>
      <c r="L35" s="135">
        <f t="shared" si="1"/>
        <v>1111912</v>
      </c>
      <c r="M35" s="51"/>
      <c r="N35" s="51"/>
      <c r="O35" s="51"/>
      <c r="P35" s="199">
        <v>4700021859</v>
      </c>
      <c r="Q35" s="199">
        <v>1000081815</v>
      </c>
      <c r="R35" s="200">
        <f t="shared" si="2"/>
        <v>0.23619789852203188</v>
      </c>
      <c r="S35" s="201"/>
    </row>
    <row r="36" spans="1:19" ht="14.25" x14ac:dyDescent="0.2">
      <c r="A36" s="208">
        <v>33</v>
      </c>
      <c r="B36" s="202">
        <v>994860195</v>
      </c>
      <c r="C36" s="127">
        <v>46142</v>
      </c>
      <c r="D36" s="127"/>
      <c r="E36" s="196" t="s">
        <v>243</v>
      </c>
      <c r="F36" s="199" t="s">
        <v>285</v>
      </c>
      <c r="G36" s="198">
        <v>80252.5</v>
      </c>
      <c r="H36" s="198"/>
      <c r="I36" s="198"/>
      <c r="J36" s="135">
        <f t="shared" si="0"/>
        <v>-1192164.5</v>
      </c>
      <c r="K36" s="135"/>
      <c r="L36" s="135">
        <f t="shared" si="1"/>
        <v>1192164.5</v>
      </c>
      <c r="M36" s="51"/>
      <c r="N36" s="51"/>
      <c r="O36" s="51"/>
      <c r="P36" s="199">
        <v>4700022146</v>
      </c>
      <c r="Q36" s="199">
        <v>1000082905</v>
      </c>
      <c r="R36" s="200">
        <f t="shared" si="2"/>
        <v>0.25324553525150267</v>
      </c>
      <c r="S36" s="201"/>
    </row>
    <row r="37" spans="1:19" ht="14.25" x14ac:dyDescent="0.2">
      <c r="A37" s="208">
        <v>34</v>
      </c>
      <c r="B37" s="195">
        <v>994860151</v>
      </c>
      <c r="C37" s="127">
        <v>46146</v>
      </c>
      <c r="D37" s="127"/>
      <c r="E37" s="196" t="s">
        <v>130</v>
      </c>
      <c r="F37" s="199" t="s">
        <v>284</v>
      </c>
      <c r="G37" s="198">
        <v>4098</v>
      </c>
      <c r="H37" s="198"/>
      <c r="I37" s="198"/>
      <c r="J37" s="135">
        <f t="shared" si="0"/>
        <v>-1196262.5</v>
      </c>
      <c r="K37" s="135"/>
      <c r="L37" s="135">
        <f t="shared" si="1"/>
        <v>1196262.5</v>
      </c>
      <c r="M37" s="51"/>
      <c r="N37" s="51"/>
      <c r="O37" s="51"/>
      <c r="P37" s="199">
        <v>4700022234</v>
      </c>
      <c r="Q37" s="199">
        <v>1000083164</v>
      </c>
      <c r="R37" s="200">
        <f t="shared" si="2"/>
        <v>0.254116052871731</v>
      </c>
      <c r="S37" s="201"/>
    </row>
    <row r="38" spans="1:19" ht="14.25" x14ac:dyDescent="0.2">
      <c r="A38" s="209">
        <v>35</v>
      </c>
      <c r="B38" s="210">
        <v>994860152</v>
      </c>
      <c r="C38" s="169">
        <v>46162</v>
      </c>
      <c r="D38" s="169"/>
      <c r="E38" s="205" t="s">
        <v>242</v>
      </c>
      <c r="F38" s="206" t="s">
        <v>287</v>
      </c>
      <c r="G38" s="207">
        <v>107060</v>
      </c>
      <c r="H38" s="207"/>
      <c r="I38" s="207"/>
      <c r="J38" s="135">
        <f t="shared" si="0"/>
        <v>-1303322.5</v>
      </c>
      <c r="K38" s="135"/>
      <c r="L38" s="135">
        <f t="shared" si="1"/>
        <v>1303322.5</v>
      </c>
      <c r="M38" s="51"/>
      <c r="N38" s="51"/>
      <c r="O38" s="51"/>
      <c r="P38" s="199">
        <v>4700022531</v>
      </c>
      <c r="Q38" s="199">
        <v>1000084434</v>
      </c>
      <c r="R38" s="200">
        <f t="shared" si="2"/>
        <v>0.27685827259394707</v>
      </c>
      <c r="S38" s="201"/>
    </row>
    <row r="39" spans="1:19" ht="14.25" x14ac:dyDescent="0.2">
      <c r="A39" s="208">
        <v>36</v>
      </c>
      <c r="B39" s="195">
        <v>994860199</v>
      </c>
      <c r="C39" s="127">
        <v>46162</v>
      </c>
      <c r="D39" s="127"/>
      <c r="E39" s="196" t="s">
        <v>288</v>
      </c>
      <c r="F39" s="199" t="s">
        <v>278</v>
      </c>
      <c r="G39" s="198">
        <v>30340</v>
      </c>
      <c r="H39" s="198"/>
      <c r="I39" s="198"/>
      <c r="J39" s="135">
        <f t="shared" si="0"/>
        <v>-1333662.5</v>
      </c>
      <c r="K39" s="135"/>
      <c r="L39" s="135">
        <f t="shared" si="1"/>
        <v>1333662.5</v>
      </c>
      <c r="M39" s="51"/>
      <c r="N39" s="51"/>
      <c r="O39" s="51"/>
      <c r="P39" s="199">
        <v>4700022517</v>
      </c>
      <c r="Q39" s="199">
        <v>1000084381</v>
      </c>
      <c r="R39" s="200">
        <f t="shared" si="2"/>
        <v>0.28330324687352898</v>
      </c>
      <c r="S39" s="201"/>
    </row>
    <row r="40" spans="1:19" ht="14.25" x14ac:dyDescent="0.2">
      <c r="A40" s="208">
        <v>37</v>
      </c>
      <c r="B40" s="195">
        <v>994860226</v>
      </c>
      <c r="C40" s="127">
        <v>46162</v>
      </c>
      <c r="D40" s="127"/>
      <c r="E40" s="196" t="s">
        <v>288</v>
      </c>
      <c r="F40" s="199" t="s">
        <v>287</v>
      </c>
      <c r="G40" s="198">
        <v>39250</v>
      </c>
      <c r="H40" s="198"/>
      <c r="I40" s="198"/>
      <c r="J40" s="135">
        <f t="shared" si="0"/>
        <v>-1372912.5</v>
      </c>
      <c r="K40" s="135"/>
      <c r="L40" s="135">
        <f t="shared" si="1"/>
        <v>1372912.5</v>
      </c>
      <c r="M40" s="51"/>
      <c r="N40" s="51"/>
      <c r="O40" s="51"/>
      <c r="P40" s="199">
        <v>4700022550</v>
      </c>
      <c r="Q40" s="199">
        <v>1000084527</v>
      </c>
      <c r="R40" s="200">
        <f t="shared" si="2"/>
        <v>0.29164092783838025</v>
      </c>
      <c r="S40" s="201"/>
    </row>
    <row r="41" spans="1:19" ht="14.25" x14ac:dyDescent="0.2">
      <c r="A41" s="208">
        <v>38</v>
      </c>
      <c r="B41" s="195">
        <v>994860264</v>
      </c>
      <c r="C41" s="127">
        <v>46162</v>
      </c>
      <c r="D41" s="127"/>
      <c r="E41" s="196" t="s">
        <v>288</v>
      </c>
      <c r="F41" s="199" t="s">
        <v>289</v>
      </c>
      <c r="G41" s="198">
        <v>4825</v>
      </c>
      <c r="H41" s="198"/>
      <c r="I41" s="198"/>
      <c r="J41" s="135">
        <f t="shared" si="0"/>
        <v>-1377737.5</v>
      </c>
      <c r="K41" s="135"/>
      <c r="L41" s="135">
        <f t="shared" si="1"/>
        <v>1377737.5</v>
      </c>
      <c r="M41" s="51"/>
      <c r="N41" s="51"/>
      <c r="O41" s="51"/>
      <c r="P41" s="199">
        <v>4700022551</v>
      </c>
      <c r="Q41" s="199">
        <v>1000084530</v>
      </c>
      <c r="R41" s="200">
        <f t="shared" si="2"/>
        <v>0.29266587842832698</v>
      </c>
      <c r="S41" s="201"/>
    </row>
    <row r="42" spans="1:19" ht="14.25" x14ac:dyDescent="0.2">
      <c r="A42" s="208">
        <v>39</v>
      </c>
      <c r="B42" s="195">
        <v>994860265</v>
      </c>
      <c r="C42" s="127">
        <v>46162</v>
      </c>
      <c r="D42" s="127"/>
      <c r="E42" s="196" t="s">
        <v>288</v>
      </c>
      <c r="F42" s="199" t="s">
        <v>290</v>
      </c>
      <c r="G42" s="198">
        <v>2772</v>
      </c>
      <c r="H42" s="198"/>
      <c r="I42" s="198"/>
      <c r="J42" s="135">
        <f t="shared" si="0"/>
        <v>-1380509.5</v>
      </c>
      <c r="K42" s="135"/>
      <c r="L42" s="135">
        <f t="shared" si="1"/>
        <v>1380509.5</v>
      </c>
      <c r="M42" s="51"/>
      <c r="N42" s="51"/>
      <c r="O42" s="51"/>
      <c r="P42" s="199">
        <v>4700022552</v>
      </c>
      <c r="Q42" s="199">
        <v>1000084532</v>
      </c>
      <c r="R42" s="200">
        <f t="shared" si="2"/>
        <v>0.29325472050818857</v>
      </c>
      <c r="S42" s="201"/>
    </row>
    <row r="43" spans="1:19" ht="14.25" x14ac:dyDescent="0.2">
      <c r="A43" s="208">
        <v>40</v>
      </c>
      <c r="B43" s="195">
        <v>994860291</v>
      </c>
      <c r="C43" s="127">
        <v>46175</v>
      </c>
      <c r="D43" s="127"/>
      <c r="E43" s="196" t="s">
        <v>292</v>
      </c>
      <c r="F43" s="199" t="s">
        <v>293</v>
      </c>
      <c r="G43" s="198">
        <v>52932.5</v>
      </c>
      <c r="H43" s="198"/>
      <c r="I43" s="198"/>
      <c r="J43" s="135">
        <f t="shared" si="0"/>
        <v>-1433442</v>
      </c>
      <c r="K43" s="135"/>
      <c r="L43" s="135">
        <f t="shared" si="1"/>
        <v>1433442</v>
      </c>
      <c r="M43" s="51"/>
      <c r="N43" s="51"/>
      <c r="O43" s="51"/>
      <c r="P43" s="199">
        <v>4700022555</v>
      </c>
      <c r="Q43" s="199">
        <v>1000084565</v>
      </c>
      <c r="R43" s="200">
        <f t="shared" si="2"/>
        <v>0.30449890643613742</v>
      </c>
      <c r="S43" s="201">
        <v>46189</v>
      </c>
    </row>
    <row r="44" spans="1:19" ht="14.25" x14ac:dyDescent="0.2">
      <c r="A44" s="208">
        <v>41</v>
      </c>
      <c r="B44" s="195">
        <v>994860292</v>
      </c>
      <c r="C44" s="127">
        <v>46175</v>
      </c>
      <c r="D44" s="127"/>
      <c r="E44" s="196" t="s">
        <v>292</v>
      </c>
      <c r="F44" s="199" t="s">
        <v>294</v>
      </c>
      <c r="G44" s="198">
        <v>5890</v>
      </c>
      <c r="H44" s="198"/>
      <c r="I44" s="198"/>
      <c r="J44" s="135">
        <f t="shared" si="0"/>
        <v>-1439332</v>
      </c>
      <c r="K44" s="135"/>
      <c r="L44" s="135">
        <f t="shared" si="1"/>
        <v>1439332</v>
      </c>
      <c r="M44" s="51"/>
      <c r="N44" s="51"/>
      <c r="O44" s="51"/>
      <c r="P44" s="199">
        <v>4700022720</v>
      </c>
      <c r="Q44" s="199">
        <v>1000085295</v>
      </c>
      <c r="R44" s="200">
        <f t="shared" si="2"/>
        <v>0.30575008964334693</v>
      </c>
      <c r="S44" s="201">
        <v>46175</v>
      </c>
    </row>
    <row r="45" spans="1:19" ht="14.25" x14ac:dyDescent="0.2">
      <c r="A45" s="208">
        <v>42</v>
      </c>
      <c r="B45" s="195">
        <v>994860361</v>
      </c>
      <c r="C45" s="127" t="s">
        <v>297</v>
      </c>
      <c r="D45" s="127"/>
      <c r="E45" s="196" t="s">
        <v>292</v>
      </c>
      <c r="F45" s="199" t="s">
        <v>298</v>
      </c>
      <c r="G45" s="198">
        <v>17670</v>
      </c>
      <c r="H45" s="198"/>
      <c r="I45" s="198"/>
      <c r="J45" s="135">
        <f t="shared" si="0"/>
        <v>-1457002</v>
      </c>
      <c r="K45" s="135"/>
      <c r="L45" s="135">
        <f t="shared" si="1"/>
        <v>1457002</v>
      </c>
      <c r="M45" s="51"/>
      <c r="N45" s="51"/>
      <c r="O45" s="51"/>
      <c r="P45" s="199">
        <v>4700023248</v>
      </c>
      <c r="Q45" s="199">
        <v>1000087375</v>
      </c>
      <c r="R45" s="211">
        <f t="shared" si="2"/>
        <v>0.30950363926497554</v>
      </c>
      <c r="S45" s="201">
        <v>46197</v>
      </c>
    </row>
    <row r="46" spans="1:19" ht="14.25" x14ac:dyDescent="0.2">
      <c r="A46" s="209">
        <v>43</v>
      </c>
      <c r="B46" s="210">
        <v>994860317</v>
      </c>
      <c r="C46" s="127" t="s">
        <v>297</v>
      </c>
      <c r="D46" s="127"/>
      <c r="E46" s="196" t="s">
        <v>292</v>
      </c>
      <c r="F46" s="206" t="s">
        <v>299</v>
      </c>
      <c r="G46" s="207">
        <v>58805</v>
      </c>
      <c r="H46" s="207"/>
      <c r="I46" s="207"/>
      <c r="J46" s="135">
        <f t="shared" si="0"/>
        <v>-1515807</v>
      </c>
      <c r="K46" s="135"/>
      <c r="L46" s="135">
        <f t="shared" si="1"/>
        <v>1515807</v>
      </c>
      <c r="M46" s="51"/>
      <c r="N46" s="51"/>
      <c r="O46" s="51"/>
      <c r="P46" s="199">
        <v>4700023253</v>
      </c>
      <c r="Q46" s="199">
        <v>1000087388</v>
      </c>
      <c r="R46" s="211">
        <f t="shared" si="2"/>
        <v>0.32199529096276103</v>
      </c>
      <c r="S46" s="201">
        <v>46197</v>
      </c>
    </row>
    <row r="47" spans="1:19" ht="14.25" x14ac:dyDescent="0.2">
      <c r="A47" s="194">
        <v>44</v>
      </c>
      <c r="B47" s="195">
        <v>994860146</v>
      </c>
      <c r="C47" s="127">
        <v>46203</v>
      </c>
      <c r="D47" s="127"/>
      <c r="E47" s="196" t="s">
        <v>242</v>
      </c>
      <c r="F47" s="199" t="s">
        <v>300</v>
      </c>
      <c r="G47" s="198">
        <v>45600</v>
      </c>
      <c r="H47" s="198"/>
      <c r="I47" s="198"/>
      <c r="J47" s="135">
        <f t="shared" si="0"/>
        <v>-1561407</v>
      </c>
      <c r="K47" s="135"/>
      <c r="L47" s="135">
        <f t="shared" si="1"/>
        <v>1561407</v>
      </c>
      <c r="M47" s="51"/>
      <c r="N47" s="51"/>
      <c r="O47" s="51"/>
      <c r="P47" s="199">
        <v>4700023511</v>
      </c>
      <c r="Q47" s="199">
        <v>1000088486</v>
      </c>
      <c r="R47" s="211">
        <f t="shared" si="2"/>
        <v>0.33168187063148002</v>
      </c>
      <c r="S47" s="201">
        <v>46209</v>
      </c>
    </row>
    <row r="48" spans="1:19" ht="14.25" x14ac:dyDescent="0.2">
      <c r="A48" s="194">
        <v>45</v>
      </c>
      <c r="B48" s="195">
        <v>994860414</v>
      </c>
      <c r="C48" s="127">
        <v>46220</v>
      </c>
      <c r="D48" s="127"/>
      <c r="E48" s="196" t="s">
        <v>301</v>
      </c>
      <c r="F48" s="199" t="s">
        <v>302</v>
      </c>
      <c r="G48" s="198">
        <v>22197.5</v>
      </c>
      <c r="H48" s="198"/>
      <c r="I48" s="198"/>
      <c r="J48" s="135">
        <f t="shared" si="0"/>
        <v>-1583604.5</v>
      </c>
      <c r="K48" s="135"/>
      <c r="L48" s="135">
        <f t="shared" si="1"/>
        <v>1583604.5</v>
      </c>
      <c r="M48" s="51"/>
      <c r="N48" s="51"/>
      <c r="O48" s="51"/>
      <c r="P48" s="199">
        <v>4700023549</v>
      </c>
      <c r="Q48" s="199">
        <v>1000088496</v>
      </c>
      <c r="R48" s="211">
        <f t="shared" si="2"/>
        <v>0.33639717440771666</v>
      </c>
      <c r="S48" s="201">
        <v>46220</v>
      </c>
    </row>
    <row r="49" spans="1:19" ht="14.25" x14ac:dyDescent="0.2">
      <c r="A49" s="194">
        <v>46</v>
      </c>
      <c r="B49" s="195">
        <v>994860413</v>
      </c>
      <c r="C49" s="127">
        <v>46220</v>
      </c>
      <c r="D49" s="127"/>
      <c r="E49" s="196" t="s">
        <v>292</v>
      </c>
      <c r="F49" s="199" t="s">
        <v>303</v>
      </c>
      <c r="G49" s="198">
        <v>5890</v>
      </c>
      <c r="H49" s="198"/>
      <c r="I49" s="198"/>
      <c r="J49" s="135">
        <f t="shared" si="0"/>
        <v>-1589494.5</v>
      </c>
      <c r="K49" s="135"/>
      <c r="L49" s="135">
        <f t="shared" si="1"/>
        <v>1589494.5</v>
      </c>
      <c r="M49" s="51"/>
      <c r="N49" s="51"/>
      <c r="O49" s="51"/>
      <c r="P49" s="199">
        <v>4700023554</v>
      </c>
      <c r="Q49" s="199">
        <v>1000088510</v>
      </c>
      <c r="R49" s="211">
        <f t="shared" si="2"/>
        <v>0.33764835761492618</v>
      </c>
      <c r="S49" s="201">
        <v>46220</v>
      </c>
    </row>
    <row r="50" spans="1:19" ht="14.25" x14ac:dyDescent="0.2">
      <c r="A50" s="194">
        <v>47</v>
      </c>
      <c r="B50" s="195">
        <v>994860411</v>
      </c>
      <c r="C50" s="127">
        <v>46203</v>
      </c>
      <c r="D50" s="127"/>
      <c r="E50" s="196" t="s">
        <v>301</v>
      </c>
      <c r="F50" s="199" t="s">
        <v>304</v>
      </c>
      <c r="G50" s="198">
        <v>3625</v>
      </c>
      <c r="H50" s="198"/>
      <c r="I50" s="198"/>
      <c r="J50" s="135">
        <f t="shared" si="0"/>
        <v>-1593119.5</v>
      </c>
      <c r="K50" s="135"/>
      <c r="L50" s="135">
        <f t="shared" si="1"/>
        <v>1593119.5</v>
      </c>
      <c r="M50" s="51"/>
      <c r="N50" s="51"/>
      <c r="O50" s="51"/>
      <c r="P50" s="199">
        <v>4700023552</v>
      </c>
      <c r="Q50" s="199">
        <v>1000088507</v>
      </c>
      <c r="R50" s="211">
        <f t="shared" si="2"/>
        <v>0.33841839821359077</v>
      </c>
      <c r="S50" s="201">
        <v>46253</v>
      </c>
    </row>
    <row r="51" spans="1:19" ht="14.25" x14ac:dyDescent="0.2">
      <c r="A51" s="203">
        <v>48</v>
      </c>
      <c r="B51" s="210">
        <v>994860415</v>
      </c>
      <c r="C51" s="169">
        <v>46220</v>
      </c>
      <c r="D51" s="169"/>
      <c r="E51" s="205" t="s">
        <v>313</v>
      </c>
      <c r="F51" s="206" t="s">
        <v>305</v>
      </c>
      <c r="G51" s="207">
        <v>42687.5</v>
      </c>
      <c r="H51" s="207"/>
      <c r="I51" s="207"/>
      <c r="J51" s="135">
        <f t="shared" si="0"/>
        <v>-1635807</v>
      </c>
      <c r="K51" s="135"/>
      <c r="L51" s="135">
        <f t="shared" si="1"/>
        <v>1635807</v>
      </c>
      <c r="M51" s="51"/>
      <c r="N51" s="51"/>
      <c r="O51" s="51"/>
      <c r="P51" s="199">
        <v>4700023556</v>
      </c>
      <c r="Q51" s="199">
        <v>1000088511</v>
      </c>
      <c r="R51" s="211">
        <f t="shared" si="2"/>
        <v>0.34748629009096887</v>
      </c>
      <c r="S51" s="201">
        <v>46220</v>
      </c>
    </row>
    <row r="52" spans="1:19" ht="14.25" x14ac:dyDescent="0.2">
      <c r="A52" s="203">
        <v>49</v>
      </c>
      <c r="B52" s="210">
        <v>994860410</v>
      </c>
      <c r="C52" s="169">
        <v>46220</v>
      </c>
      <c r="D52" s="169"/>
      <c r="E52" s="205" t="s">
        <v>292</v>
      </c>
      <c r="F52" s="206" t="s">
        <v>306</v>
      </c>
      <c r="G52" s="207">
        <v>228000</v>
      </c>
      <c r="H52" s="207"/>
      <c r="I52" s="207"/>
      <c r="J52" s="135">
        <f t="shared" si="0"/>
        <v>-1863807</v>
      </c>
      <c r="K52" s="135"/>
      <c r="L52" s="135">
        <f t="shared" si="1"/>
        <v>1863807</v>
      </c>
      <c r="M52" s="51"/>
      <c r="N52" s="51"/>
      <c r="O52" s="51"/>
      <c r="P52" s="199">
        <v>4700023560</v>
      </c>
      <c r="Q52" s="199">
        <v>1000088515</v>
      </c>
      <c r="R52" s="211">
        <f t="shared" si="2"/>
        <v>0.39591918843456375</v>
      </c>
      <c r="S52" s="201">
        <v>46220</v>
      </c>
    </row>
    <row r="53" spans="1:19" ht="14.25" x14ac:dyDescent="0.2">
      <c r="A53" s="203">
        <v>50</v>
      </c>
      <c r="B53" s="210">
        <v>994860412</v>
      </c>
      <c r="C53" s="169">
        <v>46203</v>
      </c>
      <c r="D53" s="169"/>
      <c r="E53" s="205" t="s">
        <v>301</v>
      </c>
      <c r="F53" s="206" t="s">
        <v>307</v>
      </c>
      <c r="G53" s="207">
        <v>2475</v>
      </c>
      <c r="H53" s="207"/>
      <c r="I53" s="207"/>
      <c r="J53" s="135">
        <f t="shared" si="0"/>
        <v>-1866282</v>
      </c>
      <c r="K53" s="135"/>
      <c r="L53" s="135">
        <f t="shared" si="1"/>
        <v>1866282</v>
      </c>
      <c r="M53" s="51"/>
      <c r="N53" s="51"/>
      <c r="O53" s="51"/>
      <c r="P53" s="199">
        <v>4700023591</v>
      </c>
      <c r="Q53" s="199">
        <v>1000088710</v>
      </c>
      <c r="R53" s="211">
        <f t="shared" si="2"/>
        <v>0.39644494029158306</v>
      </c>
      <c r="S53" s="201">
        <v>46255</v>
      </c>
    </row>
    <row r="54" spans="1:19" ht="14.25" x14ac:dyDescent="0.2">
      <c r="A54" s="212">
        <v>51</v>
      </c>
      <c r="B54" s="213">
        <v>994860515</v>
      </c>
      <c r="C54" s="214">
        <v>46251</v>
      </c>
      <c r="D54" s="214"/>
      <c r="E54" s="215" t="s">
        <v>314</v>
      </c>
      <c r="F54" s="216" t="s">
        <v>315</v>
      </c>
      <c r="G54" s="217">
        <v>22197.5</v>
      </c>
      <c r="H54" s="217"/>
      <c r="I54" s="217"/>
      <c r="J54" s="191">
        <f t="shared" si="0"/>
        <v>-1888479.5</v>
      </c>
      <c r="K54" s="191"/>
      <c r="L54" s="191">
        <f t="shared" si="1"/>
        <v>1888479.5</v>
      </c>
      <c r="M54" s="51"/>
      <c r="N54" s="51"/>
      <c r="O54" s="51"/>
      <c r="P54" s="216">
        <v>4700024492</v>
      </c>
      <c r="Q54" s="216">
        <v>1000091980</v>
      </c>
      <c r="R54" s="218">
        <f t="shared" si="2"/>
        <v>0.40116024406781964</v>
      </c>
      <c r="S54" s="219"/>
    </row>
    <row r="55" spans="1:19" ht="14.25" x14ac:dyDescent="0.2">
      <c r="A55" s="212">
        <v>52</v>
      </c>
      <c r="B55" s="213">
        <v>994860514</v>
      </c>
      <c r="C55" s="214">
        <v>46251</v>
      </c>
      <c r="D55" s="214"/>
      <c r="E55" s="220" t="s">
        <v>292</v>
      </c>
      <c r="F55" s="216" t="s">
        <v>316</v>
      </c>
      <c r="G55" s="217">
        <v>31900</v>
      </c>
      <c r="H55" s="217"/>
      <c r="I55" s="217"/>
      <c r="J55" s="191">
        <f t="shared" si="0"/>
        <v>-1920379.5</v>
      </c>
      <c r="K55" s="191"/>
      <c r="L55" s="191">
        <f t="shared" si="1"/>
        <v>1920379.5</v>
      </c>
      <c r="M55" s="51"/>
      <c r="N55" s="51"/>
      <c r="O55" s="51"/>
      <c r="P55" s="216">
        <v>4700024496</v>
      </c>
      <c r="Q55" s="216">
        <v>1000092009</v>
      </c>
      <c r="R55" s="218">
        <f t="shared" si="2"/>
        <v>0.40793660133606824</v>
      </c>
      <c r="S55" s="219">
        <v>46255</v>
      </c>
    </row>
    <row r="56" spans="1:19" ht="14.25" x14ac:dyDescent="0.2">
      <c r="A56" s="221">
        <v>53</v>
      </c>
      <c r="B56" s="222">
        <v>994860513</v>
      </c>
      <c r="C56" s="223">
        <v>46251</v>
      </c>
      <c r="D56" s="223"/>
      <c r="E56" s="224" t="s">
        <v>313</v>
      </c>
      <c r="F56" s="225" t="s">
        <v>317</v>
      </c>
      <c r="G56" s="226">
        <v>4590</v>
      </c>
      <c r="H56" s="226"/>
      <c r="I56" s="226"/>
      <c r="J56" s="190">
        <f t="shared" si="0"/>
        <v>-1924969.5</v>
      </c>
      <c r="K56" s="190"/>
      <c r="L56" s="190">
        <f t="shared" si="1"/>
        <v>1924969.5</v>
      </c>
      <c r="M56" s="51"/>
      <c r="N56" s="51"/>
      <c r="O56" s="51"/>
      <c r="P56" s="225">
        <v>4700024499</v>
      </c>
      <c r="Q56" s="225">
        <v>1000092017</v>
      </c>
      <c r="R56" s="227">
        <f t="shared" si="2"/>
        <v>0.40891163205272218</v>
      </c>
      <c r="S56" s="228">
        <v>46255</v>
      </c>
    </row>
    <row r="57" spans="1:19" ht="14.25" x14ac:dyDescent="0.2">
      <c r="A57" s="203">
        <v>54</v>
      </c>
      <c r="B57" s="210">
        <v>994860516</v>
      </c>
      <c r="C57" s="169">
        <v>46252</v>
      </c>
      <c r="D57" s="169"/>
      <c r="E57" s="196" t="s">
        <v>314</v>
      </c>
      <c r="F57" s="199" t="s">
        <v>299</v>
      </c>
      <c r="G57" s="198">
        <v>41600</v>
      </c>
      <c r="H57" s="198"/>
      <c r="I57" s="198"/>
      <c r="J57" s="135">
        <f t="shared" si="0"/>
        <v>-1966569.5</v>
      </c>
      <c r="K57" s="135"/>
      <c r="L57" s="135">
        <f t="shared" si="1"/>
        <v>1966569.5</v>
      </c>
      <c r="M57" s="51"/>
      <c r="N57" s="51"/>
      <c r="O57" s="51"/>
      <c r="P57" s="199">
        <v>4700024512</v>
      </c>
      <c r="Q57" s="199">
        <v>1000092067</v>
      </c>
      <c r="R57" s="200">
        <f t="shared" si="2"/>
        <v>0.41774851175050087</v>
      </c>
      <c r="S57" s="201"/>
    </row>
    <row r="58" spans="1:19" ht="14.25" x14ac:dyDescent="0.2">
      <c r="A58" s="203">
        <v>55</v>
      </c>
      <c r="B58" s="210">
        <v>994860593</v>
      </c>
      <c r="C58" s="169">
        <v>46276</v>
      </c>
      <c r="D58" s="169"/>
      <c r="E58" s="196" t="s">
        <v>314</v>
      </c>
      <c r="F58" s="199" t="s">
        <v>321</v>
      </c>
      <c r="G58" s="198">
        <v>58175</v>
      </c>
      <c r="H58" s="198"/>
      <c r="I58" s="198"/>
      <c r="J58" s="135">
        <f t="shared" si="0"/>
        <v>-2024744.5</v>
      </c>
      <c r="K58" s="135"/>
      <c r="L58" s="135">
        <f t="shared" si="1"/>
        <v>2024744.5</v>
      </c>
      <c r="M58" s="51"/>
      <c r="N58" s="51"/>
      <c r="O58" s="51"/>
      <c r="P58" s="199">
        <v>4700024982</v>
      </c>
      <c r="Q58" s="199">
        <v>1000094006</v>
      </c>
      <c r="R58" s="200">
        <f t="shared" si="2"/>
        <v>0.43010633570286333</v>
      </c>
      <c r="S58" s="201"/>
    </row>
    <row r="59" spans="1:19" ht="14.25" x14ac:dyDescent="0.2">
      <c r="A59" s="203">
        <v>56</v>
      </c>
      <c r="B59" s="210">
        <v>994860594</v>
      </c>
      <c r="C59" s="169">
        <v>46276</v>
      </c>
      <c r="D59" s="169"/>
      <c r="E59" s="196" t="s">
        <v>292</v>
      </c>
      <c r="F59" s="199" t="s">
        <v>322</v>
      </c>
      <c r="G59" s="198">
        <v>5675</v>
      </c>
      <c r="H59" s="198"/>
      <c r="I59" s="198"/>
      <c r="J59" s="135">
        <f t="shared" si="0"/>
        <v>-2030419.5</v>
      </c>
      <c r="K59" s="135"/>
      <c r="L59" s="135">
        <f t="shared" si="1"/>
        <v>2030419.5</v>
      </c>
      <c r="M59" s="51"/>
      <c r="N59" s="51"/>
      <c r="O59" s="51"/>
      <c r="P59" s="199">
        <v>4700024983</v>
      </c>
      <c r="Q59" s="199">
        <v>1000094013</v>
      </c>
      <c r="R59" s="200">
        <f t="shared" si="2"/>
        <v>0.43131184753663482</v>
      </c>
      <c r="S59" s="201"/>
    </row>
    <row r="60" spans="1:19" ht="14.25" x14ac:dyDescent="0.2">
      <c r="A60" s="203">
        <v>57</v>
      </c>
      <c r="B60" s="210">
        <v>994860595</v>
      </c>
      <c r="C60" s="169">
        <v>46276</v>
      </c>
      <c r="D60" s="169"/>
      <c r="E60" s="196" t="s">
        <v>292</v>
      </c>
      <c r="F60" s="199" t="s">
        <v>323</v>
      </c>
      <c r="G60" s="198">
        <v>8180</v>
      </c>
      <c r="H60" s="198"/>
      <c r="I60" s="198"/>
      <c r="J60" s="135">
        <f t="shared" si="0"/>
        <v>-2038599.5</v>
      </c>
      <c r="K60" s="135"/>
      <c r="L60" s="135">
        <f t="shared" si="1"/>
        <v>2038599.5</v>
      </c>
      <c r="M60" s="51"/>
      <c r="N60" s="51"/>
      <c r="O60" s="51"/>
      <c r="P60" s="199">
        <v>4700024994</v>
      </c>
      <c r="Q60" s="199">
        <v>1000094064</v>
      </c>
      <c r="R60" s="200">
        <f t="shared" si="2"/>
        <v>0.43304948397720766</v>
      </c>
      <c r="S60" s="201"/>
    </row>
    <row r="61" spans="1:19" ht="14.25" x14ac:dyDescent="0.2">
      <c r="A61" s="203"/>
      <c r="B61" s="210"/>
      <c r="C61" s="169"/>
      <c r="D61" s="169"/>
      <c r="E61" s="196"/>
      <c r="F61" s="199"/>
      <c r="G61" s="198"/>
      <c r="H61" s="198"/>
      <c r="I61" s="198"/>
      <c r="J61" s="170"/>
      <c r="K61" s="170"/>
      <c r="L61" s="170"/>
      <c r="M61" s="51"/>
      <c r="N61" s="51"/>
      <c r="O61" s="51"/>
      <c r="P61" s="199"/>
      <c r="Q61" s="199"/>
      <c r="R61" s="199"/>
      <c r="S61" s="199"/>
    </row>
  </sheetData>
  <conditionalFormatting sqref="J4:L61">
    <cfRule type="cellIs" dxfId="28" priority="1" stopIfTrue="1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FF0000"/>
  </sheetPr>
  <dimension ref="A1:S34"/>
  <sheetViews>
    <sheetView showGridLines="0" zoomScaleNormal="100" workbookViewId="0">
      <selection activeCell="S5" sqref="S5"/>
    </sheetView>
  </sheetViews>
  <sheetFormatPr defaultColWidth="9.140625" defaultRowHeight="55.5" customHeight="1" x14ac:dyDescent="0.2"/>
  <cols>
    <col min="1" max="1" width="5.28515625" style="118" customWidth="1"/>
    <col min="2" max="2" width="26.85546875" style="121" customWidth="1"/>
    <col min="3" max="3" width="14.5703125" style="121" customWidth="1"/>
    <col min="4" max="4" width="23.42578125" style="121" customWidth="1"/>
    <col min="5" max="5" width="9.28515625" style="121" customWidth="1"/>
    <col min="6" max="6" width="20.5703125" style="121" customWidth="1"/>
    <col min="7" max="7" width="9.140625" style="121"/>
    <col min="8" max="8" width="17.5703125" style="121" customWidth="1"/>
    <col min="9" max="9" width="3.42578125" style="121" customWidth="1"/>
    <col min="10" max="10" width="6.7109375" style="121" customWidth="1"/>
    <col min="11" max="12" width="10.5703125" style="121" customWidth="1"/>
    <col min="13" max="13" width="9.140625" style="121"/>
    <col min="14" max="14" width="15.42578125" style="121" customWidth="1"/>
    <col min="15" max="15" width="18.28515625" style="121" customWidth="1"/>
    <col min="16" max="16384" width="9.140625" style="121"/>
  </cols>
  <sheetData>
    <row r="1" spans="1:19" ht="55.5" customHeight="1" x14ac:dyDescent="0.2">
      <c r="A1" s="114">
        <f>N2</f>
        <v>10</v>
      </c>
      <c r="B1" s="246" t="s">
        <v>259</v>
      </c>
      <c r="C1" s="246"/>
      <c r="D1" s="246"/>
      <c r="E1" s="246"/>
      <c r="F1" s="246"/>
      <c r="G1" s="246"/>
      <c r="H1" s="246"/>
      <c r="I1" s="246"/>
      <c r="J1" s="142"/>
      <c r="K1" s="264" t="s">
        <v>236</v>
      </c>
      <c r="L1" s="264"/>
      <c r="M1" s="115"/>
      <c r="N1" s="116" t="s">
        <v>218</v>
      </c>
      <c r="O1" s="117"/>
    </row>
    <row r="2" spans="1:19" ht="21" customHeight="1" x14ac:dyDescent="0.2">
      <c r="A2" s="114">
        <f>A1+1</f>
        <v>11</v>
      </c>
      <c r="B2" s="123" t="s">
        <v>192</v>
      </c>
      <c r="C2" s="146">
        <f>' NORTH WELLS'!B61</f>
        <v>994860514</v>
      </c>
      <c r="D2" s="271" t="s">
        <v>237</v>
      </c>
      <c r="E2" s="271"/>
      <c r="F2" s="271"/>
      <c r="G2" s="271"/>
      <c r="H2" s="271"/>
      <c r="I2" s="271"/>
      <c r="J2" s="141"/>
      <c r="K2" s="263">
        <v>1</v>
      </c>
      <c r="L2" s="263"/>
      <c r="N2" s="138">
        <v>10</v>
      </c>
      <c r="O2" s="147"/>
    </row>
    <row r="3" spans="1:19" ht="18" customHeight="1" x14ac:dyDescent="0.2">
      <c r="B3" s="271" t="s">
        <v>252</v>
      </c>
      <c r="C3" s="271"/>
      <c r="D3" s="271"/>
      <c r="E3" s="271"/>
      <c r="F3" s="271"/>
      <c r="G3" s="271"/>
      <c r="H3" s="271"/>
      <c r="I3" s="271"/>
      <c r="J3" s="141"/>
      <c r="K3" s="263"/>
      <c r="L3" s="263"/>
      <c r="N3" s="121" t="s">
        <v>238</v>
      </c>
      <c r="O3" s="121">
        <f>LOOKUP($K$2,' NORTH WELLS'!A10:G500,' NORTH WELLS'!B10:B500)</f>
        <v>0</v>
      </c>
    </row>
    <row r="4" spans="1:19" ht="18" customHeight="1" x14ac:dyDescent="0.2">
      <c r="B4" s="271" t="s">
        <v>234</v>
      </c>
      <c r="C4" s="271"/>
      <c r="D4" s="271"/>
      <c r="E4" s="271"/>
      <c r="F4" s="271"/>
      <c r="G4" s="272">
        <f>' NORTH WELLS'!G10</f>
        <v>68300</v>
      </c>
      <c r="H4" s="273"/>
      <c r="I4" s="273"/>
      <c r="J4" s="146"/>
      <c r="K4" s="263"/>
      <c r="L4" s="263"/>
      <c r="N4" s="121" t="s">
        <v>195</v>
      </c>
      <c r="O4" s="121">
        <f>LOOKUP($K$2,' NORTH WELLS'!A10:G500,' NORTH WELLS'!D10:D500)</f>
        <v>0</v>
      </c>
    </row>
    <row r="5" spans="1:19" ht="40.5" customHeight="1" x14ac:dyDescent="0.25">
      <c r="A5" s="114">
        <f>A2+1</f>
        <v>12</v>
      </c>
      <c r="B5" s="268" t="s">
        <v>309</v>
      </c>
      <c r="C5" s="268"/>
      <c r="D5" s="268"/>
      <c r="E5" s="270">
        <f>K5</f>
        <v>68300</v>
      </c>
      <c r="F5" s="270"/>
      <c r="G5" s="148"/>
      <c r="H5" s="148"/>
      <c r="I5" s="148"/>
      <c r="J5" s="149"/>
      <c r="K5" s="265">
        <f>' NORTH WELLS'!G10</f>
        <v>68300</v>
      </c>
      <c r="L5" s="266"/>
      <c r="M5" s="139" t="s">
        <v>232</v>
      </c>
      <c r="O5" s="121">
        <f>LOOKUP($K$2,' NORTH WELLS'!A10:G500,' NORTH WELLS'!E10:E500)</f>
        <v>0</v>
      </c>
      <c r="S5" s="121" t="s">
        <v>239</v>
      </c>
    </row>
    <row r="6" spans="1:19" ht="47.25" customHeight="1" x14ac:dyDescent="0.2">
      <c r="A6" s="119">
        <f>A5+1</f>
        <v>13</v>
      </c>
      <c r="B6" s="120" t="s">
        <v>310</v>
      </c>
      <c r="C6" s="120"/>
      <c r="D6" s="269">
        <f>IF(K6="",K5,K6)</f>
        <v>68300</v>
      </c>
      <c r="E6" s="269"/>
      <c r="F6" s="267" t="s">
        <v>319</v>
      </c>
      <c r="G6" s="267"/>
      <c r="H6" s="267"/>
      <c r="I6" s="267"/>
      <c r="J6" s="150"/>
      <c r="K6" s="265">
        <f>' NORTH WELLS'!K10</f>
        <v>68300</v>
      </c>
      <c r="L6" s="266"/>
      <c r="M6" s="261" t="s">
        <v>235</v>
      </c>
      <c r="N6" s="262"/>
      <c r="O6" s="151">
        <f>LOOKUP($K$2,' NORTH WELLS'!A10:G299,' NORTH WELLS'!E10:E299)</f>
        <v>0</v>
      </c>
      <c r="R6" s="121" t="str">
        <f>SpellNumber(D6)</f>
        <v>Sixty Eight Thousand Three Hundred  Dollars and No Cents</v>
      </c>
    </row>
    <row r="7" spans="1:19" ht="30.75" customHeight="1" x14ac:dyDescent="0.2">
      <c r="A7" s="114">
        <f>A6+1</f>
        <v>14</v>
      </c>
      <c r="B7" s="271" t="s">
        <v>204</v>
      </c>
      <c r="C7" s="271"/>
      <c r="D7" s="271"/>
      <c r="E7" s="271"/>
      <c r="F7" s="271"/>
      <c r="G7" s="271"/>
      <c r="H7" s="271"/>
      <c r="I7" s="271"/>
      <c r="J7" s="141"/>
      <c r="K7" s="281"/>
      <c r="L7" s="281"/>
    </row>
    <row r="8" spans="1:19" ht="23.25" customHeight="1" x14ac:dyDescent="0.2">
      <c r="B8" s="122"/>
      <c r="C8" s="275"/>
      <c r="D8" s="275"/>
      <c r="E8" s="275"/>
      <c r="F8" s="275"/>
      <c r="G8" s="275"/>
      <c r="H8" s="275"/>
      <c r="I8" s="152"/>
      <c r="J8" s="152"/>
      <c r="K8" s="279">
        <v>1</v>
      </c>
      <c r="L8" s="279"/>
    </row>
    <row r="9" spans="1:19" ht="23.25" customHeight="1" x14ac:dyDescent="0.2">
      <c r="B9" s="122"/>
      <c r="C9" s="275" t="s">
        <v>295</v>
      </c>
      <c r="D9" s="275"/>
      <c r="E9" s="275"/>
      <c r="F9" s="275"/>
      <c r="G9" s="275"/>
      <c r="H9" s="275"/>
      <c r="I9" s="152"/>
      <c r="J9" s="152"/>
      <c r="K9" s="279">
        <v>2</v>
      </c>
      <c r="L9" s="279"/>
    </row>
    <row r="10" spans="1:19" ht="23.25" hidden="1" customHeight="1" x14ac:dyDescent="0.2">
      <c r="B10" s="122"/>
      <c r="C10" s="275"/>
      <c r="D10" s="275"/>
      <c r="E10" s="275"/>
      <c r="F10" s="275"/>
      <c r="G10" s="275"/>
      <c r="H10" s="275"/>
      <c r="I10" s="152">
        <f>IF(K10="","",K10)</f>
        <v>3</v>
      </c>
      <c r="J10" s="152"/>
      <c r="K10" s="280">
        <v>3</v>
      </c>
      <c r="L10" s="280"/>
    </row>
    <row r="11" spans="1:19" ht="23.25" customHeight="1" x14ac:dyDescent="0.2">
      <c r="B11" s="122"/>
      <c r="C11" s="275" t="s">
        <v>296</v>
      </c>
      <c r="D11" s="275"/>
      <c r="E11" s="275"/>
      <c r="F11" s="275"/>
      <c r="G11" s="275"/>
      <c r="H11" s="275"/>
      <c r="I11" s="152" t="str">
        <f>IF(K11="","",K11)</f>
        <v/>
      </c>
      <c r="J11" s="152"/>
      <c r="K11" s="279"/>
      <c r="L11" s="279"/>
    </row>
    <row r="12" spans="1:19" ht="28.5" customHeight="1" x14ac:dyDescent="0.2">
      <c r="A12" s="114">
        <f>A7+1</f>
        <v>15</v>
      </c>
      <c r="B12" s="271" t="s">
        <v>213</v>
      </c>
      <c r="C12" s="271"/>
      <c r="D12" s="271"/>
      <c r="E12" s="271"/>
      <c r="F12" s="271"/>
      <c r="G12" s="271"/>
      <c r="H12" s="271"/>
      <c r="I12" s="271"/>
      <c r="J12" s="141"/>
      <c r="K12" s="123"/>
    </row>
    <row r="13" spans="1:19" ht="21.75" customHeight="1" x14ac:dyDescent="0.2">
      <c r="A13" s="114"/>
    </row>
    <row r="14" spans="1:19" ht="46.5" customHeight="1" x14ac:dyDescent="0.2">
      <c r="A14" s="114"/>
    </row>
    <row r="15" spans="1:19" ht="18" customHeight="1" x14ac:dyDescent="0.25">
      <c r="A15" s="114"/>
      <c r="E15" s="276" t="s">
        <v>308</v>
      </c>
      <c r="F15" s="276"/>
      <c r="G15" s="276"/>
      <c r="H15" s="276"/>
      <c r="I15" s="276"/>
      <c r="J15" s="143"/>
      <c r="K15" s="123"/>
    </row>
    <row r="16" spans="1:19" ht="18" customHeight="1" x14ac:dyDescent="0.2">
      <c r="A16" s="114"/>
      <c r="E16" s="253" t="s">
        <v>311</v>
      </c>
      <c r="F16" s="253"/>
      <c r="G16" s="253"/>
      <c r="H16" s="253"/>
      <c r="I16" s="253"/>
      <c r="J16" s="144"/>
      <c r="K16" s="123"/>
    </row>
    <row r="17" spans="1:11" ht="18" customHeight="1" x14ac:dyDescent="0.2">
      <c r="A17" s="114"/>
      <c r="E17" s="277" t="s">
        <v>312</v>
      </c>
      <c r="F17" s="277"/>
      <c r="G17" s="277"/>
      <c r="H17" s="277"/>
      <c r="I17" s="277"/>
      <c r="J17" s="140"/>
      <c r="K17" s="123"/>
    </row>
    <row r="18" spans="1:11" ht="18" customHeight="1" x14ac:dyDescent="0.25">
      <c r="A18" s="114"/>
      <c r="B18" s="174"/>
    </row>
    <row r="19" spans="1:11" ht="63.75" customHeight="1" x14ac:dyDescent="0.25">
      <c r="A19" s="187" t="s">
        <v>318</v>
      </c>
      <c r="B19" s="187"/>
      <c r="C19" s="187"/>
      <c r="D19" s="187"/>
      <c r="E19" s="187"/>
      <c r="F19" s="187"/>
      <c r="G19" s="187"/>
      <c r="H19" s="187"/>
      <c r="I19" s="187"/>
    </row>
    <row r="20" spans="1:11" ht="36" customHeight="1" x14ac:dyDescent="0.25">
      <c r="A20" s="186"/>
      <c r="B20" s="186"/>
      <c r="C20" s="186"/>
      <c r="D20" s="186"/>
      <c r="E20" s="186"/>
      <c r="F20" s="186"/>
      <c r="G20" s="186"/>
      <c r="H20" s="186"/>
      <c r="I20" s="186"/>
    </row>
    <row r="21" spans="1:11" ht="66" customHeight="1" x14ac:dyDescent="0.25">
      <c r="A21" s="114">
        <v>24</v>
      </c>
      <c r="B21" s="278" t="s">
        <v>286</v>
      </c>
      <c r="C21" s="278"/>
    </row>
    <row r="22" spans="1:11" ht="27" customHeight="1" x14ac:dyDescent="0.2">
      <c r="A22" s="114"/>
    </row>
    <row r="23" spans="1:11" ht="27" customHeight="1" x14ac:dyDescent="0.2">
      <c r="A23" s="114"/>
    </row>
    <row r="24" spans="1:11" ht="60.75" customHeight="1" x14ac:dyDescent="0.25">
      <c r="A24" s="114">
        <f>A21+1</f>
        <v>25</v>
      </c>
      <c r="B24" s="278" t="s">
        <v>291</v>
      </c>
      <c r="C24" s="278"/>
    </row>
    <row r="25" spans="1:11" ht="27" customHeight="1" x14ac:dyDescent="0.25">
      <c r="A25" s="114"/>
      <c r="B25" s="145"/>
      <c r="C25" s="145"/>
    </row>
    <row r="26" spans="1:11" ht="27" customHeight="1" x14ac:dyDescent="0.25">
      <c r="A26" s="114"/>
      <c r="B26" s="145"/>
      <c r="C26" s="145"/>
    </row>
    <row r="27" spans="1:11" ht="46.5" customHeight="1" x14ac:dyDescent="0.25">
      <c r="A27" s="114">
        <f>A24+1</f>
        <v>26</v>
      </c>
      <c r="B27" s="274" t="s">
        <v>255</v>
      </c>
      <c r="C27" s="274"/>
    </row>
    <row r="28" spans="1:11" ht="27" customHeight="1" x14ac:dyDescent="0.2"/>
    <row r="29" spans="1:11" ht="27" customHeight="1" x14ac:dyDescent="0.2">
      <c r="A29" s="114"/>
    </row>
    <row r="30" spans="1:11" ht="27" customHeight="1" x14ac:dyDescent="0.2">
      <c r="A30" s="114"/>
    </row>
    <row r="31" spans="1:11" ht="27" customHeight="1" x14ac:dyDescent="0.2">
      <c r="A31" s="114"/>
    </row>
    <row r="32" spans="1:11" ht="27" customHeight="1" x14ac:dyDescent="0.2"/>
    <row r="33" ht="26.25" customHeight="1" x14ac:dyDescent="0.2"/>
    <row r="34" ht="27" hidden="1" customHeight="1" x14ac:dyDescent="0.2"/>
  </sheetData>
  <mergeCells count="31">
    <mergeCell ref="K9:L9"/>
    <mergeCell ref="K10:L10"/>
    <mergeCell ref="K11:L11"/>
    <mergeCell ref="K7:L7"/>
    <mergeCell ref="B7:I7"/>
    <mergeCell ref="K8:L8"/>
    <mergeCell ref="B27:C27"/>
    <mergeCell ref="C8:H8"/>
    <mergeCell ref="C9:H9"/>
    <mergeCell ref="C10:H10"/>
    <mergeCell ref="C11:H11"/>
    <mergeCell ref="E15:I15"/>
    <mergeCell ref="E16:I16"/>
    <mergeCell ref="E17:I17"/>
    <mergeCell ref="B21:C21"/>
    <mergeCell ref="B24:C24"/>
    <mergeCell ref="B12:I12"/>
    <mergeCell ref="B5:D5"/>
    <mergeCell ref="D6:E6"/>
    <mergeCell ref="E5:F5"/>
    <mergeCell ref="B4:F4"/>
    <mergeCell ref="B1:I1"/>
    <mergeCell ref="D2:I2"/>
    <mergeCell ref="B3:I3"/>
    <mergeCell ref="G4:I4"/>
    <mergeCell ref="M6:N6"/>
    <mergeCell ref="K2:L4"/>
    <mergeCell ref="K1:L1"/>
    <mergeCell ref="K5:L5"/>
    <mergeCell ref="F6:I6"/>
    <mergeCell ref="K6:L6"/>
  </mergeCells>
  <printOptions horizontalCentered="1"/>
  <pageMargins left="0.65" right="0.25" top="1" bottom="0.75" header="0.3" footer="0.3"/>
  <pageSetup paperSize="9" scale="7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">
                <anchor moveWithCells="1" sizeWithCells="1">
                  <from>
                    <xdr:col>13</xdr:col>
                    <xdr:colOff>9525</xdr:colOff>
                    <xdr:row>7</xdr:row>
                    <xdr:rowOff>9525</xdr:rowOff>
                  </from>
                  <to>
                    <xdr:col>14</xdr:col>
                    <xdr:colOff>342900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H400"/>
  <sheetViews>
    <sheetView workbookViewId="0">
      <pane xSplit="6" ySplit="8" topLeftCell="G9" activePane="bottomRight" state="frozen"/>
      <selection activeCell="D7" sqref="D7:E7"/>
      <selection pane="topRight" activeCell="D7" sqref="D7:E7"/>
      <selection pane="bottomLeft" activeCell="D7" sqref="D7:E7"/>
      <selection pane="bottomRight" activeCell="D7" sqref="D7:E7"/>
    </sheetView>
  </sheetViews>
  <sheetFormatPr defaultRowHeight="18.75" customHeight="1" x14ac:dyDescent="0.2"/>
  <cols>
    <col min="1" max="1" width="8" customWidth="1"/>
    <col min="2" max="2" width="19.140625" customWidth="1"/>
    <col min="3" max="3" width="14" style="1" customWidth="1"/>
    <col min="4" max="4" width="17.140625" customWidth="1"/>
    <col min="5" max="5" width="13.85546875" style="60" customWidth="1"/>
    <col min="6" max="7" width="14.5703125" style="45" customWidth="1"/>
  </cols>
  <sheetData>
    <row r="1" spans="1:7" ht="18.75" customHeight="1" x14ac:dyDescent="0.25">
      <c r="A1" s="284" t="s">
        <v>181</v>
      </c>
      <c r="B1" s="285"/>
      <c r="C1" s="285"/>
      <c r="D1" s="285"/>
      <c r="E1" s="285"/>
      <c r="F1" s="285"/>
      <c r="G1" s="286"/>
    </row>
    <row r="2" spans="1:7" ht="18.75" customHeight="1" x14ac:dyDescent="0.25">
      <c r="A2" s="287" t="s">
        <v>71</v>
      </c>
      <c r="B2" s="243"/>
      <c r="C2" s="288" t="s">
        <v>85</v>
      </c>
      <c r="D2" s="288"/>
      <c r="E2" s="288"/>
      <c r="F2" s="46"/>
      <c r="G2" s="54"/>
    </row>
    <row r="3" spans="1:7" ht="18.75" customHeight="1" x14ac:dyDescent="0.25">
      <c r="A3" s="287" t="s">
        <v>81</v>
      </c>
      <c r="B3" s="243"/>
      <c r="C3" s="289" t="s">
        <v>78</v>
      </c>
      <c r="D3" s="289"/>
      <c r="E3" s="289"/>
      <c r="F3" s="46"/>
      <c r="G3" s="55"/>
    </row>
    <row r="4" spans="1:7" ht="18.75" customHeight="1" x14ac:dyDescent="0.25">
      <c r="A4" s="290" t="s">
        <v>73</v>
      </c>
      <c r="B4" s="48" t="s">
        <v>82</v>
      </c>
      <c r="C4" s="292">
        <v>1577169</v>
      </c>
      <c r="D4" s="292"/>
      <c r="E4" s="58"/>
      <c r="F4" s="47"/>
      <c r="G4" s="55"/>
    </row>
    <row r="5" spans="1:7" ht="18.75" customHeight="1" x14ac:dyDescent="0.25">
      <c r="A5" s="290"/>
      <c r="B5" s="49" t="s">
        <v>74</v>
      </c>
      <c r="C5" s="53">
        <v>1577169</v>
      </c>
      <c r="D5" s="88" t="s">
        <v>76</v>
      </c>
      <c r="E5" s="53"/>
      <c r="F5" s="293" t="s">
        <v>83</v>
      </c>
      <c r="G5" s="293" t="s">
        <v>84</v>
      </c>
    </row>
    <row r="6" spans="1:7" ht="18.75" customHeight="1" thickBot="1" x14ac:dyDescent="0.3">
      <c r="A6" s="290"/>
      <c r="B6" s="87" t="s">
        <v>75</v>
      </c>
      <c r="C6" s="53"/>
      <c r="D6" s="88" t="s">
        <v>77</v>
      </c>
      <c r="E6" s="56"/>
      <c r="F6" s="293"/>
      <c r="G6" s="293"/>
    </row>
    <row r="7" spans="1:7" ht="24" customHeight="1" thickBot="1" x14ac:dyDescent="0.3">
      <c r="A7" s="291"/>
      <c r="B7" s="294" t="s">
        <v>80</v>
      </c>
      <c r="C7" s="294"/>
      <c r="D7" s="282">
        <f>C4+C5+C6+E5+E6</f>
        <v>3154338</v>
      </c>
      <c r="E7" s="283"/>
      <c r="F7" s="67" t="str">
        <f>LOOKUP(2,1/(NOT(ISBLANK(F9:F200))),F9:F200)</f>
        <v/>
      </c>
      <c r="G7" s="66" t="str">
        <f>LOOKUP(2,1/(NOT(ISBLANK(G9:G200))),G9:G200)</f>
        <v/>
      </c>
    </row>
    <row r="8" spans="1:7" s="39" customFormat="1" ht="37.5" customHeight="1" x14ac:dyDescent="0.2">
      <c r="A8" s="68" t="s">
        <v>0</v>
      </c>
      <c r="B8" s="69" t="s">
        <v>1</v>
      </c>
      <c r="C8" s="69" t="s">
        <v>6</v>
      </c>
      <c r="D8" s="70" t="s">
        <v>2</v>
      </c>
      <c r="E8" s="71" t="s">
        <v>3</v>
      </c>
      <c r="F8" s="70" t="s">
        <v>4</v>
      </c>
      <c r="G8" s="86" t="s">
        <v>5</v>
      </c>
    </row>
    <row r="9" spans="1:7" ht="18.75" customHeight="1" x14ac:dyDescent="0.2">
      <c r="A9" s="5">
        <v>1</v>
      </c>
      <c r="B9" s="72" t="s">
        <v>86</v>
      </c>
      <c r="C9" s="3" t="s">
        <v>87</v>
      </c>
      <c r="D9" s="61" t="s">
        <v>88</v>
      </c>
      <c r="E9" s="73">
        <v>14450</v>
      </c>
      <c r="F9" s="29">
        <f>D7-E9</f>
        <v>3139888</v>
      </c>
      <c r="G9" s="29">
        <v>14450</v>
      </c>
    </row>
    <row r="10" spans="1:7" ht="18.75" customHeight="1" x14ac:dyDescent="0.2">
      <c r="A10" s="5">
        <v>2</v>
      </c>
      <c r="B10" s="72" t="s">
        <v>89</v>
      </c>
      <c r="C10" s="3" t="s">
        <v>87</v>
      </c>
      <c r="D10" s="61" t="s">
        <v>90</v>
      </c>
      <c r="E10" s="73">
        <v>87080</v>
      </c>
      <c r="F10" s="29">
        <f t="shared" ref="F10:F41" si="0">F9-E10</f>
        <v>3052808</v>
      </c>
      <c r="G10" s="29">
        <f t="shared" ref="G10:G41" si="1">G9+E10</f>
        <v>101530</v>
      </c>
    </row>
    <row r="11" spans="1:7" ht="18.75" customHeight="1" x14ac:dyDescent="0.2">
      <c r="A11" s="5">
        <v>3</v>
      </c>
      <c r="B11" s="72" t="s">
        <v>91</v>
      </c>
      <c r="C11" s="3" t="s">
        <v>87</v>
      </c>
      <c r="D11" s="61" t="s">
        <v>88</v>
      </c>
      <c r="E11" s="73">
        <v>41800</v>
      </c>
      <c r="F11" s="29">
        <f t="shared" si="0"/>
        <v>3011008</v>
      </c>
      <c r="G11" s="29">
        <f t="shared" si="1"/>
        <v>143330</v>
      </c>
    </row>
    <row r="12" spans="1:7" ht="18.75" customHeight="1" x14ac:dyDescent="0.2">
      <c r="A12" s="5">
        <v>4</v>
      </c>
      <c r="B12" s="72" t="s">
        <v>92</v>
      </c>
      <c r="C12" s="3" t="s">
        <v>87</v>
      </c>
      <c r="D12" s="61" t="s">
        <v>93</v>
      </c>
      <c r="E12" s="73">
        <v>118850</v>
      </c>
      <c r="F12" s="29">
        <f t="shared" si="0"/>
        <v>2892158</v>
      </c>
      <c r="G12" s="29">
        <f t="shared" si="1"/>
        <v>262180</v>
      </c>
    </row>
    <row r="13" spans="1:7" ht="18.75" customHeight="1" x14ac:dyDescent="0.2">
      <c r="A13" s="5">
        <v>5</v>
      </c>
      <c r="B13" s="72" t="s">
        <v>94</v>
      </c>
      <c r="C13" s="3">
        <v>41431</v>
      </c>
      <c r="D13" s="61" t="s">
        <v>95</v>
      </c>
      <c r="E13" s="73">
        <v>11015</v>
      </c>
      <c r="F13" s="29">
        <f t="shared" si="0"/>
        <v>2881143</v>
      </c>
      <c r="G13" s="29">
        <f t="shared" si="1"/>
        <v>273195</v>
      </c>
    </row>
    <row r="14" spans="1:7" ht="18.75" customHeight="1" x14ac:dyDescent="0.2">
      <c r="A14" s="5">
        <v>6</v>
      </c>
      <c r="B14" s="72" t="s">
        <v>96</v>
      </c>
      <c r="C14" s="3">
        <v>41431</v>
      </c>
      <c r="D14" s="61" t="s">
        <v>90</v>
      </c>
      <c r="E14" s="73">
        <v>11300</v>
      </c>
      <c r="F14" s="29">
        <f t="shared" si="0"/>
        <v>2869843</v>
      </c>
      <c r="G14" s="29">
        <f t="shared" si="1"/>
        <v>284495</v>
      </c>
    </row>
    <row r="15" spans="1:7" ht="18.75" customHeight="1" x14ac:dyDescent="0.2">
      <c r="A15" s="5">
        <v>7</v>
      </c>
      <c r="B15" s="72" t="s">
        <v>97</v>
      </c>
      <c r="C15" s="3" t="s">
        <v>98</v>
      </c>
      <c r="D15" s="61" t="s">
        <v>95</v>
      </c>
      <c r="E15" s="73">
        <v>65020.25</v>
      </c>
      <c r="F15" s="29">
        <f t="shared" si="0"/>
        <v>2804822.75</v>
      </c>
      <c r="G15" s="29">
        <f t="shared" si="1"/>
        <v>349515.25</v>
      </c>
    </row>
    <row r="16" spans="1:7" ht="18.75" customHeight="1" x14ac:dyDescent="0.2">
      <c r="A16" s="5">
        <v>8</v>
      </c>
      <c r="B16" s="74" t="s">
        <v>99</v>
      </c>
      <c r="C16" s="3" t="s">
        <v>100</v>
      </c>
      <c r="D16" s="61" t="s">
        <v>90</v>
      </c>
      <c r="E16" s="73">
        <v>7050</v>
      </c>
      <c r="F16" s="29">
        <f t="shared" si="0"/>
        <v>2797772.75</v>
      </c>
      <c r="G16" s="29">
        <f t="shared" si="1"/>
        <v>356565.25</v>
      </c>
    </row>
    <row r="17" spans="1:7" ht="15.75" x14ac:dyDescent="0.2">
      <c r="A17" s="5">
        <v>9</v>
      </c>
      <c r="B17" s="74" t="s">
        <v>101</v>
      </c>
      <c r="C17" s="3" t="s">
        <v>100</v>
      </c>
      <c r="D17" s="61" t="s">
        <v>90</v>
      </c>
      <c r="E17" s="73">
        <v>67968.75</v>
      </c>
      <c r="F17" s="29">
        <f t="shared" si="0"/>
        <v>2729804</v>
      </c>
      <c r="G17" s="29">
        <f t="shared" si="1"/>
        <v>424534</v>
      </c>
    </row>
    <row r="18" spans="1:7" ht="15.75" x14ac:dyDescent="0.2">
      <c r="A18" s="5">
        <v>10</v>
      </c>
      <c r="B18" s="74" t="s">
        <v>102</v>
      </c>
      <c r="C18" s="3" t="s">
        <v>103</v>
      </c>
      <c r="D18" s="61" t="s">
        <v>95</v>
      </c>
      <c r="E18" s="73">
        <v>12300</v>
      </c>
      <c r="F18" s="29">
        <f t="shared" si="0"/>
        <v>2717504</v>
      </c>
      <c r="G18" s="29">
        <f t="shared" si="1"/>
        <v>436834</v>
      </c>
    </row>
    <row r="19" spans="1:7" ht="15.75" x14ac:dyDescent="0.2">
      <c r="A19" s="5">
        <v>11</v>
      </c>
      <c r="B19" s="74" t="s">
        <v>104</v>
      </c>
      <c r="C19" s="3" t="s">
        <v>103</v>
      </c>
      <c r="D19" s="61" t="s">
        <v>95</v>
      </c>
      <c r="E19" s="73">
        <v>27115</v>
      </c>
      <c r="F19" s="29">
        <f t="shared" si="0"/>
        <v>2690389</v>
      </c>
      <c r="G19" s="29">
        <f t="shared" si="1"/>
        <v>463949</v>
      </c>
    </row>
    <row r="20" spans="1:7" ht="15.75" x14ac:dyDescent="0.2">
      <c r="A20" s="5">
        <v>12</v>
      </c>
      <c r="B20" s="74" t="s">
        <v>105</v>
      </c>
      <c r="C20" s="3">
        <v>41312</v>
      </c>
      <c r="D20" s="61" t="s">
        <v>90</v>
      </c>
      <c r="E20" s="73">
        <v>4000</v>
      </c>
      <c r="F20" s="29">
        <f t="shared" si="0"/>
        <v>2686389</v>
      </c>
      <c r="G20" s="29">
        <f t="shared" si="1"/>
        <v>467949</v>
      </c>
    </row>
    <row r="21" spans="1:7" ht="15.75" x14ac:dyDescent="0.2">
      <c r="A21" s="5">
        <v>13</v>
      </c>
      <c r="B21" s="74" t="s">
        <v>106</v>
      </c>
      <c r="C21" s="3">
        <v>41312</v>
      </c>
      <c r="D21" s="61" t="s">
        <v>107</v>
      </c>
      <c r="E21" s="73">
        <v>61450</v>
      </c>
      <c r="F21" s="29">
        <f t="shared" si="0"/>
        <v>2624939</v>
      </c>
      <c r="G21" s="29">
        <f t="shared" si="1"/>
        <v>529399</v>
      </c>
    </row>
    <row r="22" spans="1:7" ht="15.75" x14ac:dyDescent="0.2">
      <c r="A22" s="5">
        <v>14</v>
      </c>
      <c r="B22" s="74" t="s">
        <v>108</v>
      </c>
      <c r="C22" s="3">
        <v>41312</v>
      </c>
      <c r="D22" s="61" t="s">
        <v>93</v>
      </c>
      <c r="E22" s="73">
        <v>8750</v>
      </c>
      <c r="F22" s="29">
        <f t="shared" si="0"/>
        <v>2616189</v>
      </c>
      <c r="G22" s="29">
        <f t="shared" si="1"/>
        <v>538149</v>
      </c>
    </row>
    <row r="23" spans="1:7" ht="15.75" x14ac:dyDescent="0.2">
      <c r="A23" s="5">
        <v>15</v>
      </c>
      <c r="B23" s="74" t="s">
        <v>109</v>
      </c>
      <c r="C23" s="3">
        <v>41585</v>
      </c>
      <c r="D23" s="61" t="s">
        <v>110</v>
      </c>
      <c r="E23" s="73">
        <v>22428</v>
      </c>
      <c r="F23" s="29">
        <f t="shared" si="0"/>
        <v>2593761</v>
      </c>
      <c r="G23" s="29">
        <f t="shared" si="1"/>
        <v>560577</v>
      </c>
    </row>
    <row r="24" spans="1:7" ht="15.75" x14ac:dyDescent="0.2">
      <c r="A24" s="5">
        <v>16</v>
      </c>
      <c r="B24" s="74" t="s">
        <v>111</v>
      </c>
      <c r="C24" s="3" t="s">
        <v>112</v>
      </c>
      <c r="D24" s="61" t="s">
        <v>95</v>
      </c>
      <c r="E24" s="73">
        <v>15950</v>
      </c>
      <c r="F24" s="29">
        <f t="shared" si="0"/>
        <v>2577811</v>
      </c>
      <c r="G24" s="29">
        <f t="shared" si="1"/>
        <v>576527</v>
      </c>
    </row>
    <row r="25" spans="1:7" ht="15.75" x14ac:dyDescent="0.2">
      <c r="A25" s="5">
        <v>17</v>
      </c>
      <c r="B25" s="75" t="s">
        <v>113</v>
      </c>
      <c r="C25" s="76" t="s">
        <v>114</v>
      </c>
      <c r="D25" s="77" t="s">
        <v>107</v>
      </c>
      <c r="E25" s="78">
        <v>1150</v>
      </c>
      <c r="F25" s="29">
        <f t="shared" si="0"/>
        <v>2576661</v>
      </c>
      <c r="G25" s="29">
        <f t="shared" si="1"/>
        <v>577677</v>
      </c>
    </row>
    <row r="26" spans="1:7" ht="15.75" x14ac:dyDescent="0.2">
      <c r="A26" s="5">
        <v>18</v>
      </c>
      <c r="B26" s="79" t="s">
        <v>115</v>
      </c>
      <c r="C26" s="3">
        <v>41373</v>
      </c>
      <c r="D26" s="61" t="s">
        <v>116</v>
      </c>
      <c r="E26" s="73">
        <v>104770</v>
      </c>
      <c r="F26" s="29">
        <f t="shared" si="0"/>
        <v>2471891</v>
      </c>
      <c r="G26" s="29">
        <f t="shared" si="1"/>
        <v>682447</v>
      </c>
    </row>
    <row r="27" spans="1:7" ht="15.75" x14ac:dyDescent="0.2">
      <c r="A27" s="5">
        <v>19</v>
      </c>
      <c r="B27" s="80" t="s">
        <v>117</v>
      </c>
      <c r="C27" s="3">
        <v>41373</v>
      </c>
      <c r="D27" s="61" t="s">
        <v>93</v>
      </c>
      <c r="E27" s="73">
        <v>65800</v>
      </c>
      <c r="F27" s="29">
        <f t="shared" si="0"/>
        <v>2406091</v>
      </c>
      <c r="G27" s="29">
        <f t="shared" si="1"/>
        <v>748247</v>
      </c>
    </row>
    <row r="28" spans="1:7" ht="15.75" x14ac:dyDescent="0.2">
      <c r="A28" s="5">
        <v>20</v>
      </c>
      <c r="B28" s="80" t="s">
        <v>118</v>
      </c>
      <c r="C28" s="72" t="s">
        <v>10</v>
      </c>
      <c r="D28" s="61" t="s">
        <v>95</v>
      </c>
      <c r="E28" s="73">
        <v>15950</v>
      </c>
      <c r="F28" s="29">
        <f t="shared" si="0"/>
        <v>2390141</v>
      </c>
      <c r="G28" s="29">
        <f t="shared" si="1"/>
        <v>764197</v>
      </c>
    </row>
    <row r="29" spans="1:7" ht="15.75" x14ac:dyDescent="0.2">
      <c r="A29" s="5">
        <v>21</v>
      </c>
      <c r="B29" s="81" t="s">
        <v>119</v>
      </c>
      <c r="C29" s="72" t="s">
        <v>34</v>
      </c>
      <c r="D29" s="61" t="s">
        <v>93</v>
      </c>
      <c r="E29" s="82">
        <v>9280</v>
      </c>
      <c r="F29" s="29">
        <f t="shared" si="0"/>
        <v>2380861</v>
      </c>
      <c r="G29" s="29">
        <f t="shared" si="1"/>
        <v>773477</v>
      </c>
    </row>
    <row r="30" spans="1:7" ht="15.75" x14ac:dyDescent="0.2">
      <c r="A30" s="5">
        <v>22</v>
      </c>
      <c r="B30" s="80" t="s">
        <v>120</v>
      </c>
      <c r="C30" s="72" t="s">
        <v>34</v>
      </c>
      <c r="D30" s="61" t="s">
        <v>95</v>
      </c>
      <c r="E30" s="82">
        <v>17777</v>
      </c>
      <c r="F30" s="29">
        <f t="shared" si="0"/>
        <v>2363084</v>
      </c>
      <c r="G30" s="29">
        <f t="shared" si="1"/>
        <v>791254</v>
      </c>
    </row>
    <row r="31" spans="1:7" ht="15.75" x14ac:dyDescent="0.2">
      <c r="A31" s="5">
        <v>23</v>
      </c>
      <c r="B31" s="80" t="s">
        <v>121</v>
      </c>
      <c r="C31" s="3" t="s">
        <v>34</v>
      </c>
      <c r="D31" s="61" t="s">
        <v>122</v>
      </c>
      <c r="E31" s="82">
        <v>146102</v>
      </c>
      <c r="F31" s="29">
        <f t="shared" si="0"/>
        <v>2216982</v>
      </c>
      <c r="G31" s="29">
        <f t="shared" si="1"/>
        <v>937356</v>
      </c>
    </row>
    <row r="32" spans="1:7" ht="15.75" x14ac:dyDescent="0.2">
      <c r="A32" s="5">
        <v>24</v>
      </c>
      <c r="B32" s="80" t="s">
        <v>123</v>
      </c>
      <c r="C32" s="3" t="s">
        <v>34</v>
      </c>
      <c r="D32" s="61" t="s">
        <v>116</v>
      </c>
      <c r="E32" s="82">
        <v>138446</v>
      </c>
      <c r="F32" s="29">
        <f t="shared" si="0"/>
        <v>2078536</v>
      </c>
      <c r="G32" s="29">
        <f t="shared" si="1"/>
        <v>1075802</v>
      </c>
    </row>
    <row r="33" spans="1:7" ht="15.75" x14ac:dyDescent="0.2">
      <c r="A33" s="5">
        <v>25</v>
      </c>
      <c r="B33" s="80" t="s">
        <v>124</v>
      </c>
      <c r="C33" s="3" t="s">
        <v>34</v>
      </c>
      <c r="D33" s="61" t="s">
        <v>125</v>
      </c>
      <c r="E33" s="82">
        <v>15950</v>
      </c>
      <c r="F33" s="29">
        <f t="shared" si="0"/>
        <v>2062586</v>
      </c>
      <c r="G33" s="29">
        <f t="shared" si="1"/>
        <v>1091752</v>
      </c>
    </row>
    <row r="34" spans="1:7" ht="15.75" x14ac:dyDescent="0.2">
      <c r="A34" s="5">
        <v>26</v>
      </c>
      <c r="B34" s="80" t="s">
        <v>126</v>
      </c>
      <c r="C34" s="3" t="s">
        <v>34</v>
      </c>
      <c r="D34" s="61" t="s">
        <v>125</v>
      </c>
      <c r="E34" s="82">
        <v>118900</v>
      </c>
      <c r="F34" s="29">
        <f t="shared" si="0"/>
        <v>1943686</v>
      </c>
      <c r="G34" s="29">
        <f t="shared" si="1"/>
        <v>1210652</v>
      </c>
    </row>
    <row r="35" spans="1:7" ht="15.75" x14ac:dyDescent="0.2">
      <c r="A35" s="5">
        <v>27</v>
      </c>
      <c r="B35" s="80" t="s">
        <v>127</v>
      </c>
      <c r="C35" s="3">
        <v>41317</v>
      </c>
      <c r="D35" s="61" t="s">
        <v>125</v>
      </c>
      <c r="E35" s="82">
        <v>29650</v>
      </c>
      <c r="F35" s="29">
        <f t="shared" si="0"/>
        <v>1914036</v>
      </c>
      <c r="G35" s="29">
        <f t="shared" si="1"/>
        <v>1240302</v>
      </c>
    </row>
    <row r="36" spans="1:7" ht="15.75" x14ac:dyDescent="0.2">
      <c r="A36" s="5">
        <v>28</v>
      </c>
      <c r="B36" s="80" t="s">
        <v>128</v>
      </c>
      <c r="C36" s="3">
        <v>41406</v>
      </c>
      <c r="D36" s="61" t="s">
        <v>125</v>
      </c>
      <c r="E36" s="82">
        <v>15950</v>
      </c>
      <c r="F36" s="29">
        <f t="shared" si="0"/>
        <v>1898086</v>
      </c>
      <c r="G36" s="29">
        <f t="shared" si="1"/>
        <v>1256252</v>
      </c>
    </row>
    <row r="37" spans="1:7" ht="15.75" x14ac:dyDescent="0.2">
      <c r="A37" s="5">
        <v>29</v>
      </c>
      <c r="B37" s="80" t="s">
        <v>129</v>
      </c>
      <c r="C37" s="3" t="s">
        <v>50</v>
      </c>
      <c r="D37" s="61" t="s">
        <v>130</v>
      </c>
      <c r="E37" s="82">
        <v>93090</v>
      </c>
      <c r="F37" s="29">
        <f t="shared" si="0"/>
        <v>1804996</v>
      </c>
      <c r="G37" s="29">
        <f t="shared" si="1"/>
        <v>1349342</v>
      </c>
    </row>
    <row r="38" spans="1:7" ht="15.75" x14ac:dyDescent="0.2">
      <c r="A38" s="5">
        <v>30</v>
      </c>
      <c r="B38" s="80" t="s">
        <v>131</v>
      </c>
      <c r="C38" s="3" t="s">
        <v>132</v>
      </c>
      <c r="D38" s="61" t="s">
        <v>125</v>
      </c>
      <c r="E38" s="82">
        <v>15950</v>
      </c>
      <c r="F38" s="29">
        <f t="shared" si="0"/>
        <v>1789046</v>
      </c>
      <c r="G38" s="29">
        <f t="shared" si="1"/>
        <v>1365292</v>
      </c>
    </row>
    <row r="39" spans="1:7" ht="15.75" x14ac:dyDescent="0.2">
      <c r="A39" s="50">
        <v>31</v>
      </c>
      <c r="B39" s="80" t="s">
        <v>133</v>
      </c>
      <c r="C39" s="3">
        <v>41792</v>
      </c>
      <c r="D39" s="61" t="s">
        <v>125</v>
      </c>
      <c r="E39" s="82">
        <v>15950</v>
      </c>
      <c r="F39" s="29">
        <f t="shared" si="0"/>
        <v>1773096</v>
      </c>
      <c r="G39" s="29">
        <f t="shared" si="1"/>
        <v>1381242</v>
      </c>
    </row>
    <row r="40" spans="1:7" ht="15.75" x14ac:dyDescent="0.2">
      <c r="A40" s="50">
        <v>32</v>
      </c>
      <c r="B40" s="80" t="s">
        <v>134</v>
      </c>
      <c r="C40" s="3">
        <v>41945</v>
      </c>
      <c r="D40" s="61" t="s">
        <v>125</v>
      </c>
      <c r="E40" s="83">
        <v>15950</v>
      </c>
      <c r="F40" s="29">
        <f t="shared" si="0"/>
        <v>1757146</v>
      </c>
      <c r="G40" s="29">
        <f t="shared" si="1"/>
        <v>1397192</v>
      </c>
    </row>
    <row r="41" spans="1:7" ht="15.75" x14ac:dyDescent="0.2">
      <c r="A41" s="5">
        <v>33</v>
      </c>
      <c r="B41" s="72" t="s">
        <v>135</v>
      </c>
      <c r="C41" s="3" t="s">
        <v>136</v>
      </c>
      <c r="D41" s="61" t="s">
        <v>137</v>
      </c>
      <c r="E41" s="73">
        <v>15602</v>
      </c>
      <c r="F41" s="29">
        <f t="shared" si="0"/>
        <v>1741544</v>
      </c>
      <c r="G41" s="29">
        <f t="shared" si="1"/>
        <v>1412794</v>
      </c>
    </row>
    <row r="42" spans="1:7" ht="15.75" x14ac:dyDescent="0.2">
      <c r="A42" s="5">
        <v>34</v>
      </c>
      <c r="B42" s="72" t="s">
        <v>138</v>
      </c>
      <c r="C42" s="3" t="s">
        <v>139</v>
      </c>
      <c r="D42" s="61" t="s">
        <v>140</v>
      </c>
      <c r="E42" s="73">
        <v>15120</v>
      </c>
      <c r="F42" s="29">
        <f t="shared" ref="F42:F71" si="2">F41-E42</f>
        <v>1726424</v>
      </c>
      <c r="G42" s="29">
        <f t="shared" ref="G42:G71" si="3">G41+E42</f>
        <v>1427914</v>
      </c>
    </row>
    <row r="43" spans="1:7" ht="15.75" x14ac:dyDescent="0.2">
      <c r="A43" s="5">
        <v>35</v>
      </c>
      <c r="B43" s="72" t="s">
        <v>141</v>
      </c>
      <c r="C43" s="3" t="s">
        <v>142</v>
      </c>
      <c r="D43" s="61" t="s">
        <v>140</v>
      </c>
      <c r="E43" s="73">
        <v>82219.5</v>
      </c>
      <c r="F43" s="29">
        <f t="shared" si="2"/>
        <v>1644204.5</v>
      </c>
      <c r="G43" s="29">
        <f t="shared" si="3"/>
        <v>1510133.5</v>
      </c>
    </row>
    <row r="44" spans="1:7" ht="15.75" x14ac:dyDescent="0.2">
      <c r="A44" s="5">
        <v>36</v>
      </c>
      <c r="B44" s="72" t="s">
        <v>143</v>
      </c>
      <c r="C44" s="3" t="s">
        <v>60</v>
      </c>
      <c r="D44" s="61" t="s">
        <v>140</v>
      </c>
      <c r="E44" s="73">
        <v>15950</v>
      </c>
      <c r="F44" s="29">
        <f t="shared" si="2"/>
        <v>1628254.5</v>
      </c>
      <c r="G44" s="29">
        <f t="shared" si="3"/>
        <v>1526083.5</v>
      </c>
    </row>
    <row r="45" spans="1:7" ht="15.75" x14ac:dyDescent="0.2">
      <c r="A45" s="5">
        <v>37</v>
      </c>
      <c r="B45" s="72" t="s">
        <v>144</v>
      </c>
      <c r="C45" s="3" t="s">
        <v>145</v>
      </c>
      <c r="D45" s="61" t="s">
        <v>146</v>
      </c>
      <c r="E45" s="73">
        <v>23687.200000000001</v>
      </c>
      <c r="F45" s="29">
        <f t="shared" si="2"/>
        <v>1604567.3</v>
      </c>
      <c r="G45" s="29">
        <f t="shared" si="3"/>
        <v>1549770.7</v>
      </c>
    </row>
    <row r="46" spans="1:7" ht="15.75" x14ac:dyDescent="0.2">
      <c r="A46" s="5">
        <v>38</v>
      </c>
      <c r="B46" s="72" t="s">
        <v>147</v>
      </c>
      <c r="C46" s="3">
        <v>41915</v>
      </c>
      <c r="D46" s="61" t="s">
        <v>146</v>
      </c>
      <c r="E46" s="73">
        <v>145116</v>
      </c>
      <c r="F46" s="29">
        <f t="shared" si="2"/>
        <v>1459451.3</v>
      </c>
      <c r="G46" s="29">
        <f t="shared" si="3"/>
        <v>1694886.7</v>
      </c>
    </row>
    <row r="47" spans="1:7" ht="15.75" x14ac:dyDescent="0.2">
      <c r="A47" s="5">
        <v>39</v>
      </c>
      <c r="B47" s="72" t="s">
        <v>148</v>
      </c>
      <c r="C47" s="3" t="s">
        <v>149</v>
      </c>
      <c r="D47" s="61" t="s">
        <v>150</v>
      </c>
      <c r="E47" s="73">
        <v>11426</v>
      </c>
      <c r="F47" s="29">
        <f t="shared" si="2"/>
        <v>1448025.3</v>
      </c>
      <c r="G47" s="29">
        <f t="shared" si="3"/>
        <v>1706312.7</v>
      </c>
    </row>
    <row r="48" spans="1:7" ht="15.75" x14ac:dyDescent="0.2">
      <c r="A48" s="5">
        <v>40</v>
      </c>
      <c r="B48" s="72" t="s">
        <v>151</v>
      </c>
      <c r="C48" s="3" t="s">
        <v>149</v>
      </c>
      <c r="D48" s="61" t="s">
        <v>146</v>
      </c>
      <c r="E48" s="73">
        <v>8816</v>
      </c>
      <c r="F48" s="29">
        <f t="shared" si="2"/>
        <v>1439209.3</v>
      </c>
      <c r="G48" s="29">
        <f t="shared" si="3"/>
        <v>1715128.7</v>
      </c>
    </row>
    <row r="49" spans="1:7" ht="15.75" x14ac:dyDescent="0.2">
      <c r="A49" s="5">
        <v>41</v>
      </c>
      <c r="B49" s="72" t="s">
        <v>152</v>
      </c>
      <c r="C49" s="3" t="s">
        <v>153</v>
      </c>
      <c r="D49" s="61" t="s">
        <v>154</v>
      </c>
      <c r="E49" s="73">
        <v>119828</v>
      </c>
      <c r="F49" s="29">
        <f t="shared" si="2"/>
        <v>1319381.3</v>
      </c>
      <c r="G49" s="29">
        <f t="shared" si="3"/>
        <v>1834956.7</v>
      </c>
    </row>
    <row r="50" spans="1:7" ht="15.75" x14ac:dyDescent="0.2">
      <c r="A50" s="5">
        <v>42</v>
      </c>
      <c r="B50" s="72" t="s">
        <v>155</v>
      </c>
      <c r="C50" s="3" t="s">
        <v>61</v>
      </c>
      <c r="D50" s="61" t="s">
        <v>140</v>
      </c>
      <c r="E50" s="73">
        <v>99239</v>
      </c>
      <c r="F50" s="29">
        <f t="shared" si="2"/>
        <v>1220142.3</v>
      </c>
      <c r="G50" s="29">
        <f t="shared" si="3"/>
        <v>1934195.7</v>
      </c>
    </row>
    <row r="51" spans="1:7" ht="15.75" x14ac:dyDescent="0.2">
      <c r="A51" s="5">
        <v>43</v>
      </c>
      <c r="B51" s="72" t="s">
        <v>156</v>
      </c>
      <c r="C51" s="3" t="s">
        <v>61</v>
      </c>
      <c r="D51" s="61" t="s">
        <v>140</v>
      </c>
      <c r="E51" s="73">
        <v>14950</v>
      </c>
      <c r="F51" s="29">
        <f t="shared" si="2"/>
        <v>1205192.3</v>
      </c>
      <c r="G51" s="29">
        <f t="shared" si="3"/>
        <v>1949145.7</v>
      </c>
    </row>
    <row r="52" spans="1:7" ht="15.75" x14ac:dyDescent="0.2">
      <c r="A52" s="5">
        <v>44</v>
      </c>
      <c r="B52" s="72" t="s">
        <v>157</v>
      </c>
      <c r="C52" s="3" t="s">
        <v>158</v>
      </c>
      <c r="D52" s="61" t="s">
        <v>146</v>
      </c>
      <c r="E52" s="73">
        <v>24244</v>
      </c>
      <c r="F52" s="29">
        <f t="shared" si="2"/>
        <v>1180948.3</v>
      </c>
      <c r="G52" s="29">
        <f t="shared" si="3"/>
        <v>1973389.7</v>
      </c>
    </row>
    <row r="53" spans="1:7" ht="15.75" x14ac:dyDescent="0.2">
      <c r="A53" s="5">
        <v>45</v>
      </c>
      <c r="B53" s="74" t="s">
        <v>159</v>
      </c>
      <c r="C53" s="3" t="s">
        <v>62</v>
      </c>
      <c r="D53" s="61" t="s">
        <v>140</v>
      </c>
      <c r="E53" s="73">
        <v>15100</v>
      </c>
      <c r="F53" s="29">
        <f t="shared" si="2"/>
        <v>1165848.3</v>
      </c>
      <c r="G53" s="29">
        <f t="shared" si="3"/>
        <v>1988489.7</v>
      </c>
    </row>
    <row r="54" spans="1:7" ht="15.75" x14ac:dyDescent="0.2">
      <c r="A54" s="5">
        <v>46</v>
      </c>
      <c r="B54" s="74" t="s">
        <v>160</v>
      </c>
      <c r="C54" s="3" t="s">
        <v>161</v>
      </c>
      <c r="D54" s="61" t="s">
        <v>150</v>
      </c>
      <c r="E54" s="73">
        <v>59102</v>
      </c>
      <c r="F54" s="29">
        <f t="shared" si="2"/>
        <v>1106746.3</v>
      </c>
      <c r="G54" s="29">
        <f t="shared" si="3"/>
        <v>2047591.7</v>
      </c>
    </row>
    <row r="55" spans="1:7" ht="15.75" x14ac:dyDescent="0.2">
      <c r="A55" s="5">
        <v>47</v>
      </c>
      <c r="B55" s="74" t="s">
        <v>162</v>
      </c>
      <c r="C55" s="3">
        <v>41677</v>
      </c>
      <c r="D55" s="61" t="s">
        <v>154</v>
      </c>
      <c r="E55" s="73">
        <v>32944</v>
      </c>
      <c r="F55" s="29">
        <f t="shared" si="2"/>
        <v>1073802.3</v>
      </c>
      <c r="G55" s="29">
        <f t="shared" si="3"/>
        <v>2080535.7</v>
      </c>
    </row>
    <row r="56" spans="1:7" ht="15.75" x14ac:dyDescent="0.2">
      <c r="A56" s="5">
        <v>48</v>
      </c>
      <c r="B56" s="74" t="s">
        <v>163</v>
      </c>
      <c r="C56" s="3" t="s">
        <v>63</v>
      </c>
      <c r="D56" s="61" t="s">
        <v>140</v>
      </c>
      <c r="E56" s="73">
        <v>15950</v>
      </c>
      <c r="F56" s="29">
        <f t="shared" si="2"/>
        <v>1057852.3</v>
      </c>
      <c r="G56" s="29">
        <f t="shared" si="3"/>
        <v>2096485.7</v>
      </c>
    </row>
    <row r="57" spans="1:7" ht="15.75" x14ac:dyDescent="0.2">
      <c r="A57" s="5">
        <v>49</v>
      </c>
      <c r="B57" s="74" t="s">
        <v>164</v>
      </c>
      <c r="C57" s="3" t="s">
        <v>64</v>
      </c>
      <c r="D57" s="61" t="s">
        <v>140</v>
      </c>
      <c r="E57" s="73">
        <v>6330</v>
      </c>
      <c r="F57" s="29">
        <f t="shared" si="2"/>
        <v>1051522.3</v>
      </c>
      <c r="G57" s="29">
        <f t="shared" si="3"/>
        <v>2102815.7000000002</v>
      </c>
    </row>
    <row r="58" spans="1:7" ht="15.75" x14ac:dyDescent="0.2">
      <c r="A58" s="5">
        <v>50</v>
      </c>
      <c r="B58" s="74" t="s">
        <v>165</v>
      </c>
      <c r="C58" s="3" t="s">
        <v>166</v>
      </c>
      <c r="D58" s="61" t="s">
        <v>140</v>
      </c>
      <c r="E58" s="73">
        <v>18342.5</v>
      </c>
      <c r="F58" s="29">
        <f t="shared" si="2"/>
        <v>1033179.8</v>
      </c>
      <c r="G58" s="29">
        <f t="shared" si="3"/>
        <v>2121158.2000000002</v>
      </c>
    </row>
    <row r="59" spans="1:7" ht="15.75" x14ac:dyDescent="0.2">
      <c r="A59" s="5">
        <v>51</v>
      </c>
      <c r="B59" s="74" t="s">
        <v>167</v>
      </c>
      <c r="C59" s="3" t="s">
        <v>168</v>
      </c>
      <c r="D59" s="61" t="s">
        <v>146</v>
      </c>
      <c r="E59" s="73">
        <v>16006.84</v>
      </c>
      <c r="F59" s="29">
        <f t="shared" si="2"/>
        <v>1017172.9600000001</v>
      </c>
      <c r="G59" s="29">
        <f t="shared" si="3"/>
        <v>2137165.04</v>
      </c>
    </row>
    <row r="60" spans="1:7" ht="15.75" x14ac:dyDescent="0.2">
      <c r="A60" s="5">
        <v>52</v>
      </c>
      <c r="B60" s="74" t="s">
        <v>169</v>
      </c>
      <c r="C60" s="3" t="s">
        <v>65</v>
      </c>
      <c r="D60" s="61" t="s">
        <v>154</v>
      </c>
      <c r="E60" s="73">
        <v>11774</v>
      </c>
      <c r="F60" s="29">
        <f t="shared" si="2"/>
        <v>1005398.9600000001</v>
      </c>
      <c r="G60" s="29">
        <f t="shared" si="3"/>
        <v>2148939.04</v>
      </c>
    </row>
    <row r="61" spans="1:7" ht="15.75" x14ac:dyDescent="0.2">
      <c r="A61" s="5">
        <v>53</v>
      </c>
      <c r="B61" s="74" t="s">
        <v>170</v>
      </c>
      <c r="C61" s="3" t="s">
        <v>171</v>
      </c>
      <c r="D61" s="61" t="s">
        <v>140</v>
      </c>
      <c r="E61" s="73">
        <v>60720</v>
      </c>
      <c r="F61" s="29">
        <f t="shared" si="2"/>
        <v>944678.96000000008</v>
      </c>
      <c r="G61" s="29">
        <f t="shared" si="3"/>
        <v>2209659.04</v>
      </c>
    </row>
    <row r="62" spans="1:7" ht="15.75" x14ac:dyDescent="0.2">
      <c r="A62" s="5">
        <v>54</v>
      </c>
      <c r="B62" s="75" t="s">
        <v>172</v>
      </c>
      <c r="C62" s="76" t="s">
        <v>66</v>
      </c>
      <c r="D62" s="77" t="s">
        <v>140</v>
      </c>
      <c r="E62" s="78">
        <v>18342.5</v>
      </c>
      <c r="F62" s="29">
        <f t="shared" si="2"/>
        <v>926336.46000000008</v>
      </c>
      <c r="G62" s="29">
        <f t="shared" si="3"/>
        <v>2228001.54</v>
      </c>
    </row>
    <row r="63" spans="1:7" ht="15.75" x14ac:dyDescent="0.2">
      <c r="A63" s="5">
        <v>55</v>
      </c>
      <c r="B63" s="79" t="s">
        <v>173</v>
      </c>
      <c r="C63" s="3" t="s">
        <v>67</v>
      </c>
      <c r="D63" s="61" t="s">
        <v>140</v>
      </c>
      <c r="E63" s="73">
        <v>18342.5</v>
      </c>
      <c r="F63" s="29">
        <f t="shared" si="2"/>
        <v>907993.96000000008</v>
      </c>
      <c r="G63" s="29">
        <f t="shared" si="3"/>
        <v>2246344.04</v>
      </c>
    </row>
    <row r="64" spans="1:7" ht="15.75" x14ac:dyDescent="0.2">
      <c r="A64" s="5">
        <v>56</v>
      </c>
      <c r="B64" s="80" t="s">
        <v>174</v>
      </c>
      <c r="C64" s="3">
        <v>41769</v>
      </c>
      <c r="D64" s="61" t="s">
        <v>140</v>
      </c>
      <c r="E64" s="73">
        <v>23943</v>
      </c>
      <c r="F64" s="29">
        <f t="shared" si="2"/>
        <v>884050.96000000008</v>
      </c>
      <c r="G64" s="29">
        <f t="shared" si="3"/>
        <v>2270287.04</v>
      </c>
    </row>
    <row r="65" spans="1:7" ht="15.75" x14ac:dyDescent="0.2">
      <c r="A65" s="5">
        <v>57</v>
      </c>
      <c r="B65" s="80" t="s">
        <v>175</v>
      </c>
      <c r="C65" s="72" t="s">
        <v>68</v>
      </c>
      <c r="D65" s="61" t="s">
        <v>140</v>
      </c>
      <c r="E65" s="73">
        <v>18342.5</v>
      </c>
      <c r="F65" s="29">
        <f t="shared" si="2"/>
        <v>865708.46000000008</v>
      </c>
      <c r="G65" s="29">
        <f t="shared" si="3"/>
        <v>2288629.54</v>
      </c>
    </row>
    <row r="66" spans="1:7" ht="15.75" x14ac:dyDescent="0.2">
      <c r="A66" s="5">
        <v>58</v>
      </c>
      <c r="B66" s="81" t="s">
        <v>176</v>
      </c>
      <c r="C66" s="72" t="s">
        <v>177</v>
      </c>
      <c r="D66" s="61" t="s">
        <v>140</v>
      </c>
      <c r="E66" s="82">
        <v>20552.419999999998</v>
      </c>
      <c r="F66" s="29">
        <f t="shared" si="2"/>
        <v>845156.04</v>
      </c>
      <c r="G66" s="29">
        <f t="shared" si="3"/>
        <v>2309181.96</v>
      </c>
    </row>
    <row r="67" spans="1:7" ht="15.75" x14ac:dyDescent="0.2">
      <c r="A67" s="5">
        <v>59</v>
      </c>
      <c r="B67" s="80" t="s">
        <v>178</v>
      </c>
      <c r="C67" s="72" t="s">
        <v>179</v>
      </c>
      <c r="D67" s="61" t="s">
        <v>180</v>
      </c>
      <c r="E67" s="82">
        <v>22442.25</v>
      </c>
      <c r="F67" s="29">
        <f t="shared" si="2"/>
        <v>822713.79</v>
      </c>
      <c r="G67" s="29">
        <f t="shared" si="3"/>
        <v>2331624.21</v>
      </c>
    </row>
    <row r="68" spans="1:7" ht="15.75" x14ac:dyDescent="0.2">
      <c r="A68" s="5">
        <v>60</v>
      </c>
      <c r="B68" s="80" t="s">
        <v>182</v>
      </c>
      <c r="C68" s="72" t="s">
        <v>183</v>
      </c>
      <c r="D68" s="61" t="s">
        <v>180</v>
      </c>
      <c r="E68" s="82">
        <v>157952.5</v>
      </c>
      <c r="F68" s="29">
        <f t="shared" si="2"/>
        <v>664761.29</v>
      </c>
      <c r="G68" s="29">
        <f t="shared" si="3"/>
        <v>2489576.71</v>
      </c>
    </row>
    <row r="69" spans="1:7" ht="15.75" x14ac:dyDescent="0.2">
      <c r="A69" s="5">
        <v>61</v>
      </c>
      <c r="B69" s="80" t="s">
        <v>184</v>
      </c>
      <c r="C69" s="72" t="s">
        <v>185</v>
      </c>
      <c r="D69" s="61" t="s">
        <v>186</v>
      </c>
      <c r="E69" s="82">
        <v>13862</v>
      </c>
      <c r="F69" s="29">
        <f t="shared" si="2"/>
        <v>650899.29</v>
      </c>
      <c r="G69" s="29">
        <f t="shared" si="3"/>
        <v>2503438.71</v>
      </c>
    </row>
    <row r="70" spans="1:7" ht="15.75" x14ac:dyDescent="0.2">
      <c r="A70" s="5">
        <v>62</v>
      </c>
      <c r="B70" s="80" t="s">
        <v>187</v>
      </c>
      <c r="C70" s="107">
        <v>42347</v>
      </c>
      <c r="D70" s="61" t="s">
        <v>186</v>
      </c>
      <c r="E70" s="82">
        <v>14291.2</v>
      </c>
      <c r="F70" s="29">
        <f t="shared" si="2"/>
        <v>636608.09000000008</v>
      </c>
      <c r="G70" s="29">
        <f t="shared" si="3"/>
        <v>2517729.91</v>
      </c>
    </row>
    <row r="71" spans="1:7" ht="15.75" x14ac:dyDescent="0.2">
      <c r="A71" s="5">
        <v>63</v>
      </c>
      <c r="B71" s="80" t="s">
        <v>188</v>
      </c>
      <c r="C71" s="72" t="s">
        <v>189</v>
      </c>
      <c r="D71" s="61" t="s">
        <v>180</v>
      </c>
      <c r="E71" s="82">
        <v>18342.5</v>
      </c>
      <c r="F71" s="29">
        <f t="shared" si="2"/>
        <v>618265.59000000008</v>
      </c>
      <c r="G71" s="29">
        <f t="shared" si="3"/>
        <v>2536072.41</v>
      </c>
    </row>
    <row r="72" spans="1:7" ht="15" x14ac:dyDescent="0.2">
      <c r="A72" s="5">
        <v>64</v>
      </c>
      <c r="B72" s="80" t="s">
        <v>190</v>
      </c>
      <c r="C72" s="72" t="s">
        <v>191</v>
      </c>
      <c r="D72" s="61" t="s">
        <v>186</v>
      </c>
      <c r="E72" s="34">
        <v>10799.6</v>
      </c>
      <c r="F72" s="29">
        <f t="shared" ref="F72:F79" si="4">F71-E72</f>
        <v>607465.99000000011</v>
      </c>
      <c r="G72" s="29">
        <f t="shared" ref="G72:G79" si="5">G71+E72</f>
        <v>2546872.0100000002</v>
      </c>
    </row>
    <row r="73" spans="1:7" ht="15" x14ac:dyDescent="0.2">
      <c r="A73" s="5">
        <v>65</v>
      </c>
      <c r="B73" s="80" t="s">
        <v>207</v>
      </c>
      <c r="C73" s="72" t="s">
        <v>208</v>
      </c>
      <c r="D73" s="61" t="s">
        <v>209</v>
      </c>
      <c r="E73" s="34">
        <v>119082.5</v>
      </c>
      <c r="F73" s="29">
        <f t="shared" si="4"/>
        <v>488383.49000000011</v>
      </c>
      <c r="G73" s="29">
        <f t="shared" si="5"/>
        <v>2665954.5100000002</v>
      </c>
    </row>
    <row r="74" spans="1:7" ht="15" x14ac:dyDescent="0.2">
      <c r="A74" s="5">
        <v>66</v>
      </c>
      <c r="B74" s="80" t="s">
        <v>210</v>
      </c>
      <c r="C74" s="101">
        <v>42035</v>
      </c>
      <c r="D74" s="61" t="s">
        <v>180</v>
      </c>
      <c r="E74" s="34">
        <v>18342.5</v>
      </c>
      <c r="F74" s="29">
        <f t="shared" si="4"/>
        <v>470040.99000000011</v>
      </c>
      <c r="G74" s="29">
        <f t="shared" si="5"/>
        <v>2684297.0100000002</v>
      </c>
    </row>
    <row r="75" spans="1:7" ht="15" x14ac:dyDescent="0.2">
      <c r="A75" s="5">
        <v>67</v>
      </c>
      <c r="B75" s="80" t="s">
        <v>215</v>
      </c>
      <c r="C75" s="101">
        <v>42035</v>
      </c>
      <c r="D75" s="61" t="s">
        <v>209</v>
      </c>
      <c r="E75" s="34">
        <v>18466.13</v>
      </c>
      <c r="F75" s="29">
        <f t="shared" si="4"/>
        <v>451574.8600000001</v>
      </c>
      <c r="G75" s="29">
        <f t="shared" si="5"/>
        <v>2702763.14</v>
      </c>
    </row>
    <row r="76" spans="1:7" ht="15" x14ac:dyDescent="0.2">
      <c r="A76" s="5">
        <v>68</v>
      </c>
      <c r="B76" s="80" t="s">
        <v>220</v>
      </c>
      <c r="C76" s="101">
        <v>42063</v>
      </c>
      <c r="D76" s="61" t="s">
        <v>180</v>
      </c>
      <c r="E76" s="34">
        <v>18342.5</v>
      </c>
      <c r="F76" s="29">
        <f t="shared" si="4"/>
        <v>433232.3600000001</v>
      </c>
      <c r="G76" s="29">
        <f t="shared" si="5"/>
        <v>2721105.64</v>
      </c>
    </row>
    <row r="77" spans="1:7" ht="15" x14ac:dyDescent="0.2">
      <c r="A77" s="5">
        <v>69</v>
      </c>
      <c r="B77" s="80" t="s">
        <v>221</v>
      </c>
      <c r="C77" s="101">
        <v>42063</v>
      </c>
      <c r="D77" s="61" t="s">
        <v>209</v>
      </c>
      <c r="E77" s="34">
        <v>8581.7999999999993</v>
      </c>
      <c r="F77" s="29">
        <f t="shared" si="4"/>
        <v>424650.56000000011</v>
      </c>
      <c r="G77" s="29">
        <f t="shared" si="5"/>
        <v>2729687.44</v>
      </c>
    </row>
    <row r="78" spans="1:7" ht="15" x14ac:dyDescent="0.2">
      <c r="A78" s="5">
        <v>70</v>
      </c>
      <c r="B78" s="108" t="s">
        <v>224</v>
      </c>
      <c r="C78" s="3">
        <v>42077</v>
      </c>
      <c r="D78" s="61" t="s">
        <v>209</v>
      </c>
      <c r="E78" s="34">
        <v>26030.25</v>
      </c>
      <c r="F78" s="29">
        <f t="shared" si="4"/>
        <v>398620.31000000011</v>
      </c>
      <c r="G78" s="29">
        <f t="shared" si="5"/>
        <v>2755717.69</v>
      </c>
    </row>
    <row r="79" spans="1:7" ht="15" x14ac:dyDescent="0.2">
      <c r="A79" s="5">
        <v>71</v>
      </c>
      <c r="B79" s="108" t="s">
        <v>226</v>
      </c>
      <c r="C79" s="3">
        <v>42083</v>
      </c>
      <c r="D79" s="61" t="s">
        <v>209</v>
      </c>
      <c r="E79" s="34">
        <v>24265</v>
      </c>
      <c r="F79" s="29">
        <f t="shared" si="4"/>
        <v>374355.31000000011</v>
      </c>
      <c r="G79" s="29">
        <f t="shared" si="5"/>
        <v>2779982.69</v>
      </c>
    </row>
    <row r="80" spans="1:7" ht="15" x14ac:dyDescent="0.2">
      <c r="A80" s="5">
        <v>72</v>
      </c>
      <c r="B80" s="84"/>
      <c r="C80" s="3"/>
      <c r="D80" s="61"/>
      <c r="E80" s="34">
        <v>50</v>
      </c>
      <c r="F80" s="29">
        <f>IF(E80="","",F79-E80)</f>
        <v>374305.31000000011</v>
      </c>
      <c r="G80" s="29">
        <f>IF(E80="","",G79+E80)</f>
        <v>2780032.69</v>
      </c>
    </row>
    <row r="81" spans="1:7" ht="15" x14ac:dyDescent="0.2">
      <c r="A81" s="2"/>
      <c r="B81" s="37"/>
      <c r="C81" s="3"/>
      <c r="D81" s="6"/>
      <c r="E81" s="44"/>
      <c r="F81" s="29" t="str">
        <f t="shared" ref="F81:F144" si="6">IF(E81="","",F80-E81)</f>
        <v/>
      </c>
      <c r="G81" s="29" t="str">
        <f t="shared" ref="G81:G144" si="7">IF(E81="","",G80+E81)</f>
        <v/>
      </c>
    </row>
    <row r="82" spans="1:7" ht="15" x14ac:dyDescent="0.2">
      <c r="A82" s="2"/>
      <c r="B82" s="37"/>
      <c r="C82" s="3"/>
      <c r="D82" s="6"/>
      <c r="E82" s="44"/>
      <c r="F82" s="29" t="str">
        <f t="shared" si="6"/>
        <v/>
      </c>
      <c r="G82" s="29" t="str">
        <f t="shared" si="7"/>
        <v/>
      </c>
    </row>
    <row r="83" spans="1:7" ht="15" x14ac:dyDescent="0.2">
      <c r="A83" s="2"/>
      <c r="B83" s="37"/>
      <c r="C83" s="3"/>
      <c r="D83" s="6"/>
      <c r="E83" s="44"/>
      <c r="F83" s="29" t="str">
        <f t="shared" si="6"/>
        <v/>
      </c>
      <c r="G83" s="29" t="str">
        <f t="shared" si="7"/>
        <v/>
      </c>
    </row>
    <row r="84" spans="1:7" ht="15" x14ac:dyDescent="0.2">
      <c r="A84" s="2"/>
      <c r="B84" s="37"/>
      <c r="C84" s="3"/>
      <c r="D84" s="6"/>
      <c r="E84" s="44"/>
      <c r="F84" s="29" t="str">
        <f t="shared" si="6"/>
        <v/>
      </c>
      <c r="G84" s="29" t="str">
        <f t="shared" si="7"/>
        <v/>
      </c>
    </row>
    <row r="85" spans="1:7" ht="15" x14ac:dyDescent="0.2">
      <c r="A85" s="2"/>
      <c r="B85" s="37"/>
      <c r="C85" s="3"/>
      <c r="D85" s="6"/>
      <c r="E85" s="44"/>
      <c r="F85" s="29" t="str">
        <f t="shared" si="6"/>
        <v/>
      </c>
      <c r="G85" s="29" t="str">
        <f t="shared" si="7"/>
        <v/>
      </c>
    </row>
    <row r="86" spans="1:7" ht="17.25" customHeight="1" x14ac:dyDescent="0.2">
      <c r="A86" s="5"/>
      <c r="B86" s="84"/>
      <c r="C86" s="3"/>
      <c r="D86" s="61"/>
      <c r="E86" s="34"/>
      <c r="F86" s="29" t="str">
        <f t="shared" si="6"/>
        <v/>
      </c>
      <c r="G86" s="29" t="str">
        <f t="shared" si="7"/>
        <v/>
      </c>
    </row>
    <row r="87" spans="1:7" ht="17.25" customHeight="1" x14ac:dyDescent="0.2">
      <c r="A87" s="5"/>
      <c r="B87" s="84"/>
      <c r="C87" s="3"/>
      <c r="D87" s="61"/>
      <c r="E87" s="34"/>
      <c r="F87" s="29" t="str">
        <f t="shared" si="6"/>
        <v/>
      </c>
      <c r="G87" s="29" t="str">
        <f t="shared" si="7"/>
        <v/>
      </c>
    </row>
    <row r="88" spans="1:7" ht="17.25" customHeight="1" x14ac:dyDescent="0.2">
      <c r="A88" s="5"/>
      <c r="B88" s="84"/>
      <c r="C88" s="3"/>
      <c r="D88" s="61"/>
      <c r="E88" s="34"/>
      <c r="F88" s="29" t="str">
        <f t="shared" si="6"/>
        <v/>
      </c>
      <c r="G88" s="29" t="str">
        <f t="shared" si="7"/>
        <v/>
      </c>
    </row>
    <row r="89" spans="1:7" ht="17.25" customHeight="1" x14ac:dyDescent="0.2">
      <c r="A89" s="5"/>
      <c r="B89" s="84"/>
      <c r="C89" s="3"/>
      <c r="D89" s="61"/>
      <c r="E89" s="34"/>
      <c r="F89" s="29" t="str">
        <f t="shared" si="6"/>
        <v/>
      </c>
      <c r="G89" s="29" t="str">
        <f t="shared" si="7"/>
        <v/>
      </c>
    </row>
    <row r="90" spans="1:7" ht="17.25" customHeight="1" x14ac:dyDescent="0.2">
      <c r="A90" s="5"/>
      <c r="B90" s="84"/>
      <c r="C90" s="3"/>
      <c r="D90" s="61"/>
      <c r="E90" s="34"/>
      <c r="F90" s="29" t="str">
        <f t="shared" si="6"/>
        <v/>
      </c>
      <c r="G90" s="29" t="str">
        <f t="shared" si="7"/>
        <v/>
      </c>
    </row>
    <row r="91" spans="1:7" ht="17.25" customHeight="1" x14ac:dyDescent="0.2">
      <c r="A91" s="5"/>
      <c r="B91" s="84"/>
      <c r="C91" s="3"/>
      <c r="D91" s="61"/>
      <c r="E91" s="34"/>
      <c r="F91" s="29" t="str">
        <f t="shared" si="6"/>
        <v/>
      </c>
      <c r="G91" s="29" t="str">
        <f t="shared" si="7"/>
        <v/>
      </c>
    </row>
    <row r="92" spans="1:7" ht="17.25" customHeight="1" x14ac:dyDescent="0.2">
      <c r="A92" s="5"/>
      <c r="B92" s="84"/>
      <c r="C92" s="3"/>
      <c r="D92" s="61"/>
      <c r="E92" s="34"/>
      <c r="F92" s="29" t="str">
        <f t="shared" si="6"/>
        <v/>
      </c>
      <c r="G92" s="29" t="str">
        <f t="shared" si="7"/>
        <v/>
      </c>
    </row>
    <row r="93" spans="1:7" ht="17.25" customHeight="1" x14ac:dyDescent="0.2">
      <c r="A93" s="5"/>
      <c r="B93" s="84"/>
      <c r="C93" s="3"/>
      <c r="D93" s="61"/>
      <c r="E93" s="34"/>
      <c r="F93" s="29" t="str">
        <f t="shared" si="6"/>
        <v/>
      </c>
      <c r="G93" s="29" t="str">
        <f t="shared" si="7"/>
        <v/>
      </c>
    </row>
    <row r="94" spans="1:7" ht="17.25" customHeight="1" x14ac:dyDescent="0.2">
      <c r="A94" s="5"/>
      <c r="B94" s="84"/>
      <c r="C94" s="76"/>
      <c r="D94" s="77"/>
      <c r="E94" s="109"/>
      <c r="F94" s="29" t="str">
        <f t="shared" si="6"/>
        <v/>
      </c>
      <c r="G94" s="29" t="str">
        <f t="shared" si="7"/>
        <v/>
      </c>
    </row>
    <row r="95" spans="1:7" ht="17.25" customHeight="1" x14ac:dyDescent="0.2">
      <c r="A95" s="5"/>
      <c r="B95" s="84"/>
      <c r="C95" s="3"/>
      <c r="D95" s="61"/>
      <c r="E95" s="34"/>
      <c r="F95" s="29" t="str">
        <f t="shared" si="6"/>
        <v/>
      </c>
      <c r="G95" s="29" t="str">
        <f t="shared" si="7"/>
        <v/>
      </c>
    </row>
    <row r="96" spans="1:7" ht="17.25" customHeight="1" x14ac:dyDescent="0.2">
      <c r="A96" s="5"/>
      <c r="B96" s="84"/>
      <c r="C96" s="3"/>
      <c r="D96" s="61"/>
      <c r="E96" s="34"/>
      <c r="F96" s="29" t="str">
        <f t="shared" si="6"/>
        <v/>
      </c>
      <c r="G96" s="29" t="str">
        <f t="shared" si="7"/>
        <v/>
      </c>
    </row>
    <row r="97" spans="1:7" ht="17.25" customHeight="1" x14ac:dyDescent="0.2">
      <c r="A97" s="5"/>
      <c r="B97" s="84"/>
      <c r="C97" s="3"/>
      <c r="D97" s="61"/>
      <c r="E97" s="34"/>
      <c r="F97" s="29" t="str">
        <f t="shared" si="6"/>
        <v/>
      </c>
      <c r="G97" s="29" t="str">
        <f t="shared" si="7"/>
        <v/>
      </c>
    </row>
    <row r="98" spans="1:7" ht="17.25" customHeight="1" x14ac:dyDescent="0.2">
      <c r="A98" s="5"/>
      <c r="B98" s="84"/>
      <c r="C98" s="3"/>
      <c r="D98" s="61"/>
      <c r="E98" s="34"/>
      <c r="F98" s="29" t="str">
        <f t="shared" si="6"/>
        <v/>
      </c>
      <c r="G98" s="29" t="str">
        <f t="shared" si="7"/>
        <v/>
      </c>
    </row>
    <row r="99" spans="1:7" ht="17.25" customHeight="1" x14ac:dyDescent="0.2">
      <c r="A99" s="5"/>
      <c r="B99" s="84"/>
      <c r="C99" s="3"/>
      <c r="D99" s="61"/>
      <c r="E99" s="34"/>
      <c r="F99" s="29" t="str">
        <f t="shared" si="6"/>
        <v/>
      </c>
      <c r="G99" s="29" t="str">
        <f t="shared" si="7"/>
        <v/>
      </c>
    </row>
    <row r="100" spans="1:7" ht="17.25" customHeight="1" x14ac:dyDescent="0.2">
      <c r="A100" s="5"/>
      <c r="B100" s="84"/>
      <c r="C100" s="3"/>
      <c r="D100" s="61"/>
      <c r="E100" s="34"/>
      <c r="F100" s="29" t="str">
        <f t="shared" si="6"/>
        <v/>
      </c>
      <c r="G100" s="29" t="str">
        <f t="shared" si="7"/>
        <v/>
      </c>
    </row>
    <row r="101" spans="1:7" ht="17.25" customHeight="1" x14ac:dyDescent="0.2">
      <c r="A101" s="5"/>
      <c r="B101" s="84"/>
      <c r="C101" s="3"/>
      <c r="D101" s="61"/>
      <c r="E101" s="34"/>
      <c r="F101" s="29" t="str">
        <f t="shared" si="6"/>
        <v/>
      </c>
      <c r="G101" s="29" t="str">
        <f t="shared" si="7"/>
        <v/>
      </c>
    </row>
    <row r="102" spans="1:7" ht="17.25" customHeight="1" x14ac:dyDescent="0.2">
      <c r="A102" s="5"/>
      <c r="B102" s="84"/>
      <c r="C102" s="3"/>
      <c r="D102" s="61"/>
      <c r="E102" s="34"/>
      <c r="F102" s="29" t="str">
        <f t="shared" si="6"/>
        <v/>
      </c>
      <c r="G102" s="29" t="str">
        <f t="shared" si="7"/>
        <v/>
      </c>
    </row>
    <row r="103" spans="1:7" ht="17.25" customHeight="1" x14ac:dyDescent="0.2">
      <c r="A103" s="5"/>
      <c r="B103" s="84"/>
      <c r="C103" s="3"/>
      <c r="D103" s="61"/>
      <c r="E103" s="34"/>
      <c r="F103" s="29" t="str">
        <f t="shared" si="6"/>
        <v/>
      </c>
      <c r="G103" s="29" t="str">
        <f t="shared" si="7"/>
        <v/>
      </c>
    </row>
    <row r="104" spans="1:7" ht="17.25" customHeight="1" x14ac:dyDescent="0.2">
      <c r="A104" s="5"/>
      <c r="B104" s="84"/>
      <c r="C104" s="3"/>
      <c r="D104" s="61"/>
      <c r="E104" s="34"/>
      <c r="F104" s="29" t="str">
        <f t="shared" si="6"/>
        <v/>
      </c>
      <c r="G104" s="29" t="str">
        <f t="shared" si="7"/>
        <v/>
      </c>
    </row>
    <row r="105" spans="1:7" ht="17.25" customHeight="1" x14ac:dyDescent="0.2">
      <c r="A105" s="5"/>
      <c r="B105" s="84"/>
      <c r="C105" s="3"/>
      <c r="D105" s="61"/>
      <c r="E105" s="34"/>
      <c r="F105" s="29" t="str">
        <f t="shared" si="6"/>
        <v/>
      </c>
      <c r="G105" s="29" t="str">
        <f t="shared" si="7"/>
        <v/>
      </c>
    </row>
    <row r="106" spans="1:7" ht="17.25" customHeight="1" x14ac:dyDescent="0.2">
      <c r="A106" s="5"/>
      <c r="B106" s="84"/>
      <c r="C106" s="3"/>
      <c r="D106" s="61"/>
      <c r="E106" s="34"/>
      <c r="F106" s="29" t="str">
        <f t="shared" si="6"/>
        <v/>
      </c>
      <c r="G106" s="29" t="str">
        <f t="shared" si="7"/>
        <v/>
      </c>
    </row>
    <row r="107" spans="1:7" ht="17.25" customHeight="1" x14ac:dyDescent="0.2">
      <c r="A107" s="5"/>
      <c r="B107" s="84"/>
      <c r="C107" s="3"/>
      <c r="D107" s="61"/>
      <c r="E107" s="34"/>
      <c r="F107" s="29" t="str">
        <f t="shared" si="6"/>
        <v/>
      </c>
      <c r="G107" s="29" t="str">
        <f t="shared" si="7"/>
        <v/>
      </c>
    </row>
    <row r="108" spans="1:7" ht="17.25" customHeight="1" x14ac:dyDescent="0.2">
      <c r="A108" s="5"/>
      <c r="B108" s="84"/>
      <c r="C108" s="3"/>
      <c r="D108" s="61"/>
      <c r="E108" s="34"/>
      <c r="F108" s="29" t="str">
        <f t="shared" si="6"/>
        <v/>
      </c>
      <c r="G108" s="29" t="str">
        <f t="shared" si="7"/>
        <v/>
      </c>
    </row>
    <row r="109" spans="1:7" ht="17.25" customHeight="1" x14ac:dyDescent="0.2">
      <c r="A109" s="5"/>
      <c r="B109" s="84"/>
      <c r="C109" s="3"/>
      <c r="D109" s="61"/>
      <c r="E109" s="34"/>
      <c r="F109" s="29" t="str">
        <f t="shared" si="6"/>
        <v/>
      </c>
      <c r="G109" s="29" t="str">
        <f t="shared" si="7"/>
        <v/>
      </c>
    </row>
    <row r="110" spans="1:7" ht="17.25" customHeight="1" x14ac:dyDescent="0.2">
      <c r="A110" s="5"/>
      <c r="B110" s="84"/>
      <c r="C110" s="3"/>
      <c r="D110" s="61"/>
      <c r="E110" s="34"/>
      <c r="F110" s="29" t="str">
        <f t="shared" si="6"/>
        <v/>
      </c>
      <c r="G110" s="29" t="str">
        <f t="shared" si="7"/>
        <v/>
      </c>
    </row>
    <row r="111" spans="1:7" ht="17.25" customHeight="1" x14ac:dyDescent="0.2">
      <c r="A111" s="5"/>
      <c r="B111" s="84"/>
      <c r="C111" s="3"/>
      <c r="D111" s="61"/>
      <c r="E111" s="34"/>
      <c r="F111" s="29" t="str">
        <f t="shared" si="6"/>
        <v/>
      </c>
      <c r="G111" s="29" t="str">
        <f t="shared" si="7"/>
        <v/>
      </c>
    </row>
    <row r="112" spans="1:7" ht="17.25" customHeight="1" x14ac:dyDescent="0.2">
      <c r="A112" s="5"/>
      <c r="B112" s="84"/>
      <c r="C112" s="3"/>
      <c r="D112" s="61"/>
      <c r="E112" s="34"/>
      <c r="F112" s="29" t="str">
        <f t="shared" si="6"/>
        <v/>
      </c>
      <c r="G112" s="29" t="str">
        <f t="shared" si="7"/>
        <v/>
      </c>
    </row>
    <row r="113" spans="1:7" ht="17.25" customHeight="1" x14ac:dyDescent="0.2">
      <c r="A113" s="5"/>
      <c r="B113" s="84"/>
      <c r="C113" s="3"/>
      <c r="D113" s="61"/>
      <c r="E113" s="34"/>
      <c r="F113" s="29" t="str">
        <f t="shared" si="6"/>
        <v/>
      </c>
      <c r="G113" s="29" t="str">
        <f t="shared" si="7"/>
        <v/>
      </c>
    </row>
    <row r="114" spans="1:7" ht="17.25" customHeight="1" x14ac:dyDescent="0.2">
      <c r="A114" s="5"/>
      <c r="B114" s="84"/>
      <c r="C114" s="3"/>
      <c r="D114" s="61"/>
      <c r="E114" s="34"/>
      <c r="F114" s="29" t="str">
        <f t="shared" si="6"/>
        <v/>
      </c>
      <c r="G114" s="29" t="str">
        <f t="shared" si="7"/>
        <v/>
      </c>
    </row>
    <row r="115" spans="1:7" ht="17.25" customHeight="1" x14ac:dyDescent="0.2">
      <c r="A115" s="5"/>
      <c r="B115" s="84"/>
      <c r="C115" s="3"/>
      <c r="D115" s="61"/>
      <c r="E115" s="34"/>
      <c r="F115" s="29" t="str">
        <f t="shared" si="6"/>
        <v/>
      </c>
      <c r="G115" s="29" t="str">
        <f t="shared" si="7"/>
        <v/>
      </c>
    </row>
    <row r="116" spans="1:7" ht="17.25" customHeight="1" x14ac:dyDescent="0.2">
      <c r="A116" s="5"/>
      <c r="B116" s="84"/>
      <c r="C116" s="3"/>
      <c r="D116" s="61"/>
      <c r="E116" s="34"/>
      <c r="F116" s="29" t="str">
        <f t="shared" si="6"/>
        <v/>
      </c>
      <c r="G116" s="29" t="str">
        <f t="shared" si="7"/>
        <v/>
      </c>
    </row>
    <row r="117" spans="1:7" ht="17.25" customHeight="1" x14ac:dyDescent="0.2">
      <c r="A117" s="5"/>
      <c r="B117" s="84"/>
      <c r="C117" s="3"/>
      <c r="D117" s="61"/>
      <c r="E117" s="34"/>
      <c r="F117" s="29" t="str">
        <f t="shared" si="6"/>
        <v/>
      </c>
      <c r="G117" s="29" t="str">
        <f t="shared" si="7"/>
        <v/>
      </c>
    </row>
    <row r="118" spans="1:7" ht="17.25" customHeight="1" x14ac:dyDescent="0.2">
      <c r="A118" s="5"/>
      <c r="B118" s="84"/>
      <c r="C118" s="3"/>
      <c r="D118" s="61"/>
      <c r="E118" s="34"/>
      <c r="F118" s="29" t="str">
        <f t="shared" si="6"/>
        <v/>
      </c>
      <c r="G118" s="29" t="str">
        <f t="shared" si="7"/>
        <v/>
      </c>
    </row>
    <row r="119" spans="1:7" ht="17.25" customHeight="1" x14ac:dyDescent="0.2">
      <c r="A119" s="5"/>
      <c r="B119" s="84"/>
      <c r="C119" s="3"/>
      <c r="D119" s="61"/>
      <c r="E119" s="34"/>
      <c r="F119" s="29" t="str">
        <f t="shared" si="6"/>
        <v/>
      </c>
      <c r="G119" s="29" t="str">
        <f t="shared" si="7"/>
        <v/>
      </c>
    </row>
    <row r="120" spans="1:7" ht="17.25" customHeight="1" x14ac:dyDescent="0.2">
      <c r="A120" s="5"/>
      <c r="B120" s="84"/>
      <c r="C120" s="3"/>
      <c r="D120" s="61"/>
      <c r="E120" s="34"/>
      <c r="F120" s="29" t="str">
        <f t="shared" si="6"/>
        <v/>
      </c>
      <c r="G120" s="29" t="str">
        <f t="shared" si="7"/>
        <v/>
      </c>
    </row>
    <row r="121" spans="1:7" ht="17.25" customHeight="1" x14ac:dyDescent="0.2">
      <c r="A121" s="5"/>
      <c r="B121" s="84"/>
      <c r="C121" s="3"/>
      <c r="D121" s="61"/>
      <c r="E121" s="34"/>
      <c r="F121" s="29" t="str">
        <f t="shared" si="6"/>
        <v/>
      </c>
      <c r="G121" s="29" t="str">
        <f t="shared" si="7"/>
        <v/>
      </c>
    </row>
    <row r="122" spans="1:7" ht="17.25" customHeight="1" x14ac:dyDescent="0.2">
      <c r="A122" s="5"/>
      <c r="B122" s="84"/>
      <c r="C122" s="3"/>
      <c r="D122" s="61"/>
      <c r="E122" s="34"/>
      <c r="F122" s="29" t="str">
        <f t="shared" si="6"/>
        <v/>
      </c>
      <c r="G122" s="29" t="str">
        <f t="shared" si="7"/>
        <v/>
      </c>
    </row>
    <row r="123" spans="1:7" ht="17.25" customHeight="1" x14ac:dyDescent="0.2">
      <c r="A123" s="5"/>
      <c r="B123" s="84"/>
      <c r="C123" s="3"/>
      <c r="D123" s="61"/>
      <c r="E123" s="34"/>
      <c r="F123" s="29" t="str">
        <f t="shared" si="6"/>
        <v/>
      </c>
      <c r="G123" s="29" t="str">
        <f t="shared" si="7"/>
        <v/>
      </c>
    </row>
    <row r="124" spans="1:7" ht="17.25" customHeight="1" x14ac:dyDescent="0.2">
      <c r="A124" s="5"/>
      <c r="B124" s="84"/>
      <c r="C124" s="76"/>
      <c r="D124" s="77"/>
      <c r="E124" s="109"/>
      <c r="F124" s="29" t="str">
        <f t="shared" si="6"/>
        <v/>
      </c>
      <c r="G124" s="29" t="str">
        <f t="shared" si="7"/>
        <v/>
      </c>
    </row>
    <row r="125" spans="1:7" ht="17.25" customHeight="1" x14ac:dyDescent="0.2">
      <c r="A125" s="5"/>
      <c r="B125" s="84"/>
      <c r="C125" s="3"/>
      <c r="D125" s="61"/>
      <c r="E125" s="34"/>
      <c r="F125" s="29" t="str">
        <f t="shared" si="6"/>
        <v/>
      </c>
      <c r="G125" s="29" t="str">
        <f t="shared" si="7"/>
        <v/>
      </c>
    </row>
    <row r="126" spans="1:7" ht="17.25" customHeight="1" x14ac:dyDescent="0.2">
      <c r="A126" s="5"/>
      <c r="B126" s="84"/>
      <c r="C126" s="3"/>
      <c r="D126" s="61"/>
      <c r="E126" s="34"/>
      <c r="F126" s="29" t="str">
        <f t="shared" si="6"/>
        <v/>
      </c>
      <c r="G126" s="29" t="str">
        <f t="shared" si="7"/>
        <v/>
      </c>
    </row>
    <row r="127" spans="1:7" ht="17.25" customHeight="1" x14ac:dyDescent="0.2">
      <c r="A127" s="5"/>
      <c r="B127" s="84"/>
      <c r="C127" s="3"/>
      <c r="D127" s="61"/>
      <c r="E127" s="34"/>
      <c r="F127" s="29" t="str">
        <f t="shared" si="6"/>
        <v/>
      </c>
      <c r="G127" s="29" t="str">
        <f t="shared" si="7"/>
        <v/>
      </c>
    </row>
    <row r="128" spans="1:7" ht="17.25" customHeight="1" x14ac:dyDescent="0.2">
      <c r="A128" s="5"/>
      <c r="B128" s="84"/>
      <c r="C128" s="3"/>
      <c r="D128" s="61"/>
      <c r="E128" s="34"/>
      <c r="F128" s="29" t="str">
        <f t="shared" si="6"/>
        <v/>
      </c>
      <c r="G128" s="29" t="str">
        <f t="shared" si="7"/>
        <v/>
      </c>
    </row>
    <row r="129" spans="1:7" ht="17.25" customHeight="1" x14ac:dyDescent="0.2">
      <c r="A129" s="5"/>
      <c r="B129" s="84"/>
      <c r="C129" s="3"/>
      <c r="D129" s="61"/>
      <c r="E129" s="34"/>
      <c r="F129" s="29" t="str">
        <f t="shared" si="6"/>
        <v/>
      </c>
      <c r="G129" s="29" t="str">
        <f t="shared" si="7"/>
        <v/>
      </c>
    </row>
    <row r="130" spans="1:7" ht="17.25" customHeight="1" x14ac:dyDescent="0.2">
      <c r="A130" s="5"/>
      <c r="B130" s="84"/>
      <c r="C130" s="3"/>
      <c r="D130" s="61"/>
      <c r="E130" s="34"/>
      <c r="F130" s="29" t="str">
        <f t="shared" si="6"/>
        <v/>
      </c>
      <c r="G130" s="29" t="str">
        <f t="shared" si="7"/>
        <v/>
      </c>
    </row>
    <row r="131" spans="1:7" ht="17.25" customHeight="1" x14ac:dyDescent="0.2">
      <c r="A131" s="5"/>
      <c r="B131" s="84"/>
      <c r="C131" s="3"/>
      <c r="D131" s="61"/>
      <c r="E131" s="34"/>
      <c r="F131" s="29" t="str">
        <f t="shared" si="6"/>
        <v/>
      </c>
      <c r="G131" s="29" t="str">
        <f t="shared" si="7"/>
        <v/>
      </c>
    </row>
    <row r="132" spans="1:7" ht="17.25" customHeight="1" x14ac:dyDescent="0.2">
      <c r="A132" s="5"/>
      <c r="B132" s="84"/>
      <c r="C132" s="3"/>
      <c r="D132" s="61"/>
      <c r="E132" s="34"/>
      <c r="F132" s="29" t="str">
        <f t="shared" si="6"/>
        <v/>
      </c>
      <c r="G132" s="29" t="str">
        <f t="shared" si="7"/>
        <v/>
      </c>
    </row>
    <row r="133" spans="1:7" ht="17.25" customHeight="1" x14ac:dyDescent="0.2">
      <c r="A133" s="5"/>
      <c r="B133" s="84"/>
      <c r="C133" s="3"/>
      <c r="D133" s="61"/>
      <c r="E133" s="34"/>
      <c r="F133" s="29" t="str">
        <f t="shared" si="6"/>
        <v/>
      </c>
      <c r="G133" s="29" t="str">
        <f t="shared" si="7"/>
        <v/>
      </c>
    </row>
    <row r="134" spans="1:7" ht="17.25" customHeight="1" x14ac:dyDescent="0.2">
      <c r="A134" s="5"/>
      <c r="B134" s="84"/>
      <c r="C134" s="3"/>
      <c r="D134" s="61"/>
      <c r="E134" s="34"/>
      <c r="F134" s="29" t="str">
        <f t="shared" si="6"/>
        <v/>
      </c>
      <c r="G134" s="29" t="str">
        <f t="shared" si="7"/>
        <v/>
      </c>
    </row>
    <row r="135" spans="1:7" ht="17.25" customHeight="1" x14ac:dyDescent="0.2">
      <c r="A135" s="5"/>
      <c r="B135" s="84"/>
      <c r="C135" s="3"/>
      <c r="D135" s="61"/>
      <c r="E135" s="34"/>
      <c r="F135" s="29" t="str">
        <f t="shared" si="6"/>
        <v/>
      </c>
      <c r="G135" s="29" t="str">
        <f t="shared" si="7"/>
        <v/>
      </c>
    </row>
    <row r="136" spans="1:7" ht="17.25" customHeight="1" x14ac:dyDescent="0.2">
      <c r="A136" s="5"/>
      <c r="B136" s="84"/>
      <c r="C136" s="3"/>
      <c r="D136" s="61"/>
      <c r="E136" s="34"/>
      <c r="F136" s="29" t="str">
        <f t="shared" si="6"/>
        <v/>
      </c>
      <c r="G136" s="29" t="str">
        <f t="shared" si="7"/>
        <v/>
      </c>
    </row>
    <row r="137" spans="1:7" ht="17.25" customHeight="1" x14ac:dyDescent="0.2">
      <c r="A137" s="5"/>
      <c r="B137" s="84"/>
      <c r="C137" s="3"/>
      <c r="D137" s="61"/>
      <c r="E137" s="34"/>
      <c r="F137" s="29" t="str">
        <f t="shared" si="6"/>
        <v/>
      </c>
      <c r="G137" s="29" t="str">
        <f t="shared" si="7"/>
        <v/>
      </c>
    </row>
    <row r="138" spans="1:7" ht="17.25" customHeight="1" x14ac:dyDescent="0.2">
      <c r="A138" s="50"/>
      <c r="B138" s="84"/>
      <c r="C138" s="3"/>
      <c r="D138" s="61"/>
      <c r="E138" s="34"/>
      <c r="F138" s="29" t="str">
        <f t="shared" si="6"/>
        <v/>
      </c>
      <c r="G138" s="29" t="str">
        <f t="shared" si="7"/>
        <v/>
      </c>
    </row>
    <row r="139" spans="1:7" ht="17.25" customHeight="1" x14ac:dyDescent="0.2">
      <c r="A139" s="50"/>
      <c r="B139" s="84"/>
      <c r="C139" s="3"/>
      <c r="D139" s="61"/>
      <c r="E139" s="57"/>
      <c r="F139" s="29" t="str">
        <f t="shared" si="6"/>
        <v/>
      </c>
      <c r="G139" s="29" t="str">
        <f t="shared" si="7"/>
        <v/>
      </c>
    </row>
    <row r="140" spans="1:7" ht="17.25" customHeight="1" x14ac:dyDescent="0.2">
      <c r="A140" s="50"/>
      <c r="B140" s="85"/>
      <c r="C140" s="62"/>
      <c r="D140" s="85"/>
      <c r="E140" s="63"/>
      <c r="F140" s="29" t="str">
        <f t="shared" si="6"/>
        <v/>
      </c>
      <c r="G140" s="29" t="str">
        <f t="shared" si="7"/>
        <v/>
      </c>
    </row>
    <row r="141" spans="1:7" ht="17.25" customHeight="1" x14ac:dyDescent="0.2">
      <c r="A141" s="50"/>
      <c r="B141" s="50"/>
      <c r="C141" s="62"/>
      <c r="D141" s="64"/>
      <c r="E141" s="65"/>
      <c r="F141" s="29" t="str">
        <f t="shared" si="6"/>
        <v/>
      </c>
      <c r="G141" s="29" t="str">
        <f t="shared" si="7"/>
        <v/>
      </c>
    </row>
    <row r="142" spans="1:7" ht="17.25" customHeight="1" x14ac:dyDescent="0.2">
      <c r="A142" s="50"/>
      <c r="B142" s="50"/>
      <c r="C142" s="62"/>
      <c r="D142" s="64"/>
      <c r="E142" s="65"/>
      <c r="F142" s="29" t="str">
        <f t="shared" si="6"/>
        <v/>
      </c>
      <c r="G142" s="29" t="str">
        <f t="shared" si="7"/>
        <v/>
      </c>
    </row>
    <row r="143" spans="1:7" ht="17.25" customHeight="1" x14ac:dyDescent="0.2">
      <c r="A143" s="50"/>
      <c r="B143" s="50"/>
      <c r="C143" s="62"/>
      <c r="D143" s="64"/>
      <c r="E143" s="65"/>
      <c r="F143" s="29" t="str">
        <f t="shared" si="6"/>
        <v/>
      </c>
      <c r="G143" s="29" t="str">
        <f t="shared" si="7"/>
        <v/>
      </c>
    </row>
    <row r="144" spans="1:7" ht="17.25" customHeight="1" x14ac:dyDescent="0.2">
      <c r="A144" s="50"/>
      <c r="B144" s="50"/>
      <c r="C144" s="62"/>
      <c r="D144" s="64"/>
      <c r="E144" s="65"/>
      <c r="F144" s="29" t="str">
        <f t="shared" si="6"/>
        <v/>
      </c>
      <c r="G144" s="29" t="str">
        <f t="shared" si="7"/>
        <v/>
      </c>
    </row>
    <row r="145" spans="1:7" ht="17.25" customHeight="1" x14ac:dyDescent="0.2">
      <c r="A145" s="50"/>
      <c r="B145" s="50"/>
      <c r="C145" s="62"/>
      <c r="D145" s="64"/>
      <c r="E145" s="65"/>
      <c r="F145" s="29" t="str">
        <f t="shared" ref="F145:F208" si="8">IF(E145="","",F144-E145)</f>
        <v/>
      </c>
      <c r="G145" s="29" t="str">
        <f t="shared" ref="G145:G208" si="9">IF(E145="","",G144+E145)</f>
        <v/>
      </c>
    </row>
    <row r="146" spans="1:7" ht="17.25" customHeight="1" x14ac:dyDescent="0.2">
      <c r="A146" s="5"/>
      <c r="B146" s="84"/>
      <c r="C146" s="3"/>
      <c r="D146" s="61"/>
      <c r="E146" s="34"/>
      <c r="F146" s="29" t="str">
        <f t="shared" si="8"/>
        <v/>
      </c>
      <c r="G146" s="29" t="str">
        <f t="shared" si="9"/>
        <v/>
      </c>
    </row>
    <row r="147" spans="1:7" ht="17.25" customHeight="1" x14ac:dyDescent="0.2">
      <c r="A147" s="5"/>
      <c r="B147" s="84"/>
      <c r="C147" s="3"/>
      <c r="D147" s="61"/>
      <c r="E147" s="34"/>
      <c r="F147" s="29" t="str">
        <f t="shared" si="8"/>
        <v/>
      </c>
      <c r="G147" s="29" t="str">
        <f t="shared" si="9"/>
        <v/>
      </c>
    </row>
    <row r="148" spans="1:7" ht="17.25" customHeight="1" x14ac:dyDescent="0.2">
      <c r="A148" s="5"/>
      <c r="B148" s="84"/>
      <c r="C148" s="3"/>
      <c r="D148" s="61"/>
      <c r="E148" s="34"/>
      <c r="F148" s="29" t="str">
        <f t="shared" si="8"/>
        <v/>
      </c>
      <c r="G148" s="29" t="str">
        <f t="shared" si="9"/>
        <v/>
      </c>
    </row>
    <row r="149" spans="1:7" ht="17.25" customHeight="1" x14ac:dyDescent="0.2">
      <c r="A149" s="5"/>
      <c r="B149" s="84"/>
      <c r="C149" s="3"/>
      <c r="D149" s="61"/>
      <c r="E149" s="34"/>
      <c r="F149" s="29" t="str">
        <f t="shared" si="8"/>
        <v/>
      </c>
      <c r="G149" s="29" t="str">
        <f t="shared" si="9"/>
        <v/>
      </c>
    </row>
    <row r="150" spans="1:7" ht="17.25" customHeight="1" x14ac:dyDescent="0.2">
      <c r="A150" s="5"/>
      <c r="B150" s="84"/>
      <c r="C150" s="3"/>
      <c r="D150" s="61"/>
      <c r="E150" s="34"/>
      <c r="F150" s="29" t="str">
        <f t="shared" si="8"/>
        <v/>
      </c>
      <c r="G150" s="29" t="str">
        <f t="shared" si="9"/>
        <v/>
      </c>
    </row>
    <row r="151" spans="1:7" ht="17.25" customHeight="1" x14ac:dyDescent="0.2">
      <c r="A151" s="5"/>
      <c r="B151" s="84"/>
      <c r="C151" s="3"/>
      <c r="D151" s="61"/>
      <c r="E151" s="34"/>
      <c r="F151" s="29" t="str">
        <f t="shared" si="8"/>
        <v/>
      </c>
      <c r="G151" s="29" t="str">
        <f t="shared" si="9"/>
        <v/>
      </c>
    </row>
    <row r="152" spans="1:7" ht="17.25" customHeight="1" x14ac:dyDescent="0.2">
      <c r="A152" s="5"/>
      <c r="B152" s="84"/>
      <c r="C152" s="3"/>
      <c r="D152" s="61"/>
      <c r="E152" s="34"/>
      <c r="F152" s="29" t="str">
        <f t="shared" si="8"/>
        <v/>
      </c>
      <c r="G152" s="29" t="str">
        <f t="shared" si="9"/>
        <v/>
      </c>
    </row>
    <row r="153" spans="1:7" ht="17.25" customHeight="1" x14ac:dyDescent="0.2">
      <c r="A153" s="5"/>
      <c r="B153" s="84"/>
      <c r="C153" s="3"/>
      <c r="D153" s="61"/>
      <c r="E153" s="34"/>
      <c r="F153" s="29" t="str">
        <f t="shared" si="8"/>
        <v/>
      </c>
      <c r="G153" s="29" t="str">
        <f t="shared" si="9"/>
        <v/>
      </c>
    </row>
    <row r="154" spans="1:7" ht="17.25" customHeight="1" x14ac:dyDescent="0.2">
      <c r="A154" s="5"/>
      <c r="B154" s="84"/>
      <c r="C154" s="3"/>
      <c r="D154" s="61"/>
      <c r="E154" s="34"/>
      <c r="F154" s="29" t="str">
        <f t="shared" si="8"/>
        <v/>
      </c>
      <c r="G154" s="29" t="str">
        <f t="shared" si="9"/>
        <v/>
      </c>
    </row>
    <row r="155" spans="1:7" ht="17.25" customHeight="1" x14ac:dyDescent="0.2">
      <c r="A155" s="5"/>
      <c r="B155" s="84"/>
      <c r="C155" s="3"/>
      <c r="D155" s="61"/>
      <c r="E155" s="34"/>
      <c r="F155" s="29" t="str">
        <f t="shared" si="8"/>
        <v/>
      </c>
      <c r="G155" s="29" t="str">
        <f t="shared" si="9"/>
        <v/>
      </c>
    </row>
    <row r="156" spans="1:7" ht="17.25" customHeight="1" x14ac:dyDescent="0.2">
      <c r="A156" s="5"/>
      <c r="B156" s="84"/>
      <c r="C156" s="76"/>
      <c r="D156" s="77"/>
      <c r="E156" s="109"/>
      <c r="F156" s="29" t="str">
        <f t="shared" si="8"/>
        <v/>
      </c>
      <c r="G156" s="29" t="str">
        <f t="shared" si="9"/>
        <v/>
      </c>
    </row>
    <row r="157" spans="1:7" ht="17.25" customHeight="1" x14ac:dyDescent="0.2">
      <c r="A157" s="5"/>
      <c r="B157" s="84"/>
      <c r="C157" s="3"/>
      <c r="D157" s="61"/>
      <c r="E157" s="34"/>
      <c r="F157" s="29" t="str">
        <f t="shared" si="8"/>
        <v/>
      </c>
      <c r="G157" s="29" t="str">
        <f t="shared" si="9"/>
        <v/>
      </c>
    </row>
    <row r="158" spans="1:7" ht="17.25" customHeight="1" x14ac:dyDescent="0.2">
      <c r="A158" s="5"/>
      <c r="B158" s="84"/>
      <c r="C158" s="3"/>
      <c r="D158" s="61"/>
      <c r="E158" s="34"/>
      <c r="F158" s="29" t="str">
        <f t="shared" si="8"/>
        <v/>
      </c>
      <c r="G158" s="29" t="str">
        <f t="shared" si="9"/>
        <v/>
      </c>
    </row>
    <row r="159" spans="1:7" ht="17.25" customHeight="1" x14ac:dyDescent="0.2">
      <c r="A159" s="5"/>
      <c r="B159" s="84"/>
      <c r="C159" s="3"/>
      <c r="D159" s="61"/>
      <c r="E159" s="34"/>
      <c r="F159" s="29" t="str">
        <f t="shared" si="8"/>
        <v/>
      </c>
      <c r="G159" s="29" t="str">
        <f t="shared" si="9"/>
        <v/>
      </c>
    </row>
    <row r="160" spans="1:7" ht="17.25" customHeight="1" x14ac:dyDescent="0.2">
      <c r="A160" s="5"/>
      <c r="B160" s="84"/>
      <c r="C160" s="3"/>
      <c r="D160" s="61"/>
      <c r="E160" s="34"/>
      <c r="F160" s="29" t="str">
        <f t="shared" si="8"/>
        <v/>
      </c>
      <c r="G160" s="29" t="str">
        <f t="shared" si="9"/>
        <v/>
      </c>
    </row>
    <row r="161" spans="1:8" ht="17.25" customHeight="1" x14ac:dyDescent="0.2">
      <c r="A161" s="5"/>
      <c r="B161" s="84"/>
      <c r="C161" s="3"/>
      <c r="D161" s="61"/>
      <c r="E161" s="34"/>
      <c r="F161" s="29" t="str">
        <f t="shared" si="8"/>
        <v/>
      </c>
      <c r="G161" s="29" t="str">
        <f t="shared" si="9"/>
        <v/>
      </c>
    </row>
    <row r="162" spans="1:8" ht="17.25" customHeight="1" x14ac:dyDescent="0.2">
      <c r="A162" s="5"/>
      <c r="B162" s="84"/>
      <c r="C162" s="3"/>
      <c r="D162" s="61"/>
      <c r="E162" s="34"/>
      <c r="F162" s="29" t="str">
        <f t="shared" si="8"/>
        <v/>
      </c>
      <c r="G162" s="29" t="str">
        <f t="shared" si="9"/>
        <v/>
      </c>
    </row>
    <row r="163" spans="1:8" ht="17.25" customHeight="1" x14ac:dyDescent="0.2">
      <c r="A163" s="5"/>
      <c r="B163" s="84"/>
      <c r="C163" s="3"/>
      <c r="D163" s="61"/>
      <c r="E163" s="34"/>
      <c r="F163" s="29" t="str">
        <f t="shared" si="8"/>
        <v/>
      </c>
      <c r="G163" s="29" t="str">
        <f t="shared" si="9"/>
        <v/>
      </c>
    </row>
    <row r="164" spans="1:8" ht="17.25" customHeight="1" x14ac:dyDescent="0.2">
      <c r="A164" s="5"/>
      <c r="B164" s="84"/>
      <c r="C164" s="3"/>
      <c r="D164" s="61"/>
      <c r="E164" s="34"/>
      <c r="F164" s="29" t="str">
        <f t="shared" si="8"/>
        <v/>
      </c>
      <c r="G164" s="29" t="str">
        <f t="shared" si="9"/>
        <v/>
      </c>
    </row>
    <row r="165" spans="1:8" ht="17.25" customHeight="1" x14ac:dyDescent="0.2">
      <c r="A165" s="5"/>
      <c r="B165" s="84"/>
      <c r="C165" s="3"/>
      <c r="D165" s="61"/>
      <c r="E165" s="34"/>
      <c r="F165" s="29" t="str">
        <f t="shared" si="8"/>
        <v/>
      </c>
      <c r="G165" s="29" t="str">
        <f t="shared" si="9"/>
        <v/>
      </c>
    </row>
    <row r="166" spans="1:8" ht="17.25" customHeight="1" x14ac:dyDescent="0.2">
      <c r="A166" s="5"/>
      <c r="B166" s="84"/>
      <c r="C166" s="3"/>
      <c r="D166" s="61"/>
      <c r="E166" s="34"/>
      <c r="F166" s="29" t="str">
        <f t="shared" si="8"/>
        <v/>
      </c>
      <c r="G166" s="29" t="str">
        <f t="shared" si="9"/>
        <v/>
      </c>
    </row>
    <row r="167" spans="1:8" ht="17.25" customHeight="1" x14ac:dyDescent="0.2">
      <c r="A167" s="5"/>
      <c r="B167" s="84"/>
      <c r="C167" s="3"/>
      <c r="D167" s="61"/>
      <c r="E167" s="34"/>
      <c r="F167" s="29" t="str">
        <f t="shared" si="8"/>
        <v/>
      </c>
      <c r="G167" s="29" t="str">
        <f t="shared" si="9"/>
        <v/>
      </c>
    </row>
    <row r="168" spans="1:8" ht="17.25" customHeight="1" x14ac:dyDescent="0.2">
      <c r="A168" s="5"/>
      <c r="B168" s="84"/>
      <c r="C168" s="3"/>
      <c r="D168" s="61"/>
      <c r="E168" s="34"/>
      <c r="F168" s="29" t="str">
        <f t="shared" si="8"/>
        <v/>
      </c>
      <c r="G168" s="29" t="str">
        <f t="shared" si="9"/>
        <v/>
      </c>
    </row>
    <row r="169" spans="1:8" ht="17.25" customHeight="1" x14ac:dyDescent="0.2">
      <c r="A169" s="5"/>
      <c r="B169" s="84"/>
      <c r="C169" s="3"/>
      <c r="D169" s="61"/>
      <c r="E169" s="34"/>
      <c r="F169" s="29" t="str">
        <f t="shared" si="8"/>
        <v/>
      </c>
      <c r="G169" s="29" t="str">
        <f t="shared" si="9"/>
        <v/>
      </c>
    </row>
    <row r="170" spans="1:8" ht="17.25" customHeight="1" x14ac:dyDescent="0.2">
      <c r="A170" s="5"/>
      <c r="B170" s="84"/>
      <c r="C170" s="3"/>
      <c r="D170" s="61"/>
      <c r="E170" s="34"/>
      <c r="F170" s="29" t="str">
        <f t="shared" si="8"/>
        <v/>
      </c>
      <c r="G170" s="29" t="str">
        <f t="shared" si="9"/>
        <v/>
      </c>
      <c r="H170">
        <v>7</v>
      </c>
    </row>
    <row r="171" spans="1:8" ht="17.25" customHeight="1" x14ac:dyDescent="0.2">
      <c r="A171" s="5"/>
      <c r="B171" s="84"/>
      <c r="C171" s="3"/>
      <c r="D171" s="61"/>
      <c r="E171" s="57"/>
      <c r="F171" s="29" t="str">
        <f t="shared" si="8"/>
        <v/>
      </c>
      <c r="G171" s="29" t="str">
        <f t="shared" si="9"/>
        <v/>
      </c>
    </row>
    <row r="172" spans="1:8" ht="17.25" customHeight="1" x14ac:dyDescent="0.2">
      <c r="A172" s="51"/>
      <c r="B172" s="51"/>
      <c r="C172" s="52"/>
      <c r="D172" s="51"/>
      <c r="E172" s="59"/>
      <c r="F172" s="29" t="str">
        <f t="shared" si="8"/>
        <v/>
      </c>
      <c r="G172" s="29" t="str">
        <f t="shared" si="9"/>
        <v/>
      </c>
    </row>
    <row r="173" spans="1:8" ht="17.25" customHeight="1" x14ac:dyDescent="0.2">
      <c r="A173" s="51"/>
      <c r="B173" s="51"/>
      <c r="C173" s="52"/>
      <c r="D173" s="51"/>
      <c r="E173" s="59"/>
      <c r="F173" s="29" t="str">
        <f t="shared" si="8"/>
        <v/>
      </c>
      <c r="G173" s="29" t="str">
        <f t="shared" si="9"/>
        <v/>
      </c>
    </row>
    <row r="174" spans="1:8" ht="17.25" customHeight="1" x14ac:dyDescent="0.2">
      <c r="A174" s="51"/>
      <c r="B174" s="51"/>
      <c r="C174" s="52"/>
      <c r="D174" s="51"/>
      <c r="E174" s="59"/>
      <c r="F174" s="29" t="str">
        <f t="shared" si="8"/>
        <v/>
      </c>
      <c r="G174" s="29" t="str">
        <f t="shared" si="9"/>
        <v/>
      </c>
    </row>
    <row r="175" spans="1:8" ht="17.25" customHeight="1" x14ac:dyDescent="0.2">
      <c r="A175" s="51"/>
      <c r="B175" s="51"/>
      <c r="C175" s="52"/>
      <c r="D175" s="51"/>
      <c r="E175" s="59"/>
      <c r="F175" s="29" t="str">
        <f t="shared" si="8"/>
        <v/>
      </c>
      <c r="G175" s="29" t="str">
        <f t="shared" si="9"/>
        <v/>
      </c>
    </row>
    <row r="176" spans="1:8" ht="17.25" customHeight="1" x14ac:dyDescent="0.2">
      <c r="A176" s="51"/>
      <c r="B176" s="51"/>
      <c r="C176" s="52"/>
      <c r="D176" s="51"/>
      <c r="E176" s="59"/>
      <c r="F176" s="29" t="str">
        <f t="shared" si="8"/>
        <v/>
      </c>
      <c r="G176" s="29" t="str">
        <f t="shared" si="9"/>
        <v/>
      </c>
    </row>
    <row r="177" spans="1:7" ht="17.25" customHeight="1" x14ac:dyDescent="0.2">
      <c r="A177" s="51"/>
      <c r="B177" s="51"/>
      <c r="C177" s="52"/>
      <c r="D177" s="51"/>
      <c r="E177" s="59"/>
      <c r="F177" s="29" t="str">
        <f t="shared" si="8"/>
        <v/>
      </c>
      <c r="G177" s="29" t="str">
        <f t="shared" si="9"/>
        <v/>
      </c>
    </row>
    <row r="178" spans="1:7" ht="17.25" customHeight="1" x14ac:dyDescent="0.2">
      <c r="A178" s="51"/>
      <c r="B178" s="51"/>
      <c r="C178" s="52"/>
      <c r="D178" s="51"/>
      <c r="E178" s="59"/>
      <c r="F178" s="29" t="str">
        <f t="shared" si="8"/>
        <v/>
      </c>
      <c r="G178" s="29" t="str">
        <f t="shared" si="9"/>
        <v/>
      </c>
    </row>
    <row r="179" spans="1:7" ht="17.25" customHeight="1" x14ac:dyDescent="0.2">
      <c r="A179" s="51"/>
      <c r="B179" s="51"/>
      <c r="C179" s="52"/>
      <c r="D179" s="51"/>
      <c r="E179" s="59"/>
      <c r="F179" s="29" t="str">
        <f t="shared" si="8"/>
        <v/>
      </c>
      <c r="G179" s="29" t="str">
        <f t="shared" si="9"/>
        <v/>
      </c>
    </row>
    <row r="180" spans="1:7" ht="17.25" customHeight="1" x14ac:dyDescent="0.2">
      <c r="A180" s="51"/>
      <c r="B180" s="51"/>
      <c r="C180" s="52"/>
      <c r="D180" s="51"/>
      <c r="E180" s="59"/>
      <c r="F180" s="29" t="str">
        <f t="shared" si="8"/>
        <v/>
      </c>
      <c r="G180" s="29" t="str">
        <f t="shared" si="9"/>
        <v/>
      </c>
    </row>
    <row r="181" spans="1:7" ht="17.25" customHeight="1" x14ac:dyDescent="0.2">
      <c r="A181" s="51"/>
      <c r="B181" s="51"/>
      <c r="C181" s="52"/>
      <c r="D181" s="51"/>
      <c r="E181" s="59"/>
      <c r="F181" s="29" t="str">
        <f t="shared" si="8"/>
        <v/>
      </c>
      <c r="G181" s="29" t="str">
        <f t="shared" si="9"/>
        <v/>
      </c>
    </row>
    <row r="182" spans="1:7" ht="17.25" customHeight="1" x14ac:dyDescent="0.2">
      <c r="A182" s="51"/>
      <c r="B182" s="51"/>
      <c r="C182" s="52"/>
      <c r="D182" s="51"/>
      <c r="E182" s="59"/>
      <c r="F182" s="29" t="str">
        <f t="shared" si="8"/>
        <v/>
      </c>
      <c r="G182" s="29" t="str">
        <f t="shared" si="9"/>
        <v/>
      </c>
    </row>
    <row r="183" spans="1:7" ht="17.25" customHeight="1" x14ac:dyDescent="0.2">
      <c r="A183" s="51"/>
      <c r="B183" s="51"/>
      <c r="C183" s="52"/>
      <c r="D183" s="51"/>
      <c r="E183" s="59"/>
      <c r="F183" s="29" t="str">
        <f t="shared" si="8"/>
        <v/>
      </c>
      <c r="G183" s="29" t="str">
        <f t="shared" si="9"/>
        <v/>
      </c>
    </row>
    <row r="184" spans="1:7" ht="17.25" customHeight="1" x14ac:dyDescent="0.2">
      <c r="A184" s="51"/>
      <c r="B184" s="51"/>
      <c r="C184" s="52"/>
      <c r="D184" s="51"/>
      <c r="E184" s="59"/>
      <c r="F184" s="29" t="str">
        <f t="shared" si="8"/>
        <v/>
      </c>
      <c r="G184" s="29" t="str">
        <f t="shared" si="9"/>
        <v/>
      </c>
    </row>
    <row r="185" spans="1:7" ht="17.25" customHeight="1" x14ac:dyDescent="0.2">
      <c r="A185" s="51"/>
      <c r="B185" s="51"/>
      <c r="C185" s="52"/>
      <c r="D185" s="51"/>
      <c r="E185" s="59"/>
      <c r="F185" s="29" t="str">
        <f t="shared" si="8"/>
        <v/>
      </c>
      <c r="G185" s="29" t="str">
        <f t="shared" si="9"/>
        <v/>
      </c>
    </row>
    <row r="186" spans="1:7" ht="17.25" customHeight="1" x14ac:dyDescent="0.2">
      <c r="A186" s="51"/>
      <c r="B186" s="51"/>
      <c r="C186" s="52"/>
      <c r="D186" s="51"/>
      <c r="E186" s="59"/>
      <c r="F186" s="29" t="str">
        <f t="shared" si="8"/>
        <v/>
      </c>
      <c r="G186" s="29" t="str">
        <f t="shared" si="9"/>
        <v/>
      </c>
    </row>
    <row r="187" spans="1:7" ht="17.25" customHeight="1" x14ac:dyDescent="0.2">
      <c r="A187" s="51"/>
      <c r="B187" s="51"/>
      <c r="C187" s="52"/>
      <c r="D187" s="51"/>
      <c r="E187" s="59"/>
      <c r="F187" s="29" t="str">
        <f t="shared" si="8"/>
        <v/>
      </c>
      <c r="G187" s="29" t="str">
        <f t="shared" si="9"/>
        <v/>
      </c>
    </row>
    <row r="188" spans="1:7" ht="17.25" customHeight="1" x14ac:dyDescent="0.2">
      <c r="A188" s="51"/>
      <c r="B188" s="51"/>
      <c r="C188" s="52"/>
      <c r="D188" s="51"/>
      <c r="E188" s="59"/>
      <c r="F188" s="29" t="str">
        <f t="shared" si="8"/>
        <v/>
      </c>
      <c r="G188" s="29" t="str">
        <f t="shared" si="9"/>
        <v/>
      </c>
    </row>
    <row r="189" spans="1:7" ht="17.25" customHeight="1" x14ac:dyDescent="0.2">
      <c r="A189" s="51"/>
      <c r="B189" s="51"/>
      <c r="C189" s="52"/>
      <c r="D189" s="51"/>
      <c r="E189" s="59"/>
      <c r="F189" s="29" t="str">
        <f t="shared" si="8"/>
        <v/>
      </c>
      <c r="G189" s="29" t="str">
        <f t="shared" si="9"/>
        <v/>
      </c>
    </row>
    <row r="190" spans="1:7" ht="17.25" customHeight="1" x14ac:dyDescent="0.2">
      <c r="A190" s="51"/>
      <c r="B190" s="51"/>
      <c r="C190" s="52"/>
      <c r="D190" s="51"/>
      <c r="E190" s="59"/>
      <c r="F190" s="29" t="str">
        <f t="shared" si="8"/>
        <v/>
      </c>
      <c r="G190" s="29" t="str">
        <f t="shared" si="9"/>
        <v/>
      </c>
    </row>
    <row r="191" spans="1:7" ht="17.25" customHeight="1" x14ac:dyDescent="0.2">
      <c r="A191" s="51"/>
      <c r="B191" s="51"/>
      <c r="C191" s="52"/>
      <c r="D191" s="51"/>
      <c r="E191" s="59"/>
      <c r="F191" s="29" t="str">
        <f t="shared" si="8"/>
        <v/>
      </c>
      <c r="G191" s="29" t="str">
        <f t="shared" si="9"/>
        <v/>
      </c>
    </row>
    <row r="192" spans="1:7" ht="17.25" customHeight="1" x14ac:dyDescent="0.2">
      <c r="A192" s="51"/>
      <c r="B192" s="51"/>
      <c r="C192" s="52"/>
      <c r="D192" s="51"/>
      <c r="E192" s="59"/>
      <c r="F192" s="29" t="str">
        <f t="shared" si="8"/>
        <v/>
      </c>
      <c r="G192" s="29" t="str">
        <f t="shared" si="9"/>
        <v/>
      </c>
    </row>
    <row r="193" spans="1:7" ht="17.25" customHeight="1" x14ac:dyDescent="0.2">
      <c r="A193" s="51"/>
      <c r="B193" s="51"/>
      <c r="C193" s="52"/>
      <c r="D193" s="51"/>
      <c r="E193" s="59"/>
      <c r="F193" s="29" t="str">
        <f t="shared" si="8"/>
        <v/>
      </c>
      <c r="G193" s="29" t="str">
        <f t="shared" si="9"/>
        <v/>
      </c>
    </row>
    <row r="194" spans="1:7" ht="17.25" customHeight="1" x14ac:dyDescent="0.2">
      <c r="A194" s="51"/>
      <c r="B194" s="51"/>
      <c r="C194" s="52"/>
      <c r="D194" s="51"/>
      <c r="E194" s="59"/>
      <c r="F194" s="29" t="str">
        <f t="shared" si="8"/>
        <v/>
      </c>
      <c r="G194" s="29" t="str">
        <f t="shared" si="9"/>
        <v/>
      </c>
    </row>
    <row r="195" spans="1:7" ht="17.25" customHeight="1" x14ac:dyDescent="0.2">
      <c r="A195" s="51"/>
      <c r="B195" s="51"/>
      <c r="C195" s="52"/>
      <c r="D195" s="51"/>
      <c r="E195" s="59"/>
      <c r="F195" s="29" t="str">
        <f t="shared" si="8"/>
        <v/>
      </c>
      <c r="G195" s="29" t="str">
        <f t="shared" si="9"/>
        <v/>
      </c>
    </row>
    <row r="196" spans="1:7" ht="17.25" customHeight="1" x14ac:dyDescent="0.2">
      <c r="A196" s="51"/>
      <c r="B196" s="51"/>
      <c r="C196" s="52"/>
      <c r="D196" s="51"/>
      <c r="E196" s="59"/>
      <c r="F196" s="29" t="str">
        <f t="shared" si="8"/>
        <v/>
      </c>
      <c r="G196" s="29" t="str">
        <f t="shared" si="9"/>
        <v/>
      </c>
    </row>
    <row r="197" spans="1:7" ht="17.25" customHeight="1" x14ac:dyDescent="0.2">
      <c r="A197" s="51"/>
      <c r="B197" s="51"/>
      <c r="C197" s="52"/>
      <c r="D197" s="51"/>
      <c r="E197" s="59"/>
      <c r="F197" s="29" t="str">
        <f t="shared" si="8"/>
        <v/>
      </c>
      <c r="G197" s="29" t="str">
        <f t="shared" si="9"/>
        <v/>
      </c>
    </row>
    <row r="198" spans="1:7" ht="17.25" customHeight="1" x14ac:dyDescent="0.2">
      <c r="A198" s="51"/>
      <c r="B198" s="51"/>
      <c r="C198" s="52"/>
      <c r="D198" s="51"/>
      <c r="E198" s="59"/>
      <c r="F198" s="29" t="str">
        <f t="shared" si="8"/>
        <v/>
      </c>
      <c r="G198" s="29" t="str">
        <f t="shared" si="9"/>
        <v/>
      </c>
    </row>
    <row r="199" spans="1:7" ht="17.25" customHeight="1" x14ac:dyDescent="0.2">
      <c r="A199" s="51"/>
      <c r="B199" s="51"/>
      <c r="C199" s="52"/>
      <c r="D199" s="51"/>
      <c r="E199" s="59"/>
      <c r="F199" s="29" t="str">
        <f t="shared" si="8"/>
        <v/>
      </c>
      <c r="G199" s="29" t="str">
        <f t="shared" si="9"/>
        <v/>
      </c>
    </row>
    <row r="200" spans="1:7" ht="17.25" customHeight="1" x14ac:dyDescent="0.2">
      <c r="A200" s="51"/>
      <c r="B200" s="51"/>
      <c r="C200" s="52"/>
      <c r="D200" s="51"/>
      <c r="E200" s="59"/>
      <c r="F200" s="29" t="str">
        <f t="shared" si="8"/>
        <v/>
      </c>
      <c r="G200" s="29" t="str">
        <f t="shared" si="9"/>
        <v/>
      </c>
    </row>
    <row r="201" spans="1:7" ht="17.25" customHeight="1" x14ac:dyDescent="0.2">
      <c r="A201" s="51"/>
      <c r="B201" s="51"/>
      <c r="C201" s="52"/>
      <c r="D201" s="51"/>
      <c r="E201" s="59"/>
      <c r="F201" s="29" t="str">
        <f t="shared" si="8"/>
        <v/>
      </c>
      <c r="G201" s="29" t="str">
        <f t="shared" si="9"/>
        <v/>
      </c>
    </row>
    <row r="202" spans="1:7" ht="17.25" customHeight="1" x14ac:dyDescent="0.2">
      <c r="A202" s="51"/>
      <c r="B202" s="51"/>
      <c r="C202" s="52"/>
      <c r="D202" s="51"/>
      <c r="E202" s="59"/>
      <c r="F202" s="29" t="str">
        <f t="shared" si="8"/>
        <v/>
      </c>
      <c r="G202" s="29" t="str">
        <f t="shared" si="9"/>
        <v/>
      </c>
    </row>
    <row r="203" spans="1:7" ht="17.25" customHeight="1" x14ac:dyDescent="0.2">
      <c r="A203" s="51"/>
      <c r="B203" s="51"/>
      <c r="C203" s="52"/>
      <c r="D203" s="51"/>
      <c r="E203" s="59"/>
      <c r="F203" s="29" t="str">
        <f t="shared" si="8"/>
        <v/>
      </c>
      <c r="G203" s="29" t="str">
        <f t="shared" si="9"/>
        <v/>
      </c>
    </row>
    <row r="204" spans="1:7" ht="17.25" customHeight="1" x14ac:dyDescent="0.2">
      <c r="A204" s="51"/>
      <c r="B204" s="51"/>
      <c r="C204" s="52"/>
      <c r="D204" s="51"/>
      <c r="E204" s="59"/>
      <c r="F204" s="29" t="str">
        <f t="shared" si="8"/>
        <v/>
      </c>
      <c r="G204" s="29" t="str">
        <f t="shared" si="9"/>
        <v/>
      </c>
    </row>
    <row r="205" spans="1:7" ht="17.25" customHeight="1" x14ac:dyDescent="0.2">
      <c r="A205" s="51"/>
      <c r="B205" s="51"/>
      <c r="C205" s="52"/>
      <c r="D205" s="51"/>
      <c r="E205" s="59"/>
      <c r="F205" s="29" t="str">
        <f t="shared" si="8"/>
        <v/>
      </c>
      <c r="G205" s="29" t="str">
        <f t="shared" si="9"/>
        <v/>
      </c>
    </row>
    <row r="206" spans="1:7" ht="17.25" customHeight="1" x14ac:dyDescent="0.2">
      <c r="A206" s="51"/>
      <c r="B206" s="51"/>
      <c r="C206" s="52"/>
      <c r="D206" s="51"/>
      <c r="E206" s="59"/>
      <c r="F206" s="29" t="str">
        <f t="shared" si="8"/>
        <v/>
      </c>
      <c r="G206" s="29" t="str">
        <f t="shared" si="9"/>
        <v/>
      </c>
    </row>
    <row r="207" spans="1:7" ht="17.25" customHeight="1" x14ac:dyDescent="0.2">
      <c r="A207" s="51"/>
      <c r="B207" s="51"/>
      <c r="C207" s="52"/>
      <c r="D207" s="51"/>
      <c r="E207" s="59"/>
      <c r="F207" s="29" t="str">
        <f t="shared" si="8"/>
        <v/>
      </c>
      <c r="G207" s="29" t="str">
        <f t="shared" si="9"/>
        <v/>
      </c>
    </row>
    <row r="208" spans="1:7" ht="17.25" customHeight="1" x14ac:dyDescent="0.2">
      <c r="A208" s="51"/>
      <c r="B208" s="51"/>
      <c r="C208" s="52"/>
      <c r="D208" s="51"/>
      <c r="E208" s="59"/>
      <c r="F208" s="29" t="str">
        <f t="shared" si="8"/>
        <v/>
      </c>
      <c r="G208" s="29" t="str">
        <f t="shared" si="9"/>
        <v/>
      </c>
    </row>
    <row r="209" spans="1:7" ht="17.25" customHeight="1" x14ac:dyDescent="0.2">
      <c r="A209" s="51"/>
      <c r="B209" s="51"/>
      <c r="C209" s="52"/>
      <c r="D209" s="51"/>
      <c r="E209" s="59"/>
      <c r="F209" s="29" t="str">
        <f t="shared" ref="F209:F272" si="10">IF(E209="","",F208-E209)</f>
        <v/>
      </c>
      <c r="G209" s="29" t="str">
        <f t="shared" ref="G209:G272" si="11">IF(E209="","",G208+E209)</f>
        <v/>
      </c>
    </row>
    <row r="210" spans="1:7" ht="17.25" customHeight="1" x14ac:dyDescent="0.2">
      <c r="A210" s="51"/>
      <c r="B210" s="51"/>
      <c r="C210" s="52"/>
      <c r="D210" s="51"/>
      <c r="E210" s="59"/>
      <c r="F210" s="29" t="str">
        <f t="shared" si="10"/>
        <v/>
      </c>
      <c r="G210" s="29" t="str">
        <f t="shared" si="11"/>
        <v/>
      </c>
    </row>
    <row r="211" spans="1:7" ht="17.25" customHeight="1" x14ac:dyDescent="0.2">
      <c r="A211" s="51"/>
      <c r="B211" s="51"/>
      <c r="C211" s="52"/>
      <c r="D211" s="51"/>
      <c r="E211" s="59"/>
      <c r="F211" s="29" t="str">
        <f t="shared" si="10"/>
        <v/>
      </c>
      <c r="G211" s="29" t="str">
        <f t="shared" si="11"/>
        <v/>
      </c>
    </row>
    <row r="212" spans="1:7" ht="17.25" customHeight="1" x14ac:dyDescent="0.2">
      <c r="A212" s="51"/>
      <c r="B212" s="51"/>
      <c r="C212" s="52"/>
      <c r="D212" s="51"/>
      <c r="E212" s="59"/>
      <c r="F212" s="29" t="str">
        <f t="shared" si="10"/>
        <v/>
      </c>
      <c r="G212" s="29" t="str">
        <f t="shared" si="11"/>
        <v/>
      </c>
    </row>
    <row r="213" spans="1:7" ht="17.25" customHeight="1" x14ac:dyDescent="0.2">
      <c r="A213" s="51"/>
      <c r="B213" s="51"/>
      <c r="C213" s="52"/>
      <c r="D213" s="51"/>
      <c r="E213" s="59"/>
      <c r="F213" s="29" t="str">
        <f t="shared" si="10"/>
        <v/>
      </c>
      <c r="G213" s="29" t="str">
        <f t="shared" si="11"/>
        <v/>
      </c>
    </row>
    <row r="214" spans="1:7" ht="17.25" customHeight="1" x14ac:dyDescent="0.2">
      <c r="A214" s="51"/>
      <c r="B214" s="51"/>
      <c r="C214" s="52"/>
      <c r="D214" s="51"/>
      <c r="E214" s="59"/>
      <c r="F214" s="29" t="str">
        <f t="shared" si="10"/>
        <v/>
      </c>
      <c r="G214" s="29" t="str">
        <f t="shared" si="11"/>
        <v/>
      </c>
    </row>
    <row r="215" spans="1:7" ht="17.25" customHeight="1" x14ac:dyDescent="0.2">
      <c r="A215" s="51"/>
      <c r="B215" s="51"/>
      <c r="C215" s="52"/>
      <c r="D215" s="51"/>
      <c r="E215" s="59"/>
      <c r="F215" s="29" t="str">
        <f t="shared" si="10"/>
        <v/>
      </c>
      <c r="G215" s="29" t="str">
        <f t="shared" si="11"/>
        <v/>
      </c>
    </row>
    <row r="216" spans="1:7" ht="17.25" customHeight="1" x14ac:dyDescent="0.2">
      <c r="A216" s="51"/>
      <c r="B216" s="51"/>
      <c r="C216" s="52"/>
      <c r="D216" s="51"/>
      <c r="E216" s="59"/>
      <c r="F216" s="29" t="str">
        <f t="shared" si="10"/>
        <v/>
      </c>
      <c r="G216" s="29" t="str">
        <f t="shared" si="11"/>
        <v/>
      </c>
    </row>
    <row r="217" spans="1:7" ht="17.25" customHeight="1" x14ac:dyDescent="0.2">
      <c r="A217" s="51"/>
      <c r="B217" s="51"/>
      <c r="C217" s="52"/>
      <c r="D217" s="51"/>
      <c r="E217" s="59"/>
      <c r="F217" s="29" t="str">
        <f t="shared" si="10"/>
        <v/>
      </c>
      <c r="G217" s="29" t="str">
        <f t="shared" si="11"/>
        <v/>
      </c>
    </row>
    <row r="218" spans="1:7" ht="17.25" customHeight="1" x14ac:dyDescent="0.2">
      <c r="A218" s="51"/>
      <c r="B218" s="51"/>
      <c r="C218" s="52"/>
      <c r="D218" s="51"/>
      <c r="E218" s="59"/>
      <c r="F218" s="29" t="str">
        <f t="shared" si="10"/>
        <v/>
      </c>
      <c r="G218" s="29" t="str">
        <f t="shared" si="11"/>
        <v/>
      </c>
    </row>
    <row r="219" spans="1:7" ht="17.25" customHeight="1" x14ac:dyDescent="0.2">
      <c r="A219" s="51"/>
      <c r="B219" s="51"/>
      <c r="C219" s="52"/>
      <c r="D219" s="51"/>
      <c r="E219" s="59"/>
      <c r="F219" s="29" t="str">
        <f t="shared" si="10"/>
        <v/>
      </c>
      <c r="G219" s="29" t="str">
        <f t="shared" si="11"/>
        <v/>
      </c>
    </row>
    <row r="220" spans="1:7" ht="17.25" customHeight="1" x14ac:dyDescent="0.2">
      <c r="A220" s="51"/>
      <c r="B220" s="51"/>
      <c r="C220" s="52"/>
      <c r="D220" s="51"/>
      <c r="E220" s="59"/>
      <c r="F220" s="29" t="str">
        <f t="shared" si="10"/>
        <v/>
      </c>
      <c r="G220" s="29" t="str">
        <f t="shared" si="11"/>
        <v/>
      </c>
    </row>
    <row r="221" spans="1:7" ht="17.25" customHeight="1" x14ac:dyDescent="0.2">
      <c r="A221" s="51"/>
      <c r="B221" s="51"/>
      <c r="C221" s="52"/>
      <c r="D221" s="51"/>
      <c r="E221" s="59"/>
      <c r="F221" s="29" t="str">
        <f t="shared" si="10"/>
        <v/>
      </c>
      <c r="G221" s="29" t="str">
        <f t="shared" si="11"/>
        <v/>
      </c>
    </row>
    <row r="222" spans="1:7" ht="17.25" customHeight="1" x14ac:dyDescent="0.2">
      <c r="A222" s="51"/>
      <c r="B222" s="51"/>
      <c r="C222" s="52"/>
      <c r="D222" s="51"/>
      <c r="E222" s="59"/>
      <c r="F222" s="29" t="str">
        <f t="shared" si="10"/>
        <v/>
      </c>
      <c r="G222" s="29" t="str">
        <f t="shared" si="11"/>
        <v/>
      </c>
    </row>
    <row r="223" spans="1:7" ht="17.25" customHeight="1" x14ac:dyDescent="0.2">
      <c r="A223" s="51"/>
      <c r="B223" s="51"/>
      <c r="C223" s="52"/>
      <c r="D223" s="51"/>
      <c r="E223" s="59"/>
      <c r="F223" s="29" t="str">
        <f t="shared" si="10"/>
        <v/>
      </c>
      <c r="G223" s="29" t="str">
        <f t="shared" si="11"/>
        <v/>
      </c>
    </row>
    <row r="224" spans="1:7" ht="17.25" customHeight="1" x14ac:dyDescent="0.2">
      <c r="A224" s="51"/>
      <c r="B224" s="51"/>
      <c r="C224" s="52"/>
      <c r="D224" s="51"/>
      <c r="E224" s="59"/>
      <c r="F224" s="29" t="str">
        <f t="shared" si="10"/>
        <v/>
      </c>
      <c r="G224" s="29" t="str">
        <f t="shared" si="11"/>
        <v/>
      </c>
    </row>
    <row r="225" spans="1:7" ht="17.25" customHeight="1" x14ac:dyDescent="0.2">
      <c r="A225" s="51"/>
      <c r="B225" s="51"/>
      <c r="C225" s="52"/>
      <c r="D225" s="51"/>
      <c r="E225" s="59"/>
      <c r="F225" s="29" t="str">
        <f t="shared" si="10"/>
        <v/>
      </c>
      <c r="G225" s="29" t="str">
        <f t="shared" si="11"/>
        <v/>
      </c>
    </row>
    <row r="226" spans="1:7" ht="17.25" customHeight="1" x14ac:dyDescent="0.2">
      <c r="A226" s="51"/>
      <c r="B226" s="51"/>
      <c r="C226" s="52"/>
      <c r="D226" s="51"/>
      <c r="E226" s="59"/>
      <c r="F226" s="29" t="str">
        <f t="shared" si="10"/>
        <v/>
      </c>
      <c r="G226" s="29" t="str">
        <f t="shared" si="11"/>
        <v/>
      </c>
    </row>
    <row r="227" spans="1:7" ht="17.25" customHeight="1" x14ac:dyDescent="0.2">
      <c r="A227" s="51"/>
      <c r="B227" s="51"/>
      <c r="C227" s="52"/>
      <c r="D227" s="51"/>
      <c r="E227" s="59"/>
      <c r="F227" s="29" t="str">
        <f t="shared" si="10"/>
        <v/>
      </c>
      <c r="G227" s="29" t="str">
        <f t="shared" si="11"/>
        <v/>
      </c>
    </row>
    <row r="228" spans="1:7" ht="17.25" customHeight="1" x14ac:dyDescent="0.2">
      <c r="A228" s="51"/>
      <c r="B228" s="51"/>
      <c r="C228" s="52"/>
      <c r="D228" s="51"/>
      <c r="E228" s="59"/>
      <c r="F228" s="29" t="str">
        <f t="shared" si="10"/>
        <v/>
      </c>
      <c r="G228" s="29" t="str">
        <f t="shared" si="11"/>
        <v/>
      </c>
    </row>
    <row r="229" spans="1:7" ht="17.25" customHeight="1" x14ac:dyDescent="0.2">
      <c r="A229" s="51"/>
      <c r="B229" s="51"/>
      <c r="C229" s="52"/>
      <c r="D229" s="51"/>
      <c r="E229" s="59"/>
      <c r="F229" s="29" t="str">
        <f t="shared" si="10"/>
        <v/>
      </c>
      <c r="G229" s="29" t="str">
        <f t="shared" si="11"/>
        <v/>
      </c>
    </row>
    <row r="230" spans="1:7" ht="17.25" customHeight="1" x14ac:dyDescent="0.2">
      <c r="A230" s="51"/>
      <c r="B230" s="51"/>
      <c r="C230" s="52"/>
      <c r="D230" s="51"/>
      <c r="E230" s="59"/>
      <c r="F230" s="29" t="str">
        <f t="shared" si="10"/>
        <v/>
      </c>
      <c r="G230" s="29" t="str">
        <f t="shared" si="11"/>
        <v/>
      </c>
    </row>
    <row r="231" spans="1:7" ht="17.25" customHeight="1" x14ac:dyDescent="0.2">
      <c r="A231" s="51"/>
      <c r="B231" s="51"/>
      <c r="C231" s="52"/>
      <c r="D231" s="51"/>
      <c r="E231" s="59"/>
      <c r="F231" s="29" t="str">
        <f t="shared" si="10"/>
        <v/>
      </c>
      <c r="G231" s="29" t="str">
        <f t="shared" si="11"/>
        <v/>
      </c>
    </row>
    <row r="232" spans="1:7" ht="17.25" customHeight="1" x14ac:dyDescent="0.2">
      <c r="A232" s="51"/>
      <c r="B232" s="51"/>
      <c r="C232" s="52"/>
      <c r="D232" s="51"/>
      <c r="E232" s="59"/>
      <c r="F232" s="29" t="str">
        <f t="shared" si="10"/>
        <v/>
      </c>
      <c r="G232" s="29" t="str">
        <f t="shared" si="11"/>
        <v/>
      </c>
    </row>
    <row r="233" spans="1:7" ht="17.25" customHeight="1" x14ac:dyDescent="0.2">
      <c r="A233" s="51"/>
      <c r="B233" s="51"/>
      <c r="C233" s="52"/>
      <c r="D233" s="51"/>
      <c r="E233" s="59"/>
      <c r="F233" s="29" t="str">
        <f t="shared" si="10"/>
        <v/>
      </c>
      <c r="G233" s="29" t="str">
        <f t="shared" si="11"/>
        <v/>
      </c>
    </row>
    <row r="234" spans="1:7" ht="17.25" customHeight="1" x14ac:dyDescent="0.2">
      <c r="A234" s="51"/>
      <c r="B234" s="51"/>
      <c r="C234" s="52"/>
      <c r="D234" s="51"/>
      <c r="E234" s="59"/>
      <c r="F234" s="29" t="str">
        <f t="shared" si="10"/>
        <v/>
      </c>
      <c r="G234" s="29" t="str">
        <f t="shared" si="11"/>
        <v/>
      </c>
    </row>
    <row r="235" spans="1:7" ht="17.25" customHeight="1" x14ac:dyDescent="0.2">
      <c r="A235" s="51"/>
      <c r="B235" s="51"/>
      <c r="C235" s="52"/>
      <c r="D235" s="51"/>
      <c r="E235" s="59"/>
      <c r="F235" s="29" t="str">
        <f t="shared" si="10"/>
        <v/>
      </c>
      <c r="G235" s="29" t="str">
        <f t="shared" si="11"/>
        <v/>
      </c>
    </row>
    <row r="236" spans="1:7" ht="17.25" customHeight="1" x14ac:dyDescent="0.2">
      <c r="A236" s="51"/>
      <c r="B236" s="51"/>
      <c r="C236" s="52"/>
      <c r="D236" s="51"/>
      <c r="E236" s="59"/>
      <c r="F236" s="29" t="str">
        <f t="shared" si="10"/>
        <v/>
      </c>
      <c r="G236" s="29" t="str">
        <f t="shared" si="11"/>
        <v/>
      </c>
    </row>
    <row r="237" spans="1:7" ht="17.25" customHeight="1" x14ac:dyDescent="0.2">
      <c r="A237" s="51"/>
      <c r="B237" s="51"/>
      <c r="C237" s="52"/>
      <c r="D237" s="51"/>
      <c r="E237" s="59"/>
      <c r="F237" s="29" t="str">
        <f t="shared" si="10"/>
        <v/>
      </c>
      <c r="G237" s="29" t="str">
        <f t="shared" si="11"/>
        <v/>
      </c>
    </row>
    <row r="238" spans="1:7" ht="17.25" customHeight="1" x14ac:dyDescent="0.2">
      <c r="A238" s="51"/>
      <c r="B238" s="51"/>
      <c r="C238" s="52"/>
      <c r="D238" s="51"/>
      <c r="E238" s="59"/>
      <c r="F238" s="29" t="str">
        <f t="shared" si="10"/>
        <v/>
      </c>
      <c r="G238" s="29" t="str">
        <f t="shared" si="11"/>
        <v/>
      </c>
    </row>
    <row r="239" spans="1:7" ht="17.25" customHeight="1" x14ac:dyDescent="0.2">
      <c r="A239" s="51"/>
      <c r="B239" s="51"/>
      <c r="C239" s="52"/>
      <c r="D239" s="51"/>
      <c r="E239" s="59"/>
      <c r="F239" s="29" t="str">
        <f t="shared" si="10"/>
        <v/>
      </c>
      <c r="G239" s="29" t="str">
        <f t="shared" si="11"/>
        <v/>
      </c>
    </row>
    <row r="240" spans="1:7" ht="17.25" customHeight="1" x14ac:dyDescent="0.2">
      <c r="A240" s="51"/>
      <c r="B240" s="51"/>
      <c r="C240" s="52"/>
      <c r="D240" s="51"/>
      <c r="E240" s="59"/>
      <c r="F240" s="29" t="str">
        <f t="shared" si="10"/>
        <v/>
      </c>
      <c r="G240" s="29" t="str">
        <f t="shared" si="11"/>
        <v/>
      </c>
    </row>
    <row r="241" spans="1:7" ht="17.25" customHeight="1" x14ac:dyDescent="0.2">
      <c r="A241" s="51"/>
      <c r="B241" s="51"/>
      <c r="C241" s="52"/>
      <c r="D241" s="51"/>
      <c r="E241" s="59"/>
      <c r="F241" s="29" t="str">
        <f t="shared" si="10"/>
        <v/>
      </c>
      <c r="G241" s="29" t="str">
        <f t="shared" si="11"/>
        <v/>
      </c>
    </row>
    <row r="242" spans="1:7" ht="17.25" customHeight="1" x14ac:dyDescent="0.2">
      <c r="A242" s="51"/>
      <c r="B242" s="51"/>
      <c r="C242" s="52"/>
      <c r="D242" s="51"/>
      <c r="E242" s="59"/>
      <c r="F242" s="29" t="str">
        <f t="shared" si="10"/>
        <v/>
      </c>
      <c r="G242" s="29" t="str">
        <f t="shared" si="11"/>
        <v/>
      </c>
    </row>
    <row r="243" spans="1:7" ht="17.25" customHeight="1" x14ac:dyDescent="0.2">
      <c r="A243" s="51"/>
      <c r="B243" s="51"/>
      <c r="C243" s="52"/>
      <c r="D243" s="51"/>
      <c r="E243" s="59"/>
      <c r="F243" s="29" t="str">
        <f t="shared" si="10"/>
        <v/>
      </c>
      <c r="G243" s="29" t="str">
        <f t="shared" si="11"/>
        <v/>
      </c>
    </row>
    <row r="244" spans="1:7" ht="17.25" customHeight="1" x14ac:dyDescent="0.2">
      <c r="A244" s="51"/>
      <c r="B244" s="51"/>
      <c r="C244" s="52"/>
      <c r="D244" s="51"/>
      <c r="E244" s="59"/>
      <c r="F244" s="29" t="str">
        <f t="shared" si="10"/>
        <v/>
      </c>
      <c r="G244" s="29" t="str">
        <f t="shared" si="11"/>
        <v/>
      </c>
    </row>
    <row r="245" spans="1:7" ht="17.25" customHeight="1" x14ac:dyDescent="0.2">
      <c r="A245" s="51"/>
      <c r="B245" s="51"/>
      <c r="C245" s="52"/>
      <c r="D245" s="51"/>
      <c r="E245" s="59"/>
      <c r="F245" s="29" t="str">
        <f t="shared" si="10"/>
        <v/>
      </c>
      <c r="G245" s="29" t="str">
        <f t="shared" si="11"/>
        <v/>
      </c>
    </row>
    <row r="246" spans="1:7" ht="17.25" customHeight="1" x14ac:dyDescent="0.2">
      <c r="A246" s="51"/>
      <c r="B246" s="51"/>
      <c r="C246" s="52"/>
      <c r="D246" s="51"/>
      <c r="E246" s="59"/>
      <c r="F246" s="29" t="str">
        <f t="shared" si="10"/>
        <v/>
      </c>
      <c r="G246" s="29" t="str">
        <f t="shared" si="11"/>
        <v/>
      </c>
    </row>
    <row r="247" spans="1:7" ht="17.25" customHeight="1" x14ac:dyDescent="0.2">
      <c r="A247" s="51"/>
      <c r="B247" s="51"/>
      <c r="C247" s="52"/>
      <c r="D247" s="51"/>
      <c r="E247" s="59"/>
      <c r="F247" s="29" t="str">
        <f t="shared" si="10"/>
        <v/>
      </c>
      <c r="G247" s="29" t="str">
        <f t="shared" si="11"/>
        <v/>
      </c>
    </row>
    <row r="248" spans="1:7" ht="17.25" customHeight="1" x14ac:dyDescent="0.2">
      <c r="A248" s="51"/>
      <c r="B248" s="51"/>
      <c r="C248" s="52"/>
      <c r="D248" s="51"/>
      <c r="E248" s="59"/>
      <c r="F248" s="29" t="str">
        <f t="shared" si="10"/>
        <v/>
      </c>
      <c r="G248" s="29" t="str">
        <f t="shared" si="11"/>
        <v/>
      </c>
    </row>
    <row r="249" spans="1:7" ht="17.25" customHeight="1" x14ac:dyDescent="0.2">
      <c r="A249" s="51"/>
      <c r="B249" s="51"/>
      <c r="C249" s="52"/>
      <c r="D249" s="51"/>
      <c r="E249" s="59"/>
      <c r="F249" s="29" t="str">
        <f t="shared" si="10"/>
        <v/>
      </c>
      <c r="G249" s="29" t="str">
        <f t="shared" si="11"/>
        <v/>
      </c>
    </row>
    <row r="250" spans="1:7" ht="17.25" customHeight="1" x14ac:dyDescent="0.2">
      <c r="A250" s="51"/>
      <c r="B250" s="51"/>
      <c r="C250" s="52"/>
      <c r="D250" s="51"/>
      <c r="E250" s="59"/>
      <c r="F250" s="29" t="str">
        <f t="shared" si="10"/>
        <v/>
      </c>
      <c r="G250" s="29" t="str">
        <f t="shared" si="11"/>
        <v/>
      </c>
    </row>
    <row r="251" spans="1:7" ht="17.25" customHeight="1" x14ac:dyDescent="0.2">
      <c r="A251" s="51"/>
      <c r="B251" s="51"/>
      <c r="C251" s="52"/>
      <c r="D251" s="51"/>
      <c r="E251" s="59"/>
      <c r="F251" s="29" t="str">
        <f t="shared" si="10"/>
        <v/>
      </c>
      <c r="G251" s="29" t="str">
        <f t="shared" si="11"/>
        <v/>
      </c>
    </row>
    <row r="252" spans="1:7" ht="17.25" customHeight="1" x14ac:dyDescent="0.2">
      <c r="A252" s="51"/>
      <c r="B252" s="51"/>
      <c r="C252" s="52"/>
      <c r="D252" s="51"/>
      <c r="E252" s="59"/>
      <c r="F252" s="29" t="str">
        <f t="shared" si="10"/>
        <v/>
      </c>
      <c r="G252" s="29" t="str">
        <f t="shared" si="11"/>
        <v/>
      </c>
    </row>
    <row r="253" spans="1:7" ht="17.25" customHeight="1" x14ac:dyDescent="0.2">
      <c r="A253" s="51"/>
      <c r="B253" s="51"/>
      <c r="C253" s="52"/>
      <c r="D253" s="51"/>
      <c r="E253" s="59"/>
      <c r="F253" s="29" t="str">
        <f t="shared" si="10"/>
        <v/>
      </c>
      <c r="G253" s="29" t="str">
        <f t="shared" si="11"/>
        <v/>
      </c>
    </row>
    <row r="254" spans="1:7" ht="17.25" customHeight="1" x14ac:dyDescent="0.2">
      <c r="A254" s="51"/>
      <c r="B254" s="51"/>
      <c r="C254" s="52"/>
      <c r="D254" s="51"/>
      <c r="E254" s="59"/>
      <c r="F254" s="29" t="str">
        <f t="shared" si="10"/>
        <v/>
      </c>
      <c r="G254" s="29" t="str">
        <f t="shared" si="11"/>
        <v/>
      </c>
    </row>
    <row r="255" spans="1:7" ht="17.25" customHeight="1" x14ac:dyDescent="0.2">
      <c r="A255" s="51"/>
      <c r="B255" s="51"/>
      <c r="C255" s="52"/>
      <c r="D255" s="51"/>
      <c r="E255" s="59"/>
      <c r="F255" s="29" t="str">
        <f t="shared" si="10"/>
        <v/>
      </c>
      <c r="G255" s="29" t="str">
        <f t="shared" si="11"/>
        <v/>
      </c>
    </row>
    <row r="256" spans="1:7" ht="17.25" customHeight="1" x14ac:dyDescent="0.2">
      <c r="A256" s="51"/>
      <c r="B256" s="51"/>
      <c r="C256" s="52"/>
      <c r="D256" s="51"/>
      <c r="E256" s="59"/>
      <c r="F256" s="29" t="str">
        <f t="shared" si="10"/>
        <v/>
      </c>
      <c r="G256" s="29" t="str">
        <f t="shared" si="11"/>
        <v/>
      </c>
    </row>
    <row r="257" spans="1:7" ht="17.25" customHeight="1" x14ac:dyDescent="0.2">
      <c r="A257" s="51"/>
      <c r="B257" s="51"/>
      <c r="C257" s="52"/>
      <c r="D257" s="51"/>
      <c r="E257" s="59"/>
      <c r="F257" s="29" t="str">
        <f t="shared" si="10"/>
        <v/>
      </c>
      <c r="G257" s="29" t="str">
        <f t="shared" si="11"/>
        <v/>
      </c>
    </row>
    <row r="258" spans="1:7" ht="17.25" customHeight="1" x14ac:dyDescent="0.2">
      <c r="A258" s="51"/>
      <c r="B258" s="51"/>
      <c r="C258" s="52"/>
      <c r="D258" s="51"/>
      <c r="E258" s="59"/>
      <c r="F258" s="29" t="str">
        <f t="shared" si="10"/>
        <v/>
      </c>
      <c r="G258" s="29" t="str">
        <f t="shared" si="11"/>
        <v/>
      </c>
    </row>
    <row r="259" spans="1:7" ht="17.25" customHeight="1" x14ac:dyDescent="0.2">
      <c r="A259" s="51"/>
      <c r="B259" s="51"/>
      <c r="C259" s="52"/>
      <c r="D259" s="51"/>
      <c r="E259" s="59"/>
      <c r="F259" s="29" t="str">
        <f t="shared" si="10"/>
        <v/>
      </c>
      <c r="G259" s="29" t="str">
        <f t="shared" si="11"/>
        <v/>
      </c>
    </row>
    <row r="260" spans="1:7" ht="17.25" customHeight="1" x14ac:dyDescent="0.2">
      <c r="A260" s="51"/>
      <c r="B260" s="51"/>
      <c r="C260" s="52"/>
      <c r="D260" s="51"/>
      <c r="E260" s="59"/>
      <c r="F260" s="29" t="str">
        <f t="shared" si="10"/>
        <v/>
      </c>
      <c r="G260" s="29" t="str">
        <f t="shared" si="11"/>
        <v/>
      </c>
    </row>
    <row r="261" spans="1:7" ht="17.25" customHeight="1" x14ac:dyDescent="0.2">
      <c r="A261" s="51"/>
      <c r="B261" s="51"/>
      <c r="C261" s="52"/>
      <c r="D261" s="51"/>
      <c r="E261" s="59"/>
      <c r="F261" s="29" t="str">
        <f t="shared" si="10"/>
        <v/>
      </c>
      <c r="G261" s="29" t="str">
        <f t="shared" si="11"/>
        <v/>
      </c>
    </row>
    <row r="262" spans="1:7" ht="17.25" customHeight="1" x14ac:dyDescent="0.2">
      <c r="A262" s="51"/>
      <c r="B262" s="51"/>
      <c r="C262" s="52"/>
      <c r="D262" s="51"/>
      <c r="E262" s="59"/>
      <c r="F262" s="29" t="str">
        <f t="shared" si="10"/>
        <v/>
      </c>
      <c r="G262" s="29" t="str">
        <f t="shared" si="11"/>
        <v/>
      </c>
    </row>
    <row r="263" spans="1:7" ht="17.25" customHeight="1" x14ac:dyDescent="0.2">
      <c r="A263" s="51"/>
      <c r="B263" s="51"/>
      <c r="C263" s="52"/>
      <c r="D263" s="51"/>
      <c r="E263" s="59"/>
      <c r="F263" s="29" t="str">
        <f t="shared" si="10"/>
        <v/>
      </c>
      <c r="G263" s="29" t="str">
        <f t="shared" si="11"/>
        <v/>
      </c>
    </row>
    <row r="264" spans="1:7" ht="17.25" customHeight="1" x14ac:dyDescent="0.2">
      <c r="A264" s="51"/>
      <c r="B264" s="51"/>
      <c r="C264" s="52"/>
      <c r="D264" s="51"/>
      <c r="E264" s="59"/>
      <c r="F264" s="29" t="str">
        <f t="shared" si="10"/>
        <v/>
      </c>
      <c r="G264" s="29" t="str">
        <f t="shared" si="11"/>
        <v/>
      </c>
    </row>
    <row r="265" spans="1:7" ht="17.25" customHeight="1" x14ac:dyDescent="0.2">
      <c r="A265" s="51"/>
      <c r="B265" s="51"/>
      <c r="C265" s="52"/>
      <c r="D265" s="51"/>
      <c r="E265" s="59"/>
      <c r="F265" s="29" t="str">
        <f t="shared" si="10"/>
        <v/>
      </c>
      <c r="G265" s="29" t="str">
        <f t="shared" si="11"/>
        <v/>
      </c>
    </row>
    <row r="266" spans="1:7" ht="17.25" customHeight="1" x14ac:dyDescent="0.2">
      <c r="A266" s="51"/>
      <c r="B266" s="51"/>
      <c r="C266" s="52"/>
      <c r="D266" s="51"/>
      <c r="E266" s="59"/>
      <c r="F266" s="29" t="str">
        <f t="shared" si="10"/>
        <v/>
      </c>
      <c r="G266" s="29" t="str">
        <f t="shared" si="11"/>
        <v/>
      </c>
    </row>
    <row r="267" spans="1:7" ht="17.25" customHeight="1" x14ac:dyDescent="0.2">
      <c r="A267" s="51"/>
      <c r="B267" s="51"/>
      <c r="C267" s="52"/>
      <c r="D267" s="51"/>
      <c r="E267" s="59"/>
      <c r="F267" s="29" t="str">
        <f t="shared" si="10"/>
        <v/>
      </c>
      <c r="G267" s="29" t="str">
        <f t="shared" si="11"/>
        <v/>
      </c>
    </row>
    <row r="268" spans="1:7" ht="17.25" customHeight="1" x14ac:dyDescent="0.2">
      <c r="A268" s="51"/>
      <c r="B268" s="51"/>
      <c r="C268" s="52"/>
      <c r="D268" s="51"/>
      <c r="E268" s="59"/>
      <c r="F268" s="29" t="str">
        <f t="shared" si="10"/>
        <v/>
      </c>
      <c r="G268" s="29" t="str">
        <f t="shared" si="11"/>
        <v/>
      </c>
    </row>
    <row r="269" spans="1:7" ht="17.25" customHeight="1" x14ac:dyDescent="0.2">
      <c r="A269" s="51"/>
      <c r="B269" s="51"/>
      <c r="C269" s="52"/>
      <c r="D269" s="51"/>
      <c r="E269" s="59"/>
      <c r="F269" s="29" t="str">
        <f t="shared" si="10"/>
        <v/>
      </c>
      <c r="G269" s="29" t="str">
        <f t="shared" si="11"/>
        <v/>
      </c>
    </row>
    <row r="270" spans="1:7" ht="17.25" customHeight="1" x14ac:dyDescent="0.2">
      <c r="A270" s="51"/>
      <c r="B270" s="51"/>
      <c r="C270" s="52"/>
      <c r="D270" s="51"/>
      <c r="E270" s="59"/>
      <c r="F270" s="29" t="str">
        <f t="shared" si="10"/>
        <v/>
      </c>
      <c r="G270" s="29" t="str">
        <f t="shared" si="11"/>
        <v/>
      </c>
    </row>
    <row r="271" spans="1:7" ht="17.25" customHeight="1" x14ac:dyDescent="0.2">
      <c r="A271" s="51"/>
      <c r="B271" s="51"/>
      <c r="C271" s="52"/>
      <c r="D271" s="51"/>
      <c r="E271" s="59"/>
      <c r="F271" s="29" t="str">
        <f t="shared" si="10"/>
        <v/>
      </c>
      <c r="G271" s="29" t="str">
        <f t="shared" si="11"/>
        <v/>
      </c>
    </row>
    <row r="272" spans="1:7" ht="17.25" customHeight="1" x14ac:dyDescent="0.2">
      <c r="A272" s="51"/>
      <c r="B272" s="51"/>
      <c r="C272" s="52"/>
      <c r="D272" s="51"/>
      <c r="E272" s="59"/>
      <c r="F272" s="29" t="str">
        <f t="shared" si="10"/>
        <v/>
      </c>
      <c r="G272" s="29" t="str">
        <f t="shared" si="11"/>
        <v/>
      </c>
    </row>
    <row r="273" spans="1:7" ht="17.25" customHeight="1" x14ac:dyDescent="0.2">
      <c r="A273" s="51"/>
      <c r="B273" s="51"/>
      <c r="C273" s="52"/>
      <c r="D273" s="51"/>
      <c r="E273" s="59"/>
      <c r="F273" s="29" t="str">
        <f t="shared" ref="F273:F336" si="12">IF(E273="","",F272-E273)</f>
        <v/>
      </c>
      <c r="G273" s="29" t="str">
        <f t="shared" ref="G273:G336" si="13">IF(E273="","",G272+E273)</f>
        <v/>
      </c>
    </row>
    <row r="274" spans="1:7" ht="17.25" customHeight="1" x14ac:dyDescent="0.2">
      <c r="A274" s="51"/>
      <c r="B274" s="51"/>
      <c r="C274" s="52"/>
      <c r="D274" s="51"/>
      <c r="E274" s="59"/>
      <c r="F274" s="29" t="str">
        <f t="shared" si="12"/>
        <v/>
      </c>
      <c r="G274" s="29" t="str">
        <f t="shared" si="13"/>
        <v/>
      </c>
    </row>
    <row r="275" spans="1:7" ht="17.25" customHeight="1" x14ac:dyDescent="0.2">
      <c r="A275" s="51"/>
      <c r="B275" s="51"/>
      <c r="C275" s="52"/>
      <c r="D275" s="51"/>
      <c r="E275" s="59"/>
      <c r="F275" s="29" t="str">
        <f t="shared" si="12"/>
        <v/>
      </c>
      <c r="G275" s="29" t="str">
        <f t="shared" si="13"/>
        <v/>
      </c>
    </row>
    <row r="276" spans="1:7" ht="17.25" customHeight="1" x14ac:dyDescent="0.2">
      <c r="A276" s="51"/>
      <c r="B276" s="51"/>
      <c r="C276" s="52"/>
      <c r="D276" s="51"/>
      <c r="E276" s="59"/>
      <c r="F276" s="29" t="str">
        <f t="shared" si="12"/>
        <v/>
      </c>
      <c r="G276" s="29" t="str">
        <f t="shared" si="13"/>
        <v/>
      </c>
    </row>
    <row r="277" spans="1:7" ht="17.25" customHeight="1" x14ac:dyDescent="0.2">
      <c r="A277" s="51"/>
      <c r="B277" s="51"/>
      <c r="C277" s="52"/>
      <c r="D277" s="51"/>
      <c r="E277" s="59"/>
      <c r="F277" s="29" t="str">
        <f t="shared" si="12"/>
        <v/>
      </c>
      <c r="G277" s="29" t="str">
        <f t="shared" si="13"/>
        <v/>
      </c>
    </row>
    <row r="278" spans="1:7" ht="17.25" customHeight="1" x14ac:dyDescent="0.2">
      <c r="A278" s="51"/>
      <c r="B278" s="51"/>
      <c r="C278" s="52"/>
      <c r="D278" s="51"/>
      <c r="E278" s="59"/>
      <c r="F278" s="29" t="str">
        <f t="shared" si="12"/>
        <v/>
      </c>
      <c r="G278" s="29" t="str">
        <f t="shared" si="13"/>
        <v/>
      </c>
    </row>
    <row r="279" spans="1:7" ht="17.25" customHeight="1" x14ac:dyDescent="0.2">
      <c r="A279" s="51"/>
      <c r="B279" s="51"/>
      <c r="C279" s="52"/>
      <c r="D279" s="51"/>
      <c r="E279" s="59"/>
      <c r="F279" s="29" t="str">
        <f t="shared" si="12"/>
        <v/>
      </c>
      <c r="G279" s="29" t="str">
        <f t="shared" si="13"/>
        <v/>
      </c>
    </row>
    <row r="280" spans="1:7" ht="17.25" customHeight="1" x14ac:dyDescent="0.2">
      <c r="A280" s="51"/>
      <c r="B280" s="51"/>
      <c r="C280" s="52"/>
      <c r="D280" s="51"/>
      <c r="E280" s="59"/>
      <c r="F280" s="29" t="str">
        <f t="shared" si="12"/>
        <v/>
      </c>
      <c r="G280" s="29" t="str">
        <f t="shared" si="13"/>
        <v/>
      </c>
    </row>
    <row r="281" spans="1:7" ht="17.25" customHeight="1" x14ac:dyDescent="0.2">
      <c r="A281" s="51"/>
      <c r="B281" s="51"/>
      <c r="C281" s="52"/>
      <c r="D281" s="51"/>
      <c r="E281" s="59"/>
      <c r="F281" s="29" t="str">
        <f t="shared" si="12"/>
        <v/>
      </c>
      <c r="G281" s="29" t="str">
        <f t="shared" si="13"/>
        <v/>
      </c>
    </row>
    <row r="282" spans="1:7" ht="17.25" customHeight="1" x14ac:dyDescent="0.2">
      <c r="A282" s="51"/>
      <c r="B282" s="51"/>
      <c r="C282" s="52"/>
      <c r="D282" s="51"/>
      <c r="E282" s="59"/>
      <c r="F282" s="29" t="str">
        <f t="shared" si="12"/>
        <v/>
      </c>
      <c r="G282" s="29" t="str">
        <f t="shared" si="13"/>
        <v/>
      </c>
    </row>
    <row r="283" spans="1:7" ht="17.25" customHeight="1" x14ac:dyDescent="0.2">
      <c r="A283" s="51"/>
      <c r="B283" s="51"/>
      <c r="C283" s="52"/>
      <c r="D283" s="51"/>
      <c r="E283" s="59"/>
      <c r="F283" s="29" t="str">
        <f t="shared" si="12"/>
        <v/>
      </c>
      <c r="G283" s="29" t="str">
        <f t="shared" si="13"/>
        <v/>
      </c>
    </row>
    <row r="284" spans="1:7" ht="17.25" customHeight="1" x14ac:dyDescent="0.2">
      <c r="A284" s="51"/>
      <c r="B284" s="51"/>
      <c r="C284" s="52"/>
      <c r="D284" s="51"/>
      <c r="E284" s="59"/>
      <c r="F284" s="29" t="str">
        <f t="shared" si="12"/>
        <v/>
      </c>
      <c r="G284" s="29" t="str">
        <f t="shared" si="13"/>
        <v/>
      </c>
    </row>
    <row r="285" spans="1:7" ht="17.25" customHeight="1" x14ac:dyDescent="0.2">
      <c r="A285" s="51"/>
      <c r="B285" s="51"/>
      <c r="C285" s="52"/>
      <c r="D285" s="51"/>
      <c r="E285" s="59"/>
      <c r="F285" s="29" t="str">
        <f t="shared" si="12"/>
        <v/>
      </c>
      <c r="G285" s="29" t="str">
        <f t="shared" si="13"/>
        <v/>
      </c>
    </row>
    <row r="286" spans="1:7" ht="17.25" customHeight="1" x14ac:dyDescent="0.2">
      <c r="A286" s="51"/>
      <c r="B286" s="51"/>
      <c r="C286" s="52"/>
      <c r="D286" s="51"/>
      <c r="E286" s="59"/>
      <c r="F286" s="29" t="str">
        <f t="shared" si="12"/>
        <v/>
      </c>
      <c r="G286" s="29" t="str">
        <f t="shared" si="13"/>
        <v/>
      </c>
    </row>
    <row r="287" spans="1:7" ht="17.25" customHeight="1" x14ac:dyDescent="0.2">
      <c r="A287" s="51"/>
      <c r="B287" s="51"/>
      <c r="C287" s="52"/>
      <c r="D287" s="51"/>
      <c r="E287" s="59"/>
      <c r="F287" s="29" t="str">
        <f t="shared" si="12"/>
        <v/>
      </c>
      <c r="G287" s="29" t="str">
        <f t="shared" si="13"/>
        <v/>
      </c>
    </row>
    <row r="288" spans="1:7" ht="17.25" customHeight="1" x14ac:dyDescent="0.2">
      <c r="A288" s="51"/>
      <c r="B288" s="51"/>
      <c r="C288" s="52"/>
      <c r="D288" s="51"/>
      <c r="E288" s="59"/>
      <c r="F288" s="29" t="str">
        <f t="shared" si="12"/>
        <v/>
      </c>
      <c r="G288" s="29" t="str">
        <f t="shared" si="13"/>
        <v/>
      </c>
    </row>
    <row r="289" spans="1:7" ht="17.25" customHeight="1" x14ac:dyDescent="0.2">
      <c r="A289" s="51"/>
      <c r="B289" s="51"/>
      <c r="C289" s="52"/>
      <c r="D289" s="51"/>
      <c r="E289" s="59"/>
      <c r="F289" s="29" t="str">
        <f t="shared" si="12"/>
        <v/>
      </c>
      <c r="G289" s="29" t="str">
        <f t="shared" si="13"/>
        <v/>
      </c>
    </row>
    <row r="290" spans="1:7" ht="17.25" customHeight="1" x14ac:dyDescent="0.2">
      <c r="A290" s="51"/>
      <c r="B290" s="51"/>
      <c r="C290" s="52"/>
      <c r="D290" s="51"/>
      <c r="E290" s="59"/>
      <c r="F290" s="29" t="str">
        <f t="shared" si="12"/>
        <v/>
      </c>
      <c r="G290" s="29" t="str">
        <f t="shared" si="13"/>
        <v/>
      </c>
    </row>
    <row r="291" spans="1:7" ht="17.25" customHeight="1" x14ac:dyDescent="0.2">
      <c r="A291" s="51"/>
      <c r="B291" s="51"/>
      <c r="C291" s="52"/>
      <c r="D291" s="51"/>
      <c r="E291" s="59"/>
      <c r="F291" s="29" t="str">
        <f t="shared" si="12"/>
        <v/>
      </c>
      <c r="G291" s="29" t="str">
        <f t="shared" si="13"/>
        <v/>
      </c>
    </row>
    <row r="292" spans="1:7" ht="17.25" customHeight="1" x14ac:dyDescent="0.2">
      <c r="A292" s="51"/>
      <c r="B292" s="51"/>
      <c r="C292" s="52"/>
      <c r="D292" s="51"/>
      <c r="E292" s="59"/>
      <c r="F292" s="29" t="str">
        <f t="shared" si="12"/>
        <v/>
      </c>
      <c r="G292" s="29" t="str">
        <f t="shared" si="13"/>
        <v/>
      </c>
    </row>
    <row r="293" spans="1:7" ht="17.25" customHeight="1" x14ac:dyDescent="0.2">
      <c r="A293" s="51"/>
      <c r="B293" s="51"/>
      <c r="C293" s="52"/>
      <c r="D293" s="51"/>
      <c r="E293" s="59"/>
      <c r="F293" s="29" t="str">
        <f t="shared" si="12"/>
        <v/>
      </c>
      <c r="G293" s="29" t="str">
        <f t="shared" si="13"/>
        <v/>
      </c>
    </row>
    <row r="294" spans="1:7" ht="17.25" customHeight="1" x14ac:dyDescent="0.2">
      <c r="A294" s="51"/>
      <c r="B294" s="51"/>
      <c r="C294" s="52"/>
      <c r="D294" s="51"/>
      <c r="E294" s="59"/>
      <c r="F294" s="29" t="str">
        <f t="shared" si="12"/>
        <v/>
      </c>
      <c r="G294" s="29" t="str">
        <f t="shared" si="13"/>
        <v/>
      </c>
    </row>
    <row r="295" spans="1:7" ht="17.25" customHeight="1" x14ac:dyDescent="0.2">
      <c r="A295" s="51"/>
      <c r="B295" s="51"/>
      <c r="C295" s="52"/>
      <c r="D295" s="51"/>
      <c r="E295" s="59"/>
      <c r="F295" s="29" t="str">
        <f t="shared" si="12"/>
        <v/>
      </c>
      <c r="G295" s="29" t="str">
        <f t="shared" si="13"/>
        <v/>
      </c>
    </row>
    <row r="296" spans="1:7" ht="17.25" customHeight="1" x14ac:dyDescent="0.2">
      <c r="A296" s="51"/>
      <c r="B296" s="51"/>
      <c r="C296" s="52"/>
      <c r="D296" s="51"/>
      <c r="E296" s="59"/>
      <c r="F296" s="29" t="str">
        <f t="shared" si="12"/>
        <v/>
      </c>
      <c r="G296" s="29" t="str">
        <f t="shared" si="13"/>
        <v/>
      </c>
    </row>
    <row r="297" spans="1:7" ht="17.25" customHeight="1" x14ac:dyDescent="0.2">
      <c r="A297" s="51"/>
      <c r="B297" s="51"/>
      <c r="C297" s="52"/>
      <c r="D297" s="51"/>
      <c r="E297" s="59"/>
      <c r="F297" s="29" t="str">
        <f t="shared" si="12"/>
        <v/>
      </c>
      <c r="G297" s="29" t="str">
        <f t="shared" si="13"/>
        <v/>
      </c>
    </row>
    <row r="298" spans="1:7" ht="17.25" customHeight="1" x14ac:dyDescent="0.2">
      <c r="A298" s="51"/>
      <c r="B298" s="51"/>
      <c r="C298" s="52"/>
      <c r="D298" s="51"/>
      <c r="E298" s="59"/>
      <c r="F298" s="29" t="str">
        <f t="shared" si="12"/>
        <v/>
      </c>
      <c r="G298" s="29" t="str">
        <f t="shared" si="13"/>
        <v/>
      </c>
    </row>
    <row r="299" spans="1:7" ht="17.25" customHeight="1" x14ac:dyDescent="0.2">
      <c r="A299" s="51"/>
      <c r="B299" s="51"/>
      <c r="C299" s="52"/>
      <c r="D299" s="51"/>
      <c r="E299" s="59"/>
      <c r="F299" s="29" t="str">
        <f t="shared" si="12"/>
        <v/>
      </c>
      <c r="G299" s="29" t="str">
        <f t="shared" si="13"/>
        <v/>
      </c>
    </row>
    <row r="300" spans="1:7" ht="17.25" customHeight="1" x14ac:dyDescent="0.2">
      <c r="A300" s="51"/>
      <c r="B300" s="51"/>
      <c r="C300" s="52"/>
      <c r="D300" s="51"/>
      <c r="E300" s="59"/>
      <c r="F300" s="29" t="str">
        <f t="shared" si="12"/>
        <v/>
      </c>
      <c r="G300" s="29" t="str">
        <f t="shared" si="13"/>
        <v/>
      </c>
    </row>
    <row r="301" spans="1:7" ht="17.25" customHeight="1" x14ac:dyDescent="0.2">
      <c r="A301" s="51"/>
      <c r="B301" s="51"/>
      <c r="C301" s="52"/>
      <c r="D301" s="51"/>
      <c r="E301" s="59"/>
      <c r="F301" s="29" t="str">
        <f t="shared" si="12"/>
        <v/>
      </c>
      <c r="G301" s="29" t="str">
        <f t="shared" si="13"/>
        <v/>
      </c>
    </row>
    <row r="302" spans="1:7" ht="17.25" customHeight="1" x14ac:dyDescent="0.2">
      <c r="A302" s="51"/>
      <c r="B302" s="51"/>
      <c r="C302" s="52"/>
      <c r="D302" s="51"/>
      <c r="E302" s="59"/>
      <c r="F302" s="29" t="str">
        <f t="shared" si="12"/>
        <v/>
      </c>
      <c r="G302" s="29" t="str">
        <f t="shared" si="13"/>
        <v/>
      </c>
    </row>
    <row r="303" spans="1:7" ht="17.25" customHeight="1" x14ac:dyDescent="0.2">
      <c r="A303" s="51"/>
      <c r="B303" s="51"/>
      <c r="C303" s="52"/>
      <c r="D303" s="51"/>
      <c r="E303" s="59"/>
      <c r="F303" s="29" t="str">
        <f t="shared" si="12"/>
        <v/>
      </c>
      <c r="G303" s="29" t="str">
        <f t="shared" si="13"/>
        <v/>
      </c>
    </row>
    <row r="304" spans="1:7" ht="17.25" customHeight="1" x14ac:dyDescent="0.2">
      <c r="A304" s="51"/>
      <c r="B304" s="51"/>
      <c r="C304" s="52"/>
      <c r="D304" s="51"/>
      <c r="E304" s="59"/>
      <c r="F304" s="29" t="str">
        <f t="shared" si="12"/>
        <v/>
      </c>
      <c r="G304" s="29" t="str">
        <f t="shared" si="13"/>
        <v/>
      </c>
    </row>
    <row r="305" spans="1:7" ht="17.25" customHeight="1" x14ac:dyDescent="0.2">
      <c r="A305" s="51"/>
      <c r="B305" s="51"/>
      <c r="C305" s="52"/>
      <c r="D305" s="51"/>
      <c r="E305" s="59"/>
      <c r="F305" s="29" t="str">
        <f t="shared" si="12"/>
        <v/>
      </c>
      <c r="G305" s="29" t="str">
        <f t="shared" si="13"/>
        <v/>
      </c>
    </row>
    <row r="306" spans="1:7" ht="17.25" customHeight="1" x14ac:dyDescent="0.2">
      <c r="A306" s="51"/>
      <c r="B306" s="51"/>
      <c r="C306" s="52"/>
      <c r="D306" s="51"/>
      <c r="E306" s="59"/>
      <c r="F306" s="29" t="str">
        <f t="shared" si="12"/>
        <v/>
      </c>
      <c r="G306" s="29" t="str">
        <f t="shared" si="13"/>
        <v/>
      </c>
    </row>
    <row r="307" spans="1:7" ht="17.25" customHeight="1" x14ac:dyDescent="0.2">
      <c r="A307" s="51"/>
      <c r="B307" s="51"/>
      <c r="C307" s="52"/>
      <c r="D307" s="51"/>
      <c r="E307" s="59"/>
      <c r="F307" s="29" t="str">
        <f t="shared" si="12"/>
        <v/>
      </c>
      <c r="G307" s="29" t="str">
        <f t="shared" si="13"/>
        <v/>
      </c>
    </row>
    <row r="308" spans="1:7" ht="17.25" customHeight="1" x14ac:dyDescent="0.2">
      <c r="A308" s="51"/>
      <c r="B308" s="51"/>
      <c r="C308" s="52"/>
      <c r="D308" s="51"/>
      <c r="E308" s="59"/>
      <c r="F308" s="29" t="str">
        <f t="shared" si="12"/>
        <v/>
      </c>
      <c r="G308" s="29" t="str">
        <f t="shared" si="13"/>
        <v/>
      </c>
    </row>
    <row r="309" spans="1:7" ht="17.25" customHeight="1" x14ac:dyDescent="0.2">
      <c r="A309" s="51"/>
      <c r="B309" s="51"/>
      <c r="C309" s="52"/>
      <c r="D309" s="51"/>
      <c r="E309" s="59"/>
      <c r="F309" s="29" t="str">
        <f t="shared" si="12"/>
        <v/>
      </c>
      <c r="G309" s="29" t="str">
        <f t="shared" si="13"/>
        <v/>
      </c>
    </row>
    <row r="310" spans="1:7" ht="17.25" customHeight="1" x14ac:dyDescent="0.2">
      <c r="A310" s="51"/>
      <c r="B310" s="51"/>
      <c r="C310" s="52"/>
      <c r="D310" s="51"/>
      <c r="E310" s="59"/>
      <c r="F310" s="29" t="str">
        <f t="shared" si="12"/>
        <v/>
      </c>
      <c r="G310" s="29" t="str">
        <f t="shared" si="13"/>
        <v/>
      </c>
    </row>
    <row r="311" spans="1:7" ht="17.25" customHeight="1" x14ac:dyDescent="0.2">
      <c r="A311" s="51"/>
      <c r="B311" s="51"/>
      <c r="C311" s="52"/>
      <c r="D311" s="51"/>
      <c r="E311" s="59"/>
      <c r="F311" s="29" t="str">
        <f t="shared" si="12"/>
        <v/>
      </c>
      <c r="G311" s="29" t="str">
        <f t="shared" si="13"/>
        <v/>
      </c>
    </row>
    <row r="312" spans="1:7" ht="17.25" customHeight="1" x14ac:dyDescent="0.2">
      <c r="A312" s="51"/>
      <c r="B312" s="51"/>
      <c r="C312" s="52"/>
      <c r="D312" s="51"/>
      <c r="E312" s="59"/>
      <c r="F312" s="29" t="str">
        <f t="shared" si="12"/>
        <v/>
      </c>
      <c r="G312" s="29" t="str">
        <f t="shared" si="13"/>
        <v/>
      </c>
    </row>
    <row r="313" spans="1:7" ht="17.25" customHeight="1" x14ac:dyDescent="0.2">
      <c r="A313" s="51"/>
      <c r="B313" s="51"/>
      <c r="C313" s="52"/>
      <c r="D313" s="51"/>
      <c r="E313" s="59"/>
      <c r="F313" s="29" t="str">
        <f t="shared" si="12"/>
        <v/>
      </c>
      <c r="G313" s="29" t="str">
        <f t="shared" si="13"/>
        <v/>
      </c>
    </row>
    <row r="314" spans="1:7" ht="17.25" customHeight="1" x14ac:dyDescent="0.2">
      <c r="A314" s="51"/>
      <c r="B314" s="51"/>
      <c r="C314" s="52"/>
      <c r="D314" s="51"/>
      <c r="E314" s="59"/>
      <c r="F314" s="29" t="str">
        <f t="shared" si="12"/>
        <v/>
      </c>
      <c r="G314" s="29" t="str">
        <f t="shared" si="13"/>
        <v/>
      </c>
    </row>
    <row r="315" spans="1:7" ht="17.25" customHeight="1" x14ac:dyDescent="0.2">
      <c r="A315" s="51"/>
      <c r="B315" s="51"/>
      <c r="C315" s="52"/>
      <c r="D315" s="51"/>
      <c r="E315" s="59"/>
      <c r="F315" s="29" t="str">
        <f t="shared" si="12"/>
        <v/>
      </c>
      <c r="G315" s="29" t="str">
        <f t="shared" si="13"/>
        <v/>
      </c>
    </row>
    <row r="316" spans="1:7" ht="17.25" customHeight="1" x14ac:dyDescent="0.2">
      <c r="A316" s="51"/>
      <c r="B316" s="51"/>
      <c r="C316" s="52"/>
      <c r="D316" s="51"/>
      <c r="E316" s="59"/>
      <c r="F316" s="29" t="str">
        <f t="shared" si="12"/>
        <v/>
      </c>
      <c r="G316" s="29" t="str">
        <f t="shared" si="13"/>
        <v/>
      </c>
    </row>
    <row r="317" spans="1:7" ht="17.25" customHeight="1" x14ac:dyDescent="0.2">
      <c r="A317" s="51"/>
      <c r="B317" s="51"/>
      <c r="C317" s="52"/>
      <c r="D317" s="51"/>
      <c r="E317" s="59"/>
      <c r="F317" s="29" t="str">
        <f t="shared" si="12"/>
        <v/>
      </c>
      <c r="G317" s="29" t="str">
        <f t="shared" si="13"/>
        <v/>
      </c>
    </row>
    <row r="318" spans="1:7" ht="17.25" customHeight="1" x14ac:dyDescent="0.2">
      <c r="A318" s="51"/>
      <c r="B318" s="51"/>
      <c r="C318" s="52"/>
      <c r="D318" s="51"/>
      <c r="E318" s="59"/>
      <c r="F318" s="29" t="str">
        <f t="shared" si="12"/>
        <v/>
      </c>
      <c r="G318" s="29" t="str">
        <f t="shared" si="13"/>
        <v/>
      </c>
    </row>
    <row r="319" spans="1:7" ht="17.25" customHeight="1" x14ac:dyDescent="0.2">
      <c r="A319" s="51"/>
      <c r="B319" s="51"/>
      <c r="C319" s="52"/>
      <c r="D319" s="51"/>
      <c r="E319" s="59"/>
      <c r="F319" s="29" t="str">
        <f t="shared" si="12"/>
        <v/>
      </c>
      <c r="G319" s="29" t="str">
        <f t="shared" si="13"/>
        <v/>
      </c>
    </row>
    <row r="320" spans="1:7" ht="17.25" customHeight="1" x14ac:dyDescent="0.2">
      <c r="A320" s="51"/>
      <c r="B320" s="51"/>
      <c r="C320" s="52"/>
      <c r="D320" s="51"/>
      <c r="E320" s="59"/>
      <c r="F320" s="29" t="str">
        <f t="shared" si="12"/>
        <v/>
      </c>
      <c r="G320" s="29" t="str">
        <f t="shared" si="13"/>
        <v/>
      </c>
    </row>
    <row r="321" spans="1:7" ht="17.25" customHeight="1" x14ac:dyDescent="0.2">
      <c r="A321" s="51"/>
      <c r="B321" s="51"/>
      <c r="C321" s="52"/>
      <c r="D321" s="51"/>
      <c r="E321" s="59"/>
      <c r="F321" s="29" t="str">
        <f t="shared" si="12"/>
        <v/>
      </c>
      <c r="G321" s="29" t="str">
        <f t="shared" si="13"/>
        <v/>
      </c>
    </row>
    <row r="322" spans="1:7" ht="17.25" customHeight="1" x14ac:dyDescent="0.2">
      <c r="A322" s="51"/>
      <c r="B322" s="51"/>
      <c r="C322" s="52"/>
      <c r="D322" s="51"/>
      <c r="E322" s="59"/>
      <c r="F322" s="29" t="str">
        <f t="shared" si="12"/>
        <v/>
      </c>
      <c r="G322" s="29" t="str">
        <f t="shared" si="13"/>
        <v/>
      </c>
    </row>
    <row r="323" spans="1:7" ht="17.25" customHeight="1" x14ac:dyDescent="0.2">
      <c r="A323" s="51"/>
      <c r="B323" s="51"/>
      <c r="C323" s="52"/>
      <c r="D323" s="51"/>
      <c r="E323" s="59"/>
      <c r="F323" s="29" t="str">
        <f t="shared" si="12"/>
        <v/>
      </c>
      <c r="G323" s="29" t="str">
        <f t="shared" si="13"/>
        <v/>
      </c>
    </row>
    <row r="324" spans="1:7" ht="17.25" customHeight="1" x14ac:dyDescent="0.2">
      <c r="A324" s="51"/>
      <c r="B324" s="51"/>
      <c r="C324" s="52"/>
      <c r="D324" s="51"/>
      <c r="E324" s="59"/>
      <c r="F324" s="29" t="str">
        <f t="shared" si="12"/>
        <v/>
      </c>
      <c r="G324" s="29" t="str">
        <f t="shared" si="13"/>
        <v/>
      </c>
    </row>
    <row r="325" spans="1:7" ht="17.25" customHeight="1" x14ac:dyDescent="0.2">
      <c r="A325" s="51"/>
      <c r="B325" s="51"/>
      <c r="C325" s="52"/>
      <c r="D325" s="51"/>
      <c r="E325" s="59"/>
      <c r="F325" s="29" t="str">
        <f t="shared" si="12"/>
        <v/>
      </c>
      <c r="G325" s="29" t="str">
        <f t="shared" si="13"/>
        <v/>
      </c>
    </row>
    <row r="326" spans="1:7" ht="17.25" customHeight="1" x14ac:dyDescent="0.2">
      <c r="A326" s="51"/>
      <c r="B326" s="51"/>
      <c r="C326" s="52"/>
      <c r="D326" s="51"/>
      <c r="E326" s="59"/>
      <c r="F326" s="29" t="str">
        <f t="shared" si="12"/>
        <v/>
      </c>
      <c r="G326" s="29" t="str">
        <f t="shared" si="13"/>
        <v/>
      </c>
    </row>
    <row r="327" spans="1:7" ht="17.25" customHeight="1" x14ac:dyDescent="0.2">
      <c r="A327" s="51"/>
      <c r="B327" s="51"/>
      <c r="C327" s="52"/>
      <c r="D327" s="51"/>
      <c r="E327" s="59"/>
      <c r="F327" s="29" t="str">
        <f t="shared" si="12"/>
        <v/>
      </c>
      <c r="G327" s="29" t="str">
        <f t="shared" si="13"/>
        <v/>
      </c>
    </row>
    <row r="328" spans="1:7" ht="17.25" customHeight="1" x14ac:dyDescent="0.2">
      <c r="A328" s="51"/>
      <c r="B328" s="51"/>
      <c r="C328" s="52"/>
      <c r="D328" s="51"/>
      <c r="E328" s="59"/>
      <c r="F328" s="29" t="str">
        <f t="shared" si="12"/>
        <v/>
      </c>
      <c r="G328" s="29" t="str">
        <f t="shared" si="13"/>
        <v/>
      </c>
    </row>
    <row r="329" spans="1:7" ht="17.25" customHeight="1" x14ac:dyDescent="0.2">
      <c r="A329" s="51"/>
      <c r="B329" s="51"/>
      <c r="C329" s="52"/>
      <c r="D329" s="51"/>
      <c r="E329" s="59"/>
      <c r="F329" s="29" t="str">
        <f t="shared" si="12"/>
        <v/>
      </c>
      <c r="G329" s="29" t="str">
        <f t="shared" si="13"/>
        <v/>
      </c>
    </row>
    <row r="330" spans="1:7" ht="17.25" customHeight="1" x14ac:dyDescent="0.2">
      <c r="A330" s="51"/>
      <c r="B330" s="51"/>
      <c r="C330" s="52"/>
      <c r="D330" s="51"/>
      <c r="E330" s="59"/>
      <c r="F330" s="29" t="str">
        <f t="shared" si="12"/>
        <v/>
      </c>
      <c r="G330" s="29" t="str">
        <f t="shared" si="13"/>
        <v/>
      </c>
    </row>
    <row r="331" spans="1:7" ht="17.25" customHeight="1" x14ac:dyDescent="0.2">
      <c r="A331" s="51"/>
      <c r="B331" s="51"/>
      <c r="C331" s="52"/>
      <c r="D331" s="51"/>
      <c r="E331" s="59"/>
      <c r="F331" s="29" t="str">
        <f t="shared" si="12"/>
        <v/>
      </c>
      <c r="G331" s="29" t="str">
        <f t="shared" si="13"/>
        <v/>
      </c>
    </row>
    <row r="332" spans="1:7" ht="17.25" customHeight="1" x14ac:dyDescent="0.2">
      <c r="A332" s="51"/>
      <c r="B332" s="51"/>
      <c r="C332" s="52"/>
      <c r="D332" s="51"/>
      <c r="E332" s="59"/>
      <c r="F332" s="29" t="str">
        <f t="shared" si="12"/>
        <v/>
      </c>
      <c r="G332" s="29" t="str">
        <f t="shared" si="13"/>
        <v/>
      </c>
    </row>
    <row r="333" spans="1:7" ht="17.25" customHeight="1" x14ac:dyDescent="0.2">
      <c r="A333" s="51"/>
      <c r="B333" s="51"/>
      <c r="C333" s="52"/>
      <c r="D333" s="51"/>
      <c r="E333" s="59"/>
      <c r="F333" s="29" t="str">
        <f t="shared" si="12"/>
        <v/>
      </c>
      <c r="G333" s="29" t="str">
        <f t="shared" si="13"/>
        <v/>
      </c>
    </row>
    <row r="334" spans="1:7" ht="17.25" customHeight="1" x14ac:dyDescent="0.2">
      <c r="A334" s="51"/>
      <c r="B334" s="51"/>
      <c r="C334" s="52"/>
      <c r="D334" s="51"/>
      <c r="E334" s="59"/>
      <c r="F334" s="29" t="str">
        <f t="shared" si="12"/>
        <v/>
      </c>
      <c r="G334" s="29" t="str">
        <f t="shared" si="13"/>
        <v/>
      </c>
    </row>
    <row r="335" spans="1:7" ht="17.25" customHeight="1" x14ac:dyDescent="0.2">
      <c r="A335" s="51"/>
      <c r="B335" s="51"/>
      <c r="C335" s="52"/>
      <c r="D335" s="51"/>
      <c r="E335" s="59"/>
      <c r="F335" s="29" t="str">
        <f t="shared" si="12"/>
        <v/>
      </c>
      <c r="G335" s="29" t="str">
        <f t="shared" si="13"/>
        <v/>
      </c>
    </row>
    <row r="336" spans="1:7" ht="17.25" customHeight="1" x14ac:dyDescent="0.2">
      <c r="A336" s="51"/>
      <c r="B336" s="51"/>
      <c r="C336" s="52"/>
      <c r="D336" s="51"/>
      <c r="E336" s="59"/>
      <c r="F336" s="29" t="str">
        <f t="shared" si="12"/>
        <v/>
      </c>
      <c r="G336" s="29" t="str">
        <f t="shared" si="13"/>
        <v/>
      </c>
    </row>
    <row r="337" spans="1:7" ht="17.25" customHeight="1" x14ac:dyDescent="0.2">
      <c r="A337" s="51"/>
      <c r="B337" s="51"/>
      <c r="C337" s="52"/>
      <c r="D337" s="51"/>
      <c r="E337" s="59"/>
      <c r="F337" s="29" t="str">
        <f t="shared" ref="F337:F400" si="14">IF(E337="","",F336-E337)</f>
        <v/>
      </c>
      <c r="G337" s="29" t="str">
        <f t="shared" ref="G337:G400" si="15">IF(E337="","",G336+E337)</f>
        <v/>
      </c>
    </row>
    <row r="338" spans="1:7" ht="17.25" customHeight="1" x14ac:dyDescent="0.2">
      <c r="A338" s="51"/>
      <c r="B338" s="51"/>
      <c r="C338" s="52"/>
      <c r="D338" s="51"/>
      <c r="E338" s="59"/>
      <c r="F338" s="29" t="str">
        <f t="shared" si="14"/>
        <v/>
      </c>
      <c r="G338" s="29" t="str">
        <f t="shared" si="15"/>
        <v/>
      </c>
    </row>
    <row r="339" spans="1:7" ht="17.25" customHeight="1" x14ac:dyDescent="0.2">
      <c r="A339" s="51"/>
      <c r="B339" s="51"/>
      <c r="C339" s="52"/>
      <c r="D339" s="51"/>
      <c r="E339" s="59"/>
      <c r="F339" s="29" t="str">
        <f t="shared" si="14"/>
        <v/>
      </c>
      <c r="G339" s="29" t="str">
        <f t="shared" si="15"/>
        <v/>
      </c>
    </row>
    <row r="340" spans="1:7" ht="17.25" customHeight="1" x14ac:dyDescent="0.2">
      <c r="A340" s="51"/>
      <c r="B340" s="51"/>
      <c r="C340" s="52"/>
      <c r="D340" s="51"/>
      <c r="E340" s="59"/>
      <c r="F340" s="29" t="str">
        <f t="shared" si="14"/>
        <v/>
      </c>
      <c r="G340" s="29" t="str">
        <f t="shared" si="15"/>
        <v/>
      </c>
    </row>
    <row r="341" spans="1:7" ht="17.25" customHeight="1" x14ac:dyDescent="0.2">
      <c r="A341" s="51"/>
      <c r="B341" s="51"/>
      <c r="C341" s="52"/>
      <c r="D341" s="51"/>
      <c r="E341" s="59"/>
      <c r="F341" s="29" t="str">
        <f t="shared" si="14"/>
        <v/>
      </c>
      <c r="G341" s="29" t="str">
        <f t="shared" si="15"/>
        <v/>
      </c>
    </row>
    <row r="342" spans="1:7" ht="17.25" customHeight="1" x14ac:dyDescent="0.2">
      <c r="A342" s="51"/>
      <c r="B342" s="51"/>
      <c r="C342" s="52"/>
      <c r="D342" s="51"/>
      <c r="E342" s="59"/>
      <c r="F342" s="29" t="str">
        <f t="shared" si="14"/>
        <v/>
      </c>
      <c r="G342" s="29" t="str">
        <f t="shared" si="15"/>
        <v/>
      </c>
    </row>
    <row r="343" spans="1:7" ht="17.25" customHeight="1" x14ac:dyDescent="0.2">
      <c r="A343" s="51"/>
      <c r="B343" s="51"/>
      <c r="C343" s="52"/>
      <c r="D343" s="51"/>
      <c r="E343" s="59"/>
      <c r="F343" s="29" t="str">
        <f t="shared" si="14"/>
        <v/>
      </c>
      <c r="G343" s="29" t="str">
        <f t="shared" si="15"/>
        <v/>
      </c>
    </row>
    <row r="344" spans="1:7" ht="17.25" customHeight="1" x14ac:dyDescent="0.2">
      <c r="A344" s="51"/>
      <c r="B344" s="51"/>
      <c r="C344" s="52"/>
      <c r="D344" s="51"/>
      <c r="E344" s="59"/>
      <c r="F344" s="29" t="str">
        <f t="shared" si="14"/>
        <v/>
      </c>
      <c r="G344" s="29" t="str">
        <f t="shared" si="15"/>
        <v/>
      </c>
    </row>
    <row r="345" spans="1:7" ht="17.25" customHeight="1" x14ac:dyDescent="0.2">
      <c r="A345" s="51"/>
      <c r="B345" s="51"/>
      <c r="C345" s="52"/>
      <c r="D345" s="51"/>
      <c r="E345" s="59"/>
      <c r="F345" s="29" t="str">
        <f t="shared" si="14"/>
        <v/>
      </c>
      <c r="G345" s="29" t="str">
        <f t="shared" si="15"/>
        <v/>
      </c>
    </row>
    <row r="346" spans="1:7" ht="17.25" customHeight="1" x14ac:dyDescent="0.2">
      <c r="A346" s="51"/>
      <c r="B346" s="51"/>
      <c r="C346" s="52"/>
      <c r="D346" s="51"/>
      <c r="E346" s="59"/>
      <c r="F346" s="29" t="str">
        <f t="shared" si="14"/>
        <v/>
      </c>
      <c r="G346" s="29" t="str">
        <f t="shared" si="15"/>
        <v/>
      </c>
    </row>
    <row r="347" spans="1:7" ht="17.25" customHeight="1" x14ac:dyDescent="0.2">
      <c r="A347" s="51"/>
      <c r="B347" s="51"/>
      <c r="C347" s="52"/>
      <c r="D347" s="51"/>
      <c r="E347" s="59"/>
      <c r="F347" s="29" t="str">
        <f t="shared" si="14"/>
        <v/>
      </c>
      <c r="G347" s="29" t="str">
        <f t="shared" si="15"/>
        <v/>
      </c>
    </row>
    <row r="348" spans="1:7" ht="17.25" customHeight="1" x14ac:dyDescent="0.2">
      <c r="A348" s="51"/>
      <c r="B348" s="51"/>
      <c r="C348" s="52"/>
      <c r="D348" s="51"/>
      <c r="E348" s="59"/>
      <c r="F348" s="29" t="str">
        <f t="shared" si="14"/>
        <v/>
      </c>
      <c r="G348" s="29" t="str">
        <f t="shared" si="15"/>
        <v/>
      </c>
    </row>
    <row r="349" spans="1:7" ht="17.25" customHeight="1" x14ac:dyDescent="0.2">
      <c r="A349" s="51"/>
      <c r="B349" s="51"/>
      <c r="C349" s="52"/>
      <c r="D349" s="51"/>
      <c r="E349" s="59"/>
      <c r="F349" s="29" t="str">
        <f t="shared" si="14"/>
        <v/>
      </c>
      <c r="G349" s="29" t="str">
        <f t="shared" si="15"/>
        <v/>
      </c>
    </row>
    <row r="350" spans="1:7" ht="17.25" customHeight="1" x14ac:dyDescent="0.2">
      <c r="A350" s="51"/>
      <c r="B350" s="51"/>
      <c r="C350" s="52"/>
      <c r="D350" s="51"/>
      <c r="E350" s="59"/>
      <c r="F350" s="29" t="str">
        <f t="shared" si="14"/>
        <v/>
      </c>
      <c r="G350" s="29" t="str">
        <f t="shared" si="15"/>
        <v/>
      </c>
    </row>
    <row r="351" spans="1:7" ht="17.25" customHeight="1" x14ac:dyDescent="0.2">
      <c r="A351" s="51"/>
      <c r="B351" s="51"/>
      <c r="C351" s="52"/>
      <c r="D351" s="51"/>
      <c r="E351" s="59"/>
      <c r="F351" s="29" t="str">
        <f t="shared" si="14"/>
        <v/>
      </c>
      <c r="G351" s="29" t="str">
        <f t="shared" si="15"/>
        <v/>
      </c>
    </row>
    <row r="352" spans="1:7" ht="17.25" customHeight="1" x14ac:dyDescent="0.2">
      <c r="A352" s="51"/>
      <c r="B352" s="51"/>
      <c r="C352" s="52"/>
      <c r="D352" s="51"/>
      <c r="E352" s="59"/>
      <c r="F352" s="29" t="str">
        <f t="shared" si="14"/>
        <v/>
      </c>
      <c r="G352" s="29" t="str">
        <f t="shared" si="15"/>
        <v/>
      </c>
    </row>
    <row r="353" spans="1:7" ht="17.25" customHeight="1" x14ac:dyDescent="0.2">
      <c r="A353" s="51"/>
      <c r="B353" s="51"/>
      <c r="C353" s="52"/>
      <c r="D353" s="51"/>
      <c r="E353" s="59"/>
      <c r="F353" s="29" t="str">
        <f t="shared" si="14"/>
        <v/>
      </c>
      <c r="G353" s="29" t="str">
        <f t="shared" si="15"/>
        <v/>
      </c>
    </row>
    <row r="354" spans="1:7" ht="17.25" customHeight="1" x14ac:dyDescent="0.2">
      <c r="A354" s="51"/>
      <c r="B354" s="51"/>
      <c r="C354" s="52"/>
      <c r="D354" s="51"/>
      <c r="E354" s="59"/>
      <c r="F354" s="29" t="str">
        <f t="shared" si="14"/>
        <v/>
      </c>
      <c r="G354" s="29" t="str">
        <f t="shared" si="15"/>
        <v/>
      </c>
    </row>
    <row r="355" spans="1:7" ht="17.25" customHeight="1" x14ac:dyDescent="0.2">
      <c r="A355" s="51"/>
      <c r="B355" s="51"/>
      <c r="C355" s="52"/>
      <c r="D355" s="51"/>
      <c r="E355" s="59"/>
      <c r="F355" s="29" t="str">
        <f t="shared" si="14"/>
        <v/>
      </c>
      <c r="G355" s="29" t="str">
        <f t="shared" si="15"/>
        <v/>
      </c>
    </row>
    <row r="356" spans="1:7" ht="17.25" customHeight="1" x14ac:dyDescent="0.2">
      <c r="A356" s="51"/>
      <c r="B356" s="51"/>
      <c r="C356" s="52"/>
      <c r="D356" s="51"/>
      <c r="E356" s="59"/>
      <c r="F356" s="29" t="str">
        <f t="shared" si="14"/>
        <v/>
      </c>
      <c r="G356" s="29" t="str">
        <f t="shared" si="15"/>
        <v/>
      </c>
    </row>
    <row r="357" spans="1:7" ht="17.25" customHeight="1" x14ac:dyDescent="0.2">
      <c r="A357" s="51"/>
      <c r="B357" s="51"/>
      <c r="C357" s="52"/>
      <c r="D357" s="51"/>
      <c r="E357" s="59"/>
      <c r="F357" s="29" t="str">
        <f t="shared" si="14"/>
        <v/>
      </c>
      <c r="G357" s="29" t="str">
        <f t="shared" si="15"/>
        <v/>
      </c>
    </row>
    <row r="358" spans="1:7" ht="17.25" customHeight="1" x14ac:dyDescent="0.2">
      <c r="A358" s="51"/>
      <c r="B358" s="51"/>
      <c r="C358" s="52"/>
      <c r="D358" s="51"/>
      <c r="E358" s="59"/>
      <c r="F358" s="29" t="str">
        <f t="shared" si="14"/>
        <v/>
      </c>
      <c r="G358" s="29" t="str">
        <f t="shared" si="15"/>
        <v/>
      </c>
    </row>
    <row r="359" spans="1:7" ht="17.25" customHeight="1" x14ac:dyDescent="0.2">
      <c r="A359" s="51"/>
      <c r="B359" s="51"/>
      <c r="C359" s="52"/>
      <c r="D359" s="51"/>
      <c r="E359" s="59"/>
      <c r="F359" s="29" t="str">
        <f t="shared" si="14"/>
        <v/>
      </c>
      <c r="G359" s="29" t="str">
        <f t="shared" si="15"/>
        <v/>
      </c>
    </row>
    <row r="360" spans="1:7" ht="17.25" customHeight="1" x14ac:dyDescent="0.2">
      <c r="A360" s="51"/>
      <c r="B360" s="51"/>
      <c r="C360" s="52"/>
      <c r="D360" s="51"/>
      <c r="E360" s="59"/>
      <c r="F360" s="29" t="str">
        <f t="shared" si="14"/>
        <v/>
      </c>
      <c r="G360" s="29" t="str">
        <f t="shared" si="15"/>
        <v/>
      </c>
    </row>
    <row r="361" spans="1:7" ht="17.25" customHeight="1" x14ac:dyDescent="0.2">
      <c r="A361" s="51"/>
      <c r="B361" s="51"/>
      <c r="C361" s="52"/>
      <c r="D361" s="51"/>
      <c r="E361" s="59"/>
      <c r="F361" s="29" t="str">
        <f t="shared" si="14"/>
        <v/>
      </c>
      <c r="G361" s="29" t="str">
        <f t="shared" si="15"/>
        <v/>
      </c>
    </row>
    <row r="362" spans="1:7" ht="17.25" customHeight="1" x14ac:dyDescent="0.2">
      <c r="A362" s="51"/>
      <c r="B362" s="51"/>
      <c r="C362" s="52"/>
      <c r="D362" s="51"/>
      <c r="E362" s="59"/>
      <c r="F362" s="29" t="str">
        <f t="shared" si="14"/>
        <v/>
      </c>
      <c r="G362" s="29" t="str">
        <f t="shared" si="15"/>
        <v/>
      </c>
    </row>
    <row r="363" spans="1:7" ht="17.25" customHeight="1" x14ac:dyDescent="0.2">
      <c r="A363" s="51"/>
      <c r="B363" s="51"/>
      <c r="C363" s="52"/>
      <c r="D363" s="51"/>
      <c r="E363" s="59"/>
      <c r="F363" s="29" t="str">
        <f t="shared" si="14"/>
        <v/>
      </c>
      <c r="G363" s="29" t="str">
        <f t="shared" si="15"/>
        <v/>
      </c>
    </row>
    <row r="364" spans="1:7" ht="17.25" customHeight="1" x14ac:dyDescent="0.2">
      <c r="A364" s="51"/>
      <c r="B364" s="51"/>
      <c r="C364" s="52"/>
      <c r="D364" s="51"/>
      <c r="E364" s="59"/>
      <c r="F364" s="29" t="str">
        <f t="shared" si="14"/>
        <v/>
      </c>
      <c r="G364" s="29" t="str">
        <f t="shared" si="15"/>
        <v/>
      </c>
    </row>
    <row r="365" spans="1:7" ht="17.25" customHeight="1" x14ac:dyDescent="0.2">
      <c r="A365" s="51"/>
      <c r="B365" s="51"/>
      <c r="C365" s="52"/>
      <c r="D365" s="51"/>
      <c r="E365" s="59"/>
      <c r="F365" s="29" t="str">
        <f t="shared" si="14"/>
        <v/>
      </c>
      <c r="G365" s="29" t="str">
        <f t="shared" si="15"/>
        <v/>
      </c>
    </row>
    <row r="366" spans="1:7" ht="17.25" customHeight="1" x14ac:dyDescent="0.2">
      <c r="A366" s="51"/>
      <c r="B366" s="51"/>
      <c r="C366" s="52"/>
      <c r="D366" s="51"/>
      <c r="E366" s="59"/>
      <c r="F366" s="29" t="str">
        <f t="shared" si="14"/>
        <v/>
      </c>
      <c r="G366" s="29" t="str">
        <f t="shared" si="15"/>
        <v/>
      </c>
    </row>
    <row r="367" spans="1:7" ht="17.25" customHeight="1" x14ac:dyDescent="0.2">
      <c r="A367" s="51"/>
      <c r="B367" s="51"/>
      <c r="C367" s="52"/>
      <c r="D367" s="51"/>
      <c r="E367" s="59"/>
      <c r="F367" s="29" t="str">
        <f t="shared" si="14"/>
        <v/>
      </c>
      <c r="G367" s="29" t="str">
        <f t="shared" si="15"/>
        <v/>
      </c>
    </row>
    <row r="368" spans="1:7" ht="17.25" customHeight="1" x14ac:dyDescent="0.2">
      <c r="A368" s="51"/>
      <c r="B368" s="51"/>
      <c r="C368" s="52"/>
      <c r="D368" s="51"/>
      <c r="E368" s="59"/>
      <c r="F368" s="29" t="str">
        <f t="shared" si="14"/>
        <v/>
      </c>
      <c r="G368" s="29" t="str">
        <f t="shared" si="15"/>
        <v/>
      </c>
    </row>
    <row r="369" spans="1:7" ht="17.25" customHeight="1" x14ac:dyDescent="0.2">
      <c r="A369" s="51"/>
      <c r="B369" s="51"/>
      <c r="C369" s="52"/>
      <c r="D369" s="51"/>
      <c r="E369" s="59"/>
      <c r="F369" s="29" t="str">
        <f t="shared" si="14"/>
        <v/>
      </c>
      <c r="G369" s="29" t="str">
        <f t="shared" si="15"/>
        <v/>
      </c>
    </row>
    <row r="370" spans="1:7" ht="17.25" customHeight="1" x14ac:dyDescent="0.2">
      <c r="A370" s="51"/>
      <c r="B370" s="51"/>
      <c r="C370" s="52"/>
      <c r="D370" s="51"/>
      <c r="E370" s="59"/>
      <c r="F370" s="29" t="str">
        <f t="shared" si="14"/>
        <v/>
      </c>
      <c r="G370" s="29" t="str">
        <f t="shared" si="15"/>
        <v/>
      </c>
    </row>
    <row r="371" spans="1:7" ht="17.25" customHeight="1" x14ac:dyDescent="0.2">
      <c r="A371" s="51"/>
      <c r="B371" s="51"/>
      <c r="C371" s="52"/>
      <c r="D371" s="51"/>
      <c r="E371" s="59"/>
      <c r="F371" s="29" t="str">
        <f t="shared" si="14"/>
        <v/>
      </c>
      <c r="G371" s="29" t="str">
        <f t="shared" si="15"/>
        <v/>
      </c>
    </row>
    <row r="372" spans="1:7" ht="17.25" customHeight="1" x14ac:dyDescent="0.2">
      <c r="A372" s="51"/>
      <c r="B372" s="51"/>
      <c r="C372" s="52"/>
      <c r="D372" s="51"/>
      <c r="E372" s="59"/>
      <c r="F372" s="29" t="str">
        <f t="shared" si="14"/>
        <v/>
      </c>
      <c r="G372" s="29" t="str">
        <f t="shared" si="15"/>
        <v/>
      </c>
    </row>
    <row r="373" spans="1:7" ht="17.25" customHeight="1" x14ac:dyDescent="0.2">
      <c r="A373" s="51"/>
      <c r="B373" s="51"/>
      <c r="C373" s="52"/>
      <c r="D373" s="51"/>
      <c r="E373" s="59"/>
      <c r="F373" s="29" t="str">
        <f t="shared" si="14"/>
        <v/>
      </c>
      <c r="G373" s="29" t="str">
        <f t="shared" si="15"/>
        <v/>
      </c>
    </row>
    <row r="374" spans="1:7" ht="17.25" customHeight="1" x14ac:dyDescent="0.2">
      <c r="A374" s="51"/>
      <c r="B374" s="51"/>
      <c r="C374" s="52"/>
      <c r="D374" s="51"/>
      <c r="E374" s="59"/>
      <c r="F374" s="29" t="str">
        <f t="shared" si="14"/>
        <v/>
      </c>
      <c r="G374" s="29" t="str">
        <f t="shared" si="15"/>
        <v/>
      </c>
    </row>
    <row r="375" spans="1:7" ht="17.25" customHeight="1" x14ac:dyDescent="0.2">
      <c r="A375" s="51"/>
      <c r="B375" s="51"/>
      <c r="C375" s="52"/>
      <c r="D375" s="51"/>
      <c r="E375" s="59"/>
      <c r="F375" s="29" t="str">
        <f t="shared" si="14"/>
        <v/>
      </c>
      <c r="G375" s="29" t="str">
        <f t="shared" si="15"/>
        <v/>
      </c>
    </row>
    <row r="376" spans="1:7" ht="17.25" customHeight="1" x14ac:dyDescent="0.2">
      <c r="A376" s="51"/>
      <c r="B376" s="51"/>
      <c r="C376" s="52"/>
      <c r="D376" s="51"/>
      <c r="E376" s="59"/>
      <c r="F376" s="29" t="str">
        <f t="shared" si="14"/>
        <v/>
      </c>
      <c r="G376" s="29" t="str">
        <f t="shared" si="15"/>
        <v/>
      </c>
    </row>
    <row r="377" spans="1:7" ht="17.25" customHeight="1" x14ac:dyDescent="0.2">
      <c r="A377" s="51"/>
      <c r="B377" s="51"/>
      <c r="C377" s="52"/>
      <c r="D377" s="51"/>
      <c r="E377" s="59"/>
      <c r="F377" s="29" t="str">
        <f t="shared" si="14"/>
        <v/>
      </c>
      <c r="G377" s="29" t="str">
        <f t="shared" si="15"/>
        <v/>
      </c>
    </row>
    <row r="378" spans="1:7" ht="17.25" customHeight="1" x14ac:dyDescent="0.2">
      <c r="A378" s="51"/>
      <c r="B378" s="51"/>
      <c r="C378" s="52"/>
      <c r="D378" s="51"/>
      <c r="E378" s="59"/>
      <c r="F378" s="29" t="str">
        <f t="shared" si="14"/>
        <v/>
      </c>
      <c r="G378" s="29" t="str">
        <f t="shared" si="15"/>
        <v/>
      </c>
    </row>
    <row r="379" spans="1:7" ht="17.25" customHeight="1" x14ac:dyDescent="0.2">
      <c r="A379" s="51"/>
      <c r="B379" s="51"/>
      <c r="C379" s="52"/>
      <c r="D379" s="51"/>
      <c r="E379" s="59"/>
      <c r="F379" s="29" t="str">
        <f t="shared" si="14"/>
        <v/>
      </c>
      <c r="G379" s="29" t="str">
        <f t="shared" si="15"/>
        <v/>
      </c>
    </row>
    <row r="380" spans="1:7" ht="17.25" customHeight="1" x14ac:dyDescent="0.2">
      <c r="A380" s="51"/>
      <c r="B380" s="51"/>
      <c r="C380" s="52"/>
      <c r="D380" s="51"/>
      <c r="E380" s="59"/>
      <c r="F380" s="29" t="str">
        <f t="shared" si="14"/>
        <v/>
      </c>
      <c r="G380" s="29" t="str">
        <f t="shared" si="15"/>
        <v/>
      </c>
    </row>
    <row r="381" spans="1:7" ht="17.25" customHeight="1" x14ac:dyDescent="0.2">
      <c r="A381" s="51"/>
      <c r="B381" s="51"/>
      <c r="C381" s="52"/>
      <c r="D381" s="51"/>
      <c r="E381" s="59"/>
      <c r="F381" s="29" t="str">
        <f t="shared" si="14"/>
        <v/>
      </c>
      <c r="G381" s="29" t="str">
        <f t="shared" si="15"/>
        <v/>
      </c>
    </row>
    <row r="382" spans="1:7" ht="17.25" customHeight="1" x14ac:dyDescent="0.2">
      <c r="A382" s="51"/>
      <c r="B382" s="51"/>
      <c r="C382" s="52"/>
      <c r="D382" s="51"/>
      <c r="E382" s="59"/>
      <c r="F382" s="29" t="str">
        <f t="shared" si="14"/>
        <v/>
      </c>
      <c r="G382" s="29" t="str">
        <f t="shared" si="15"/>
        <v/>
      </c>
    </row>
    <row r="383" spans="1:7" ht="17.25" customHeight="1" x14ac:dyDescent="0.2">
      <c r="A383" s="51"/>
      <c r="B383" s="51"/>
      <c r="C383" s="52"/>
      <c r="D383" s="51"/>
      <c r="E383" s="59"/>
      <c r="F383" s="29" t="str">
        <f t="shared" si="14"/>
        <v/>
      </c>
      <c r="G383" s="29" t="str">
        <f t="shared" si="15"/>
        <v/>
      </c>
    </row>
    <row r="384" spans="1:7" ht="17.25" customHeight="1" x14ac:dyDescent="0.2">
      <c r="A384" s="51"/>
      <c r="B384" s="51"/>
      <c r="C384" s="52"/>
      <c r="D384" s="51"/>
      <c r="E384" s="59"/>
      <c r="F384" s="29" t="str">
        <f t="shared" si="14"/>
        <v/>
      </c>
      <c r="G384" s="29" t="str">
        <f t="shared" si="15"/>
        <v/>
      </c>
    </row>
    <row r="385" spans="1:7" ht="17.25" customHeight="1" x14ac:dyDescent="0.2">
      <c r="A385" s="51"/>
      <c r="B385" s="51"/>
      <c r="C385" s="52"/>
      <c r="D385" s="51"/>
      <c r="E385" s="59"/>
      <c r="F385" s="29" t="str">
        <f t="shared" si="14"/>
        <v/>
      </c>
      <c r="G385" s="29" t="str">
        <f t="shared" si="15"/>
        <v/>
      </c>
    </row>
    <row r="386" spans="1:7" ht="17.25" customHeight="1" x14ac:dyDescent="0.2">
      <c r="A386" s="51"/>
      <c r="B386" s="51"/>
      <c r="C386" s="52"/>
      <c r="D386" s="51"/>
      <c r="E386" s="59"/>
      <c r="F386" s="29" t="str">
        <f t="shared" si="14"/>
        <v/>
      </c>
      <c r="G386" s="29" t="str">
        <f t="shared" si="15"/>
        <v/>
      </c>
    </row>
    <row r="387" spans="1:7" ht="17.25" customHeight="1" x14ac:dyDescent="0.2">
      <c r="A387" s="51"/>
      <c r="B387" s="51"/>
      <c r="C387" s="52"/>
      <c r="D387" s="51"/>
      <c r="E387" s="59"/>
      <c r="F387" s="29" t="str">
        <f t="shared" si="14"/>
        <v/>
      </c>
      <c r="G387" s="29" t="str">
        <f t="shared" si="15"/>
        <v/>
      </c>
    </row>
    <row r="388" spans="1:7" ht="17.25" customHeight="1" x14ac:dyDescent="0.2">
      <c r="A388" s="51"/>
      <c r="B388" s="51"/>
      <c r="C388" s="52"/>
      <c r="D388" s="51"/>
      <c r="E388" s="59"/>
      <c r="F388" s="29" t="str">
        <f t="shared" si="14"/>
        <v/>
      </c>
      <c r="G388" s="29" t="str">
        <f t="shared" si="15"/>
        <v/>
      </c>
    </row>
    <row r="389" spans="1:7" ht="17.25" customHeight="1" x14ac:dyDescent="0.2">
      <c r="A389" s="51"/>
      <c r="B389" s="51"/>
      <c r="C389" s="52"/>
      <c r="D389" s="51"/>
      <c r="E389" s="59"/>
      <c r="F389" s="29" t="str">
        <f t="shared" si="14"/>
        <v/>
      </c>
      <c r="G389" s="29" t="str">
        <f t="shared" si="15"/>
        <v/>
      </c>
    </row>
    <row r="390" spans="1:7" ht="17.25" customHeight="1" x14ac:dyDescent="0.2">
      <c r="A390" s="51"/>
      <c r="B390" s="51"/>
      <c r="C390" s="52"/>
      <c r="D390" s="51"/>
      <c r="E390" s="59"/>
      <c r="F390" s="29" t="str">
        <f t="shared" si="14"/>
        <v/>
      </c>
      <c r="G390" s="29" t="str">
        <f t="shared" si="15"/>
        <v/>
      </c>
    </row>
    <row r="391" spans="1:7" ht="17.25" customHeight="1" x14ac:dyDescent="0.2">
      <c r="A391" s="51"/>
      <c r="B391" s="51"/>
      <c r="C391" s="52"/>
      <c r="D391" s="51"/>
      <c r="E391" s="59"/>
      <c r="F391" s="29" t="str">
        <f t="shared" si="14"/>
        <v/>
      </c>
      <c r="G391" s="29" t="str">
        <f t="shared" si="15"/>
        <v/>
      </c>
    </row>
    <row r="392" spans="1:7" ht="17.25" customHeight="1" x14ac:dyDescent="0.2">
      <c r="A392" s="51"/>
      <c r="B392" s="51"/>
      <c r="C392" s="52"/>
      <c r="D392" s="51"/>
      <c r="E392" s="59"/>
      <c r="F392" s="29" t="str">
        <f t="shared" si="14"/>
        <v/>
      </c>
      <c r="G392" s="29" t="str">
        <f t="shared" si="15"/>
        <v/>
      </c>
    </row>
    <row r="393" spans="1:7" ht="17.25" customHeight="1" x14ac:dyDescent="0.2">
      <c r="A393" s="51"/>
      <c r="B393" s="51"/>
      <c r="C393" s="52"/>
      <c r="D393" s="51"/>
      <c r="E393" s="59"/>
      <c r="F393" s="29" t="str">
        <f t="shared" si="14"/>
        <v/>
      </c>
      <c r="G393" s="29" t="str">
        <f t="shared" si="15"/>
        <v/>
      </c>
    </row>
    <row r="394" spans="1:7" ht="17.25" customHeight="1" x14ac:dyDescent="0.2">
      <c r="A394" s="51"/>
      <c r="B394" s="51"/>
      <c r="C394" s="52"/>
      <c r="D394" s="51"/>
      <c r="E394" s="59"/>
      <c r="F394" s="29" t="str">
        <f t="shared" si="14"/>
        <v/>
      </c>
      <c r="G394" s="29" t="str">
        <f t="shared" si="15"/>
        <v/>
      </c>
    </row>
    <row r="395" spans="1:7" ht="17.25" customHeight="1" x14ac:dyDescent="0.2">
      <c r="A395" s="51"/>
      <c r="B395" s="51"/>
      <c r="C395" s="52"/>
      <c r="D395" s="51"/>
      <c r="E395" s="59"/>
      <c r="F395" s="29" t="str">
        <f t="shared" si="14"/>
        <v/>
      </c>
      <c r="G395" s="29" t="str">
        <f t="shared" si="15"/>
        <v/>
      </c>
    </row>
    <row r="396" spans="1:7" ht="17.25" customHeight="1" x14ac:dyDescent="0.2">
      <c r="A396" s="51"/>
      <c r="B396" s="51"/>
      <c r="C396" s="52"/>
      <c r="D396" s="51"/>
      <c r="E396" s="59"/>
      <c r="F396" s="29" t="str">
        <f t="shared" si="14"/>
        <v/>
      </c>
      <c r="G396" s="29" t="str">
        <f t="shared" si="15"/>
        <v/>
      </c>
    </row>
    <row r="397" spans="1:7" ht="17.25" customHeight="1" x14ac:dyDescent="0.2">
      <c r="A397" s="51"/>
      <c r="B397" s="51"/>
      <c r="C397" s="52"/>
      <c r="D397" s="51"/>
      <c r="E397" s="59"/>
      <c r="F397" s="29" t="str">
        <f t="shared" si="14"/>
        <v/>
      </c>
      <c r="G397" s="29" t="str">
        <f t="shared" si="15"/>
        <v/>
      </c>
    </row>
    <row r="398" spans="1:7" ht="17.25" customHeight="1" x14ac:dyDescent="0.2">
      <c r="A398" s="51"/>
      <c r="B398" s="51"/>
      <c r="C398" s="52"/>
      <c r="D398" s="51"/>
      <c r="E398" s="59"/>
      <c r="F398" s="29" t="str">
        <f t="shared" si="14"/>
        <v/>
      </c>
      <c r="G398" s="29" t="str">
        <f t="shared" si="15"/>
        <v/>
      </c>
    </row>
    <row r="399" spans="1:7" ht="17.25" customHeight="1" x14ac:dyDescent="0.2">
      <c r="A399" s="51"/>
      <c r="B399" s="51"/>
      <c r="C399" s="52"/>
      <c r="D399" s="51"/>
      <c r="E399" s="59"/>
      <c r="F399" s="29" t="str">
        <f t="shared" si="14"/>
        <v/>
      </c>
      <c r="G399" s="29" t="str">
        <f t="shared" si="15"/>
        <v/>
      </c>
    </row>
    <row r="400" spans="1:7" ht="17.25" customHeight="1" x14ac:dyDescent="0.2">
      <c r="A400" s="51"/>
      <c r="B400" s="51"/>
      <c r="C400" s="52"/>
      <c r="D400" s="51"/>
      <c r="E400" s="59"/>
      <c r="F400" s="29" t="str">
        <f t="shared" si="14"/>
        <v/>
      </c>
      <c r="G400" s="29" t="str">
        <f t="shared" si="15"/>
        <v/>
      </c>
    </row>
  </sheetData>
  <mergeCells count="11">
    <mergeCell ref="D7:E7"/>
    <mergeCell ref="A1:G1"/>
    <mergeCell ref="A2:B2"/>
    <mergeCell ref="C2:E2"/>
    <mergeCell ref="A3:B3"/>
    <mergeCell ref="C3:E3"/>
    <mergeCell ref="A4:A7"/>
    <mergeCell ref="C4:D4"/>
    <mergeCell ref="F5:F6"/>
    <mergeCell ref="G5:G6"/>
    <mergeCell ref="B7:C7"/>
  </mergeCells>
  <conditionalFormatting sqref="F9:G400">
    <cfRule type="cellIs" dxfId="12" priority="13" stopIfTrue="1" operator="equal">
      <formula>0</formula>
    </cfRule>
  </conditionalFormatting>
  <conditionalFormatting sqref="D5">
    <cfRule type="expression" dxfId="11" priority="12">
      <formula>$E$5&gt;0</formula>
    </cfRule>
  </conditionalFormatting>
  <conditionalFormatting sqref="D6">
    <cfRule type="expression" dxfId="10" priority="11">
      <formula>$E$6&gt;0</formula>
    </cfRule>
  </conditionalFormatting>
  <conditionalFormatting sqref="B5">
    <cfRule type="expression" dxfId="9" priority="10">
      <formula>$C$5&gt;0</formula>
    </cfRule>
  </conditionalFormatting>
  <conditionalFormatting sqref="B6">
    <cfRule type="expression" dxfId="8" priority="9">
      <formula>$C$6&gt;0</formula>
    </cfRule>
  </conditionalFormatting>
  <conditionalFormatting sqref="F9:G400">
    <cfRule type="cellIs" dxfId="7" priority="8" stopIfTrue="1" operator="equal">
      <formula>0</formula>
    </cfRule>
  </conditionalFormatting>
  <conditionalFormatting sqref="D5">
    <cfRule type="expression" dxfId="6" priority="7">
      <formula>$E$5&gt;0</formula>
    </cfRule>
  </conditionalFormatting>
  <conditionalFormatting sqref="D6">
    <cfRule type="expression" dxfId="5" priority="6">
      <formula>$E$6&gt;0</formula>
    </cfRule>
  </conditionalFormatting>
  <conditionalFormatting sqref="B5">
    <cfRule type="expression" dxfId="4" priority="5">
      <formula>$C$5&gt;0</formula>
    </cfRule>
  </conditionalFormatting>
  <conditionalFormatting sqref="B6">
    <cfRule type="expression" dxfId="3" priority="4">
      <formula>$C$6&gt;0</formula>
    </cfRule>
  </conditionalFormatting>
  <conditionalFormatting sqref="F9:G40">
    <cfRule type="cellIs" dxfId="2" priority="3" stopIfTrue="1" operator="equal">
      <formula>0</formula>
    </cfRule>
  </conditionalFormatting>
  <conditionalFormatting sqref="F41:G45">
    <cfRule type="cellIs" dxfId="1" priority="2" stopIfTrue="1" operator="equal">
      <formula>0</formula>
    </cfRule>
  </conditionalFormatting>
  <conditionalFormatting sqref="F46:G79">
    <cfRule type="cellIs" dxfId="0" priority="1" stopIfTrue="1" operator="equal">
      <formula>0</formula>
    </cfRule>
  </conditionalFormatting>
  <pageMargins left="0.45" right="0.14000000000000001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B1:O28"/>
  <sheetViews>
    <sheetView showGridLines="0" workbookViewId="0">
      <selection activeCell="D2" sqref="D2"/>
    </sheetView>
  </sheetViews>
  <sheetFormatPr defaultRowHeight="55.5" customHeight="1" x14ac:dyDescent="0.2"/>
  <cols>
    <col min="1" max="1" width="2.140625" customWidth="1"/>
    <col min="2" max="2" width="4" style="103" customWidth="1"/>
    <col min="3" max="3" width="16.5703125" customWidth="1"/>
    <col min="4" max="4" width="17.85546875" customWidth="1"/>
    <col min="5" max="5" width="9.5703125" customWidth="1"/>
    <col min="6" max="6" width="18.7109375" customWidth="1"/>
    <col min="7" max="7" width="8.5703125" customWidth="1"/>
    <col min="8" max="8" width="8.28515625" customWidth="1"/>
    <col min="10" max="10" width="9.85546875" customWidth="1"/>
    <col min="11" max="12" width="8.85546875" customWidth="1"/>
    <col min="14" max="14" width="15.42578125" customWidth="1"/>
    <col min="15" max="15" width="18.28515625" customWidth="1"/>
  </cols>
  <sheetData>
    <row r="1" spans="2:15" ht="55.5" customHeight="1" x14ac:dyDescent="0.2">
      <c r="B1" s="102">
        <f>N2</f>
        <v>15</v>
      </c>
      <c r="C1" s="90" t="s">
        <v>193</v>
      </c>
      <c r="K1" s="309" t="s">
        <v>206</v>
      </c>
      <c r="L1" s="309"/>
      <c r="M1" s="100"/>
      <c r="N1" s="104" t="s">
        <v>218</v>
      </c>
      <c r="O1" s="99"/>
    </row>
    <row r="2" spans="2:15" ht="27" customHeight="1" x14ac:dyDescent="0.2">
      <c r="B2" s="102">
        <f>B1+1</f>
        <v>16</v>
      </c>
      <c r="C2" s="91" t="s">
        <v>192</v>
      </c>
      <c r="D2" s="95" t="str">
        <f>O3</f>
        <v>CMT-PK-0215-009</v>
      </c>
      <c r="E2" s="297" t="s">
        <v>199</v>
      </c>
      <c r="F2" s="297"/>
      <c r="G2" s="297"/>
      <c r="H2" s="297"/>
      <c r="I2" s="297"/>
      <c r="J2" s="297"/>
      <c r="K2" s="308">
        <v>67</v>
      </c>
      <c r="L2" s="308"/>
      <c r="N2" s="106">
        <v>15</v>
      </c>
    </row>
    <row r="3" spans="2:15" ht="18" customHeight="1" x14ac:dyDescent="0.25">
      <c r="C3" s="297" t="s">
        <v>205</v>
      </c>
      <c r="D3" s="297"/>
      <c r="E3" s="297"/>
      <c r="F3" s="297"/>
      <c r="G3" s="297"/>
      <c r="H3" s="297"/>
      <c r="I3" s="297"/>
      <c r="J3" s="297"/>
      <c r="K3" s="308"/>
      <c r="L3" s="308"/>
      <c r="N3" s="93" t="s">
        <v>194</v>
      </c>
      <c r="O3" s="93" t="str">
        <f>LOOKUP($K$2,'NORTH Wells'!A9:G400,'NORTH Wells'!B9:B400)</f>
        <v>CMT-PK-0215-009</v>
      </c>
    </row>
    <row r="4" spans="2:15" ht="18" customHeight="1" x14ac:dyDescent="0.2">
      <c r="C4" s="297" t="s">
        <v>198</v>
      </c>
      <c r="D4" s="297"/>
      <c r="E4" s="297"/>
      <c r="F4" s="297"/>
      <c r="G4" s="297"/>
      <c r="H4" s="299" t="str">
        <f>O4</f>
        <v>NASHPA-6</v>
      </c>
      <c r="I4" s="299"/>
      <c r="J4" s="299"/>
      <c r="K4" s="308"/>
      <c r="L4" s="308"/>
      <c r="N4" s="93" t="s">
        <v>195</v>
      </c>
      <c r="O4" s="93" t="str">
        <f>LOOKUP($K$2,'NORTH Wells'!A9:G400,'NORTH Wells'!D9:D400)</f>
        <v>NASHPA-6</v>
      </c>
    </row>
    <row r="5" spans="2:15" ht="31.5" customHeight="1" x14ac:dyDescent="0.2">
      <c r="B5" s="102">
        <f>B2+1</f>
        <v>17</v>
      </c>
      <c r="C5" s="298" t="s">
        <v>212</v>
      </c>
      <c r="D5" s="298"/>
      <c r="E5" s="298"/>
      <c r="F5" s="298"/>
      <c r="G5" s="298"/>
      <c r="H5" s="298"/>
      <c r="I5" s="298"/>
      <c r="J5" s="298"/>
      <c r="N5" s="93" t="s">
        <v>196</v>
      </c>
      <c r="O5" s="94">
        <f>LOOKUP($K$2,'NORTH Wells'!A9:G400,'NORTH Wells'!E9:E400)</f>
        <v>18466.13</v>
      </c>
    </row>
    <row r="6" spans="2:15" ht="26.25" customHeight="1" x14ac:dyDescent="0.55000000000000004">
      <c r="C6" s="96">
        <f>O5</f>
        <v>18466.13</v>
      </c>
      <c r="D6" s="301" t="str">
        <f>WordNum(C6)</f>
        <v>Eighteen thousand Four hundred and Sixty Six point One Three</v>
      </c>
      <c r="E6" s="302"/>
      <c r="F6" s="302"/>
      <c r="G6" s="302"/>
      <c r="H6" s="302"/>
      <c r="I6" s="302"/>
      <c r="J6" s="302"/>
      <c r="K6" s="306" t="s">
        <v>201</v>
      </c>
      <c r="L6" s="306"/>
      <c r="N6" s="93"/>
      <c r="O6" s="93"/>
    </row>
    <row r="7" spans="2:15" ht="31.5" customHeight="1" x14ac:dyDescent="0.2">
      <c r="B7" s="102">
        <f>B5+1</f>
        <v>18</v>
      </c>
      <c r="C7" s="91" t="s">
        <v>204</v>
      </c>
      <c r="K7" s="307"/>
      <c r="L7" s="307"/>
      <c r="N7" s="98"/>
      <c r="O7" s="98"/>
    </row>
    <row r="8" spans="2:15" ht="23.25" customHeight="1" x14ac:dyDescent="0.2">
      <c r="C8" s="92"/>
      <c r="D8" s="300" t="s">
        <v>200</v>
      </c>
      <c r="E8" s="300"/>
      <c r="F8" s="300"/>
      <c r="G8" s="300"/>
      <c r="H8" s="300"/>
      <c r="I8" s="300"/>
      <c r="J8" s="97">
        <f>IF(K8="","",K8)</f>
        <v>1</v>
      </c>
      <c r="K8" s="305">
        <v>1</v>
      </c>
      <c r="L8" s="305"/>
    </row>
    <row r="9" spans="2:15" ht="23.25" customHeight="1" x14ac:dyDescent="0.2">
      <c r="C9" s="92"/>
      <c r="D9" s="300" t="s">
        <v>211</v>
      </c>
      <c r="E9" s="300"/>
      <c r="F9" s="300"/>
      <c r="G9" s="300"/>
      <c r="H9" s="300"/>
      <c r="I9" s="300"/>
      <c r="J9" s="97" t="str">
        <f>IF(K9="","",K9)</f>
        <v>2 &amp; 3</v>
      </c>
      <c r="K9" s="305" t="s">
        <v>197</v>
      </c>
      <c r="L9" s="305"/>
    </row>
    <row r="10" spans="2:15" ht="23.25" customHeight="1" x14ac:dyDescent="0.2">
      <c r="C10" s="92"/>
      <c r="D10" s="300" t="s">
        <v>202</v>
      </c>
      <c r="E10" s="300"/>
      <c r="F10" s="300"/>
      <c r="G10" s="300"/>
      <c r="H10" s="300"/>
      <c r="I10" s="300"/>
      <c r="J10" s="97" t="str">
        <f>IF(K10="","",K10)</f>
        <v>4 &amp; 5</v>
      </c>
      <c r="K10" s="305" t="s">
        <v>225</v>
      </c>
      <c r="L10" s="305"/>
    </row>
    <row r="11" spans="2:15" ht="23.25" customHeight="1" x14ac:dyDescent="0.2">
      <c r="C11" s="92"/>
      <c r="D11" s="300" t="s">
        <v>203</v>
      </c>
      <c r="E11" s="300"/>
      <c r="F11" s="300"/>
      <c r="G11" s="300"/>
      <c r="H11" s="300"/>
      <c r="I11" s="300"/>
      <c r="J11" s="97" t="str">
        <f>IF(K11="","",K11)</f>
        <v/>
      </c>
      <c r="K11" s="305"/>
      <c r="L11" s="305"/>
    </row>
    <row r="12" spans="2:15" ht="28.5" customHeight="1" x14ac:dyDescent="0.2">
      <c r="B12" s="102">
        <f>B7+1</f>
        <v>19</v>
      </c>
      <c r="C12" s="297" t="s">
        <v>213</v>
      </c>
      <c r="D12" s="297"/>
      <c r="E12" s="297"/>
      <c r="F12" s="297"/>
      <c r="G12" s="297"/>
      <c r="H12" s="297"/>
      <c r="I12" s="297"/>
      <c r="J12" s="297"/>
      <c r="K12" s="91"/>
    </row>
    <row r="13" spans="2:15" ht="21.75" customHeight="1" x14ac:dyDescent="0.2"/>
    <row r="14" spans="2:15" ht="21.75" customHeight="1" x14ac:dyDescent="0.2"/>
    <row r="15" spans="2:15" ht="18" customHeight="1" x14ac:dyDescent="0.25">
      <c r="F15" s="303" t="s">
        <v>219</v>
      </c>
      <c r="G15" s="303"/>
      <c r="H15" s="303"/>
      <c r="I15" s="303"/>
      <c r="J15" s="303"/>
      <c r="K15" s="91"/>
    </row>
    <row r="16" spans="2:15" ht="18" customHeight="1" x14ac:dyDescent="0.2">
      <c r="F16" s="304" t="s">
        <v>222</v>
      </c>
      <c r="G16" s="304"/>
      <c r="H16" s="304"/>
      <c r="I16" s="304"/>
      <c r="J16" s="304"/>
      <c r="K16" s="91"/>
    </row>
    <row r="17" spans="2:11" ht="18" customHeight="1" x14ac:dyDescent="0.2">
      <c r="F17" s="295" t="s">
        <v>223</v>
      </c>
      <c r="G17" s="295"/>
      <c r="H17" s="295"/>
      <c r="I17" s="295"/>
      <c r="J17" s="295"/>
      <c r="K17" s="91"/>
    </row>
    <row r="18" spans="2:11" ht="18" customHeight="1" x14ac:dyDescent="0.2"/>
    <row r="19" spans="2:11" ht="27" customHeight="1" x14ac:dyDescent="0.25">
      <c r="B19" s="102">
        <f>B12+1</f>
        <v>20</v>
      </c>
      <c r="C19" s="296" t="s">
        <v>216</v>
      </c>
      <c r="D19" s="296"/>
    </row>
    <row r="20" spans="2:11" ht="27" customHeight="1" x14ac:dyDescent="0.2">
      <c r="C20" s="89"/>
    </row>
    <row r="21" spans="2:11" ht="27" customHeight="1" x14ac:dyDescent="0.2">
      <c r="C21" s="89"/>
    </row>
    <row r="22" spans="2:11" ht="27" customHeight="1" x14ac:dyDescent="0.2">
      <c r="C22" s="89"/>
    </row>
    <row r="23" spans="2:11" ht="27" customHeight="1" x14ac:dyDescent="0.25">
      <c r="B23" s="102">
        <f>B19+1</f>
        <v>21</v>
      </c>
      <c r="C23" s="296" t="s">
        <v>217</v>
      </c>
      <c r="D23" s="296"/>
    </row>
    <row r="24" spans="2:11" ht="27" customHeight="1" x14ac:dyDescent="0.2"/>
    <row r="25" spans="2:11" ht="27" customHeight="1" x14ac:dyDescent="0.2"/>
    <row r="26" spans="2:11" ht="27" customHeight="1" x14ac:dyDescent="0.25">
      <c r="B26" s="105">
        <f>B23+1</f>
        <v>22</v>
      </c>
      <c r="C26" s="296" t="s">
        <v>214</v>
      </c>
      <c r="D26" s="296"/>
    </row>
    <row r="27" spans="2:11" ht="27" customHeight="1" x14ac:dyDescent="0.2"/>
    <row r="28" spans="2:11" ht="27" customHeight="1" x14ac:dyDescent="0.2"/>
  </sheetData>
  <mergeCells count="24">
    <mergeCell ref="K11:L11"/>
    <mergeCell ref="K6:L7"/>
    <mergeCell ref="K2:L4"/>
    <mergeCell ref="K1:L1"/>
    <mergeCell ref="K8:L8"/>
    <mergeCell ref="K9:L9"/>
    <mergeCell ref="K10:L10"/>
    <mergeCell ref="D11:I11"/>
    <mergeCell ref="D6:J6"/>
    <mergeCell ref="F15:J15"/>
    <mergeCell ref="F16:J16"/>
    <mergeCell ref="D8:I8"/>
    <mergeCell ref="D9:I9"/>
    <mergeCell ref="D10:I10"/>
    <mergeCell ref="C5:J5"/>
    <mergeCell ref="C4:G4"/>
    <mergeCell ref="E2:J2"/>
    <mergeCell ref="C3:J3"/>
    <mergeCell ref="H4:J4"/>
    <mergeCell ref="F17:J17"/>
    <mergeCell ref="C19:D19"/>
    <mergeCell ref="C23:D23"/>
    <mergeCell ref="C26:D26"/>
    <mergeCell ref="C12:J12"/>
  </mergeCells>
  <pageMargins left="1.03" right="0.27" top="0.75" bottom="0.75" header="0.3" footer="0.3"/>
  <pageSetup scale="9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2 (6)</vt:lpstr>
      <vt:lpstr>2 (4)</vt:lpstr>
      <vt:lpstr> NORTH WELLS</vt:lpstr>
      <vt:lpstr>Sheet1</vt:lpstr>
      <vt:lpstr>COVERING LETTER NORTH</vt:lpstr>
      <vt:lpstr>NORTH Wells</vt:lpstr>
      <vt:lpstr>COVERING LETTER NORTH </vt:lpstr>
      <vt:lpstr>' NORTH WELLS'!Print_Area</vt:lpstr>
      <vt:lpstr>'COVERING LETTER NORTH'!Print_Area</vt:lpstr>
      <vt:lpstr>'COVERING LETTER NORTH '!Print_Area</vt:lpstr>
      <vt:lpstr>'NORTH Wells'!Print_Area</vt:lpstr>
      <vt:lpstr>' NORTH WELLS'!Print_Titles</vt:lpstr>
      <vt:lpstr>'NORTH Wells'!Print_Titles</vt:lpstr>
    </vt:vector>
  </TitlesOfParts>
  <Company>OGDCL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well-fazalrahim</dc:creator>
  <cp:lastModifiedBy>Fazal Rahim/Chief Mud Engineer/PetroServ/OGDCL</cp:lastModifiedBy>
  <cp:lastPrinted>2026-08-21T06:48:05Z</cp:lastPrinted>
  <dcterms:created xsi:type="dcterms:W3CDTF">2010-02-11T11:28:31Z</dcterms:created>
  <dcterms:modified xsi:type="dcterms:W3CDTF">2026-09-21T09:35:55Z</dcterms:modified>
</cp:coreProperties>
</file>