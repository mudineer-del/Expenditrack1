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expenditrack Project\Invoices\Cementation\"/>
    </mc:Choice>
  </mc:AlternateContent>
  <xr:revisionPtr revIDLastSave="0" documentId="8_{957FE64A-070C-46CA-8285-B95E82F3062D}" xr6:coauthVersionLast="47" xr6:coauthVersionMax="47" xr10:uidLastSave="{00000000-0000-0000-0000-000000000000}"/>
  <bookViews>
    <workbookView xWindow="2340" yWindow="2340" windowWidth="21600" windowHeight="11235" xr2:uid="{5EA530B2-1FC5-4592-92E0-A3F726D7D23D}"/>
  </bookViews>
  <sheets>
    <sheet name="SOUTH Wells" sheetId="1" r:id="rId1"/>
    <sheet name="Covering Letter South " sheetId="2" r:id="rId2"/>
    <sheet name="Print " sheetId="3" r:id="rId3"/>
  </sheets>
  <definedNames>
    <definedName name="_xlnm.Print_Area" localSheetId="2">'Print '!$A$1:$G$2200</definedName>
    <definedName name="_xlnm.Print_Titles" localSheetId="2">'Print 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9" i="1" l="1"/>
  <c r="A7" i="2" l="1"/>
  <c r="A8" i="2" s="1"/>
  <c r="A13" i="2" s="1"/>
  <c r="A21" i="2" s="1"/>
  <c r="A25" i="2" s="1"/>
  <c r="A28" i="2" s="1"/>
  <c r="A31" i="2" s="1"/>
  <c r="A1" i="2"/>
  <c r="A2" i="2" s="1"/>
  <c r="O66" i="1" l="1"/>
  <c r="N66" i="1"/>
  <c r="K66" i="1"/>
  <c r="O65" i="1"/>
  <c r="N65" i="1"/>
  <c r="I65" i="1"/>
  <c r="J65" i="1" s="1"/>
  <c r="K65" i="1" s="1"/>
  <c r="O64" i="1"/>
  <c r="N64" i="1"/>
  <c r="I64" i="1"/>
  <c r="J64" i="1" s="1"/>
  <c r="K64" i="1" s="1"/>
  <c r="O63" i="1"/>
  <c r="N63" i="1"/>
  <c r="J63" i="1"/>
  <c r="K63" i="1" s="1"/>
  <c r="I63" i="1"/>
  <c r="O62" i="1"/>
  <c r="N62" i="1"/>
  <c r="J62" i="1"/>
  <c r="K62" i="1" s="1"/>
  <c r="I62" i="1"/>
  <c r="O61" i="1"/>
  <c r="N61" i="1"/>
  <c r="K61" i="1"/>
  <c r="J61" i="1"/>
  <c r="I61" i="1"/>
  <c r="O60" i="1"/>
  <c r="N60" i="1"/>
  <c r="I60" i="1"/>
  <c r="J60" i="1" s="1"/>
  <c r="K60" i="1" s="1"/>
  <c r="O59" i="1"/>
  <c r="N59" i="1"/>
  <c r="I59" i="1"/>
  <c r="J59" i="1" s="1"/>
  <c r="K59" i="1" s="1"/>
  <c r="O58" i="1"/>
  <c r="N58" i="1"/>
  <c r="I58" i="1"/>
  <c r="J58" i="1" s="1"/>
  <c r="K58" i="1" s="1"/>
  <c r="O57" i="1"/>
  <c r="N57" i="1"/>
  <c r="I57" i="1"/>
  <c r="J57" i="1" s="1"/>
  <c r="K57" i="1" s="1"/>
  <c r="O56" i="1"/>
  <c r="N56" i="1"/>
  <c r="K56" i="1"/>
  <c r="J56" i="1"/>
  <c r="I56" i="1"/>
  <c r="O55" i="1"/>
  <c r="N55" i="1"/>
  <c r="I55" i="1"/>
  <c r="J55" i="1" s="1"/>
  <c r="K55" i="1" s="1"/>
  <c r="O54" i="1"/>
  <c r="N54" i="1"/>
  <c r="I54" i="1"/>
  <c r="J54" i="1" s="1"/>
  <c r="K54" i="1" s="1"/>
  <c r="O53" i="1"/>
  <c r="N53" i="1"/>
  <c r="I53" i="1"/>
  <c r="J53" i="1" s="1"/>
  <c r="K53" i="1" s="1"/>
  <c r="O52" i="1"/>
  <c r="N52" i="1"/>
  <c r="I52" i="1"/>
  <c r="J52" i="1" s="1"/>
  <c r="K52" i="1" s="1"/>
  <c r="O51" i="1"/>
  <c r="N51" i="1"/>
  <c r="J51" i="1"/>
  <c r="K51" i="1" s="1"/>
  <c r="I51" i="1"/>
  <c r="O50" i="1"/>
  <c r="N50" i="1"/>
  <c r="J50" i="1"/>
  <c r="K50" i="1" s="1"/>
  <c r="I50" i="1"/>
  <c r="O49" i="1"/>
  <c r="N49" i="1"/>
  <c r="K49" i="1"/>
  <c r="J49" i="1"/>
  <c r="I49" i="1"/>
  <c r="O48" i="1"/>
  <c r="N48" i="1"/>
  <c r="I48" i="1"/>
  <c r="J48" i="1" s="1"/>
  <c r="K48" i="1" s="1"/>
  <c r="O47" i="1"/>
  <c r="N47" i="1"/>
  <c r="I47" i="1"/>
  <c r="J47" i="1" s="1"/>
  <c r="K47" i="1" s="1"/>
  <c r="O46" i="1"/>
  <c r="N46" i="1"/>
  <c r="I46" i="1"/>
  <c r="J46" i="1" s="1"/>
  <c r="K46" i="1" s="1"/>
  <c r="O45" i="1"/>
  <c r="N45" i="1"/>
  <c r="I45" i="1"/>
  <c r="J45" i="1" s="1"/>
  <c r="K45" i="1" s="1"/>
  <c r="O44" i="1"/>
  <c r="N44" i="1"/>
  <c r="K44" i="1"/>
  <c r="J44" i="1"/>
  <c r="I44" i="1"/>
  <c r="O43" i="1"/>
  <c r="N43" i="1"/>
  <c r="I43" i="1"/>
  <c r="J43" i="1" s="1"/>
  <c r="K43" i="1" s="1"/>
  <c r="O42" i="1"/>
  <c r="N42" i="1"/>
  <c r="I42" i="1"/>
  <c r="J42" i="1" s="1"/>
  <c r="K42" i="1" s="1"/>
  <c r="O41" i="1"/>
  <c r="N41" i="1"/>
  <c r="I41" i="1"/>
  <c r="J41" i="1" s="1"/>
  <c r="K41" i="1" s="1"/>
  <c r="O40" i="1"/>
  <c r="N40" i="1"/>
  <c r="I40" i="1"/>
  <c r="J40" i="1" s="1"/>
  <c r="K40" i="1" s="1"/>
  <c r="O39" i="1"/>
  <c r="N39" i="1"/>
  <c r="J39" i="1"/>
  <c r="K39" i="1" s="1"/>
  <c r="I39" i="1"/>
  <c r="O38" i="1"/>
  <c r="N38" i="1"/>
  <c r="J38" i="1"/>
  <c r="K38" i="1" s="1"/>
  <c r="I38" i="1"/>
  <c r="O37" i="1"/>
  <c r="N37" i="1"/>
  <c r="I37" i="1"/>
  <c r="J37" i="1" s="1"/>
  <c r="K37" i="1" s="1"/>
  <c r="O36" i="1"/>
  <c r="N36" i="1"/>
  <c r="I36" i="1"/>
  <c r="J36" i="1" s="1"/>
  <c r="K36" i="1" s="1"/>
  <c r="O35" i="1"/>
  <c r="N35" i="1"/>
  <c r="I35" i="1"/>
  <c r="J35" i="1" s="1"/>
  <c r="K35" i="1" s="1"/>
  <c r="O34" i="1"/>
  <c r="N34" i="1"/>
  <c r="I34" i="1"/>
  <c r="J34" i="1" s="1"/>
  <c r="K34" i="1" s="1"/>
  <c r="O33" i="1"/>
  <c r="N33" i="1"/>
  <c r="I33" i="1"/>
  <c r="J33" i="1" s="1"/>
  <c r="K33" i="1" s="1"/>
  <c r="O32" i="1"/>
  <c r="N32" i="1"/>
  <c r="K32" i="1"/>
  <c r="J32" i="1"/>
  <c r="I32" i="1"/>
  <c r="O31" i="1"/>
  <c r="N31" i="1"/>
  <c r="I31" i="1"/>
  <c r="J31" i="1" s="1"/>
  <c r="K31" i="1" s="1"/>
  <c r="O30" i="1"/>
  <c r="N30" i="1"/>
  <c r="I30" i="1"/>
  <c r="J30" i="1" s="1"/>
  <c r="K30" i="1" s="1"/>
  <c r="O29" i="1"/>
  <c r="N29" i="1"/>
  <c r="I29" i="1"/>
  <c r="J29" i="1" s="1"/>
  <c r="K29" i="1" s="1"/>
  <c r="O28" i="1"/>
  <c r="N28" i="1"/>
  <c r="I28" i="1"/>
  <c r="J28" i="1" s="1"/>
  <c r="K28" i="1" s="1"/>
  <c r="O27" i="1"/>
  <c r="N27" i="1"/>
  <c r="J27" i="1"/>
  <c r="K27" i="1" s="1"/>
  <c r="I27" i="1"/>
  <c r="O26" i="1"/>
  <c r="N26" i="1"/>
  <c r="J26" i="1"/>
  <c r="K26" i="1" s="1"/>
  <c r="I26" i="1"/>
  <c r="O25" i="1"/>
  <c r="N25" i="1"/>
  <c r="I25" i="1"/>
  <c r="J25" i="1" s="1"/>
  <c r="K25" i="1" s="1"/>
  <c r="O24" i="1"/>
  <c r="N24" i="1"/>
  <c r="I24" i="1"/>
  <c r="J24" i="1" s="1"/>
  <c r="K24" i="1" s="1"/>
  <c r="O23" i="1"/>
  <c r="N23" i="1"/>
  <c r="I23" i="1"/>
  <c r="J23" i="1" s="1"/>
  <c r="K23" i="1" s="1"/>
  <c r="O22" i="1"/>
  <c r="N22" i="1"/>
  <c r="I22" i="1"/>
  <c r="J22" i="1" s="1"/>
  <c r="K22" i="1" s="1"/>
  <c r="O21" i="1"/>
  <c r="N21" i="1"/>
  <c r="I21" i="1"/>
  <c r="J21" i="1" s="1"/>
  <c r="K21" i="1" s="1"/>
  <c r="O20" i="1"/>
  <c r="N20" i="1"/>
  <c r="K20" i="1"/>
  <c r="J20" i="1"/>
  <c r="I20" i="1"/>
  <c r="O19" i="1"/>
  <c r="N19" i="1"/>
  <c r="I19" i="1"/>
  <c r="J19" i="1" s="1"/>
  <c r="K19" i="1" s="1"/>
  <c r="O18" i="1"/>
  <c r="N18" i="1"/>
  <c r="I18" i="1"/>
  <c r="J18" i="1" s="1"/>
  <c r="K18" i="1" s="1"/>
  <c r="O17" i="1"/>
  <c r="N17" i="1"/>
  <c r="I17" i="1"/>
  <c r="J17" i="1" s="1"/>
  <c r="K17" i="1" s="1"/>
  <c r="O16" i="1"/>
  <c r="N16" i="1"/>
  <c r="I16" i="1"/>
  <c r="J16" i="1" s="1"/>
  <c r="K16" i="1" s="1"/>
  <c r="O15" i="1"/>
  <c r="N15" i="1"/>
  <c r="J15" i="1"/>
  <c r="K15" i="1" s="1"/>
  <c r="I15" i="1"/>
  <c r="O14" i="1"/>
  <c r="N14" i="1"/>
  <c r="J14" i="1"/>
  <c r="K14" i="1" s="1"/>
  <c r="I14" i="1"/>
  <c r="O13" i="1"/>
  <c r="N13" i="1"/>
  <c r="I13" i="1"/>
  <c r="J13" i="1" s="1"/>
  <c r="K13" i="1" s="1"/>
  <c r="O12" i="1"/>
  <c r="N12" i="1"/>
  <c r="I12" i="1"/>
  <c r="J12" i="1" s="1"/>
  <c r="K12" i="1" s="1"/>
  <c r="O11" i="1"/>
  <c r="N11" i="1"/>
  <c r="I11" i="1"/>
  <c r="J11" i="1" s="1"/>
  <c r="K11" i="1" s="1"/>
  <c r="O10" i="1"/>
  <c r="N10" i="1"/>
  <c r="I10" i="1"/>
  <c r="J10" i="1" s="1"/>
  <c r="K10" i="1" s="1"/>
  <c r="O9" i="1"/>
  <c r="I9" i="1"/>
  <c r="J9" i="1" s="1"/>
  <c r="K9" i="1" s="1"/>
  <c r="L9" i="1" s="1"/>
  <c r="R9" i="1" l="1"/>
  <c r="L10" i="1"/>
  <c r="L11" i="1" l="1"/>
  <c r="R10" i="1"/>
  <c r="L12" i="1" l="1"/>
  <c r="R11" i="1"/>
  <c r="R12" i="1" l="1"/>
  <c r="L13" i="1"/>
  <c r="L14" i="1" l="1"/>
  <c r="R13" i="1"/>
  <c r="R14" i="1" l="1"/>
  <c r="L15" i="1"/>
  <c r="R15" i="1" l="1"/>
  <c r="L16" i="1"/>
  <c r="R16" i="1" l="1"/>
  <c r="L17" i="1"/>
  <c r="L18" i="1" l="1"/>
  <c r="R17" i="1"/>
  <c r="L19" i="1" l="1"/>
  <c r="R18" i="1"/>
  <c r="R19" i="1" l="1"/>
  <c r="L20" i="1"/>
  <c r="L21" i="1" l="1"/>
  <c r="R20" i="1"/>
  <c r="R21" i="1" l="1"/>
  <c r="L22" i="1"/>
  <c r="L23" i="1" l="1"/>
  <c r="R22" i="1"/>
  <c r="L24" i="1" l="1"/>
  <c r="R23" i="1"/>
  <c r="R24" i="1" l="1"/>
  <c r="L25" i="1"/>
  <c r="L26" i="1" l="1"/>
  <c r="R25" i="1"/>
  <c r="R26" i="1" l="1"/>
  <c r="L27" i="1"/>
  <c r="R27" i="1" l="1"/>
  <c r="L28" i="1"/>
  <c r="L29" i="1" l="1"/>
  <c r="R28" i="1"/>
  <c r="L30" i="1" l="1"/>
  <c r="R29" i="1"/>
  <c r="L31" i="1" l="1"/>
  <c r="R30" i="1"/>
  <c r="R31" i="1" l="1"/>
  <c r="L32" i="1"/>
  <c r="L33" i="1" l="1"/>
  <c r="R32" i="1"/>
  <c r="R33" i="1" l="1"/>
  <c r="L34" i="1"/>
  <c r="L35" i="1" l="1"/>
  <c r="R34" i="1"/>
  <c r="L36" i="1" l="1"/>
  <c r="R35" i="1"/>
  <c r="R36" i="1" l="1"/>
  <c r="L37" i="1"/>
  <c r="L38" i="1" l="1"/>
  <c r="R37" i="1"/>
  <c r="R38" i="1" l="1"/>
  <c r="L39" i="1"/>
  <c r="L40" i="1" l="1"/>
  <c r="R39" i="1"/>
  <c r="R40" i="1" l="1"/>
  <c r="L41" i="1"/>
  <c r="L42" i="1" l="1"/>
  <c r="R41" i="1"/>
  <c r="L43" i="1" l="1"/>
  <c r="R42" i="1"/>
  <c r="R43" i="1" l="1"/>
  <c r="L44" i="1"/>
  <c r="L45" i="1" l="1"/>
  <c r="R44" i="1"/>
  <c r="R45" i="1" l="1"/>
  <c r="L46" i="1"/>
  <c r="R46" i="1" l="1"/>
  <c r="L47" i="1"/>
  <c r="R47" i="1" l="1"/>
  <c r="L48" i="1"/>
  <c r="R48" i="1" l="1"/>
  <c r="L49" i="1"/>
  <c r="L50" i="1" l="1"/>
  <c r="R49" i="1"/>
  <c r="L51" i="1" l="1"/>
  <c r="R50" i="1"/>
  <c r="L52" i="1" l="1"/>
  <c r="R51" i="1"/>
  <c r="R52" i="1" l="1"/>
  <c r="L53" i="1"/>
  <c r="L54" i="1" l="1"/>
  <c r="R53" i="1"/>
  <c r="L55" i="1" l="1"/>
  <c r="R54" i="1"/>
  <c r="R55" i="1" l="1"/>
  <c r="L56" i="1"/>
  <c r="L57" i="1" l="1"/>
  <c r="R56" i="1"/>
  <c r="R57" i="1" l="1"/>
  <c r="L58" i="1"/>
  <c r="L59" i="1" l="1"/>
  <c r="R58" i="1"/>
  <c r="L60" i="1" l="1"/>
  <c r="R59" i="1"/>
  <c r="R60" i="1" l="1"/>
  <c r="L61" i="1"/>
  <c r="L62" i="1" l="1"/>
  <c r="R61" i="1"/>
  <c r="R62" i="1" l="1"/>
  <c r="L63" i="1"/>
  <c r="R63" i="1" l="1"/>
  <c r="L64" i="1"/>
  <c r="R64" i="1" l="1"/>
  <c r="L65" i="1"/>
  <c r="L66" i="1" l="1"/>
  <c r="R65" i="1"/>
  <c r="G196" i="3" l="1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F195" i="3"/>
  <c r="F196" i="3"/>
  <c r="F197" i="3"/>
  <c r="F198" i="3"/>
  <c r="F199" i="3"/>
  <c r="F200" i="3"/>
  <c r="F201" i="3"/>
  <c r="F202" i="3"/>
  <c r="B8" i="3"/>
  <c r="C8" i="3"/>
  <c r="D8" i="3"/>
  <c r="B9" i="3"/>
  <c r="C9" i="3"/>
  <c r="D9" i="3"/>
  <c r="B10" i="3"/>
  <c r="C10" i="3"/>
  <c r="D10" i="3"/>
  <c r="E10" i="3"/>
  <c r="B11" i="3"/>
  <c r="C11" i="3"/>
  <c r="D11" i="3"/>
  <c r="B12" i="3"/>
  <c r="C12" i="3"/>
  <c r="D12" i="3"/>
  <c r="B13" i="3"/>
  <c r="C13" i="3"/>
  <c r="D13" i="3"/>
  <c r="E13" i="3"/>
  <c r="B14" i="3"/>
  <c r="C14" i="3"/>
  <c r="D14" i="3"/>
  <c r="B15" i="3"/>
  <c r="C15" i="3"/>
  <c r="D15" i="3"/>
  <c r="B16" i="3"/>
  <c r="C16" i="3"/>
  <c r="D16" i="3"/>
  <c r="E16" i="3"/>
  <c r="B17" i="3"/>
  <c r="C17" i="3"/>
  <c r="D17" i="3"/>
  <c r="B18" i="3"/>
  <c r="C18" i="3"/>
  <c r="D18" i="3"/>
  <c r="B19" i="3"/>
  <c r="C19" i="3"/>
  <c r="D19" i="3"/>
  <c r="E19" i="3"/>
  <c r="B20" i="3"/>
  <c r="C20" i="3"/>
  <c r="D20" i="3"/>
  <c r="B21" i="3"/>
  <c r="C21" i="3"/>
  <c r="D21" i="3"/>
  <c r="B22" i="3"/>
  <c r="C22" i="3"/>
  <c r="D22" i="3"/>
  <c r="E22" i="3"/>
  <c r="B23" i="3"/>
  <c r="C23" i="3"/>
  <c r="D23" i="3"/>
  <c r="B24" i="3"/>
  <c r="C24" i="3"/>
  <c r="D24" i="3"/>
  <c r="B25" i="3"/>
  <c r="C25" i="3"/>
  <c r="D25" i="3"/>
  <c r="E25" i="3"/>
  <c r="B26" i="3"/>
  <c r="C26" i="3"/>
  <c r="D26" i="3"/>
  <c r="B27" i="3"/>
  <c r="C27" i="3"/>
  <c r="D27" i="3"/>
  <c r="B28" i="3"/>
  <c r="C28" i="3"/>
  <c r="D28" i="3"/>
  <c r="E28" i="3"/>
  <c r="B29" i="3"/>
  <c r="C29" i="3"/>
  <c r="D29" i="3"/>
  <c r="B30" i="3"/>
  <c r="C30" i="3"/>
  <c r="D30" i="3"/>
  <c r="B31" i="3"/>
  <c r="C31" i="3"/>
  <c r="D31" i="3"/>
  <c r="E31" i="3"/>
  <c r="B32" i="3"/>
  <c r="C32" i="3"/>
  <c r="D32" i="3"/>
  <c r="B33" i="3"/>
  <c r="C33" i="3"/>
  <c r="D33" i="3"/>
  <c r="B34" i="3"/>
  <c r="C34" i="3"/>
  <c r="D34" i="3"/>
  <c r="E34" i="3"/>
  <c r="B35" i="3"/>
  <c r="C35" i="3"/>
  <c r="D35" i="3"/>
  <c r="B36" i="3"/>
  <c r="C36" i="3"/>
  <c r="D36" i="3"/>
  <c r="B37" i="3"/>
  <c r="C37" i="3"/>
  <c r="D37" i="3"/>
  <c r="E37" i="3"/>
  <c r="B38" i="3"/>
  <c r="C38" i="3"/>
  <c r="D38" i="3"/>
  <c r="B39" i="3"/>
  <c r="C39" i="3"/>
  <c r="D39" i="3"/>
  <c r="B40" i="3"/>
  <c r="C40" i="3"/>
  <c r="D40" i="3"/>
  <c r="B41" i="3"/>
  <c r="C41" i="3"/>
  <c r="D41" i="3"/>
  <c r="B42" i="3"/>
  <c r="C42" i="3"/>
  <c r="D42" i="3"/>
  <c r="B43" i="3"/>
  <c r="C43" i="3"/>
  <c r="D43" i="3"/>
  <c r="E43" i="3"/>
  <c r="B44" i="3"/>
  <c r="C44" i="3"/>
  <c r="D44" i="3"/>
  <c r="B45" i="3"/>
  <c r="C45" i="3"/>
  <c r="D45" i="3"/>
  <c r="B46" i="3"/>
  <c r="C46" i="3"/>
  <c r="D46" i="3"/>
  <c r="E46" i="3"/>
  <c r="B47" i="3"/>
  <c r="C47" i="3"/>
  <c r="D47" i="3"/>
  <c r="B48" i="3"/>
  <c r="C48" i="3"/>
  <c r="D48" i="3"/>
  <c r="B49" i="3"/>
  <c r="C49" i="3"/>
  <c r="D49" i="3"/>
  <c r="E49" i="3"/>
  <c r="B50" i="3"/>
  <c r="C50" i="3"/>
  <c r="D50" i="3"/>
  <c r="B51" i="3"/>
  <c r="C51" i="3"/>
  <c r="D51" i="3"/>
  <c r="B52" i="3"/>
  <c r="C52" i="3"/>
  <c r="D52" i="3"/>
  <c r="E52" i="3"/>
  <c r="B53" i="3"/>
  <c r="C53" i="3"/>
  <c r="D53" i="3"/>
  <c r="B54" i="3"/>
  <c r="C54" i="3"/>
  <c r="D54" i="3"/>
  <c r="B55" i="3"/>
  <c r="C55" i="3"/>
  <c r="D55" i="3"/>
  <c r="E55" i="3"/>
  <c r="B56" i="3"/>
  <c r="C56" i="3"/>
  <c r="D56" i="3"/>
  <c r="B57" i="3"/>
  <c r="C57" i="3"/>
  <c r="D57" i="3"/>
  <c r="B58" i="3"/>
  <c r="C58" i="3"/>
  <c r="D58" i="3"/>
  <c r="E58" i="3"/>
  <c r="B59" i="3"/>
  <c r="C59" i="3"/>
  <c r="D59" i="3"/>
  <c r="B60" i="3"/>
  <c r="C60" i="3"/>
  <c r="D60" i="3"/>
  <c r="B61" i="3"/>
  <c r="C61" i="3"/>
  <c r="D61" i="3"/>
  <c r="B62" i="3"/>
  <c r="C62" i="3"/>
  <c r="D62" i="3"/>
  <c r="B63" i="3"/>
  <c r="C63" i="3"/>
  <c r="D63" i="3"/>
  <c r="B64" i="3"/>
  <c r="C64" i="3"/>
  <c r="D64" i="3"/>
  <c r="E64" i="3"/>
  <c r="B65" i="3"/>
  <c r="C65" i="3"/>
  <c r="D65" i="3"/>
  <c r="E65" i="3"/>
  <c r="B66" i="3"/>
  <c r="C66" i="3"/>
  <c r="D66" i="3"/>
  <c r="E66" i="3"/>
  <c r="B67" i="3"/>
  <c r="C67" i="3"/>
  <c r="D67" i="3"/>
  <c r="E67" i="3"/>
  <c r="B68" i="3"/>
  <c r="C68" i="3"/>
  <c r="D68" i="3"/>
  <c r="E68" i="3"/>
  <c r="B69" i="3"/>
  <c r="C69" i="3"/>
  <c r="D69" i="3"/>
  <c r="E69" i="3"/>
  <c r="B70" i="3"/>
  <c r="C70" i="3"/>
  <c r="D70" i="3"/>
  <c r="E70" i="3"/>
  <c r="B71" i="3"/>
  <c r="C71" i="3"/>
  <c r="D71" i="3"/>
  <c r="E71" i="3"/>
  <c r="B72" i="3"/>
  <c r="C72" i="3"/>
  <c r="D72" i="3"/>
  <c r="E72" i="3"/>
  <c r="B73" i="3"/>
  <c r="C73" i="3"/>
  <c r="D73" i="3"/>
  <c r="E73" i="3"/>
  <c r="B74" i="3"/>
  <c r="C74" i="3"/>
  <c r="D74" i="3"/>
  <c r="E74" i="3"/>
  <c r="B75" i="3"/>
  <c r="C75" i="3"/>
  <c r="D75" i="3"/>
  <c r="E75" i="3"/>
  <c r="B76" i="3"/>
  <c r="C76" i="3"/>
  <c r="D76" i="3"/>
  <c r="E76" i="3"/>
  <c r="B77" i="3"/>
  <c r="C77" i="3"/>
  <c r="D77" i="3"/>
  <c r="E77" i="3"/>
  <c r="B78" i="3"/>
  <c r="C78" i="3"/>
  <c r="D78" i="3"/>
  <c r="E78" i="3"/>
  <c r="B79" i="3"/>
  <c r="C79" i="3"/>
  <c r="D79" i="3"/>
  <c r="E79" i="3"/>
  <c r="B80" i="3"/>
  <c r="C80" i="3"/>
  <c r="D80" i="3"/>
  <c r="E80" i="3"/>
  <c r="B81" i="3"/>
  <c r="C81" i="3"/>
  <c r="D81" i="3"/>
  <c r="E81" i="3"/>
  <c r="B82" i="3"/>
  <c r="C82" i="3"/>
  <c r="D82" i="3"/>
  <c r="E82" i="3"/>
  <c r="B83" i="3"/>
  <c r="C83" i="3"/>
  <c r="D83" i="3"/>
  <c r="E83" i="3"/>
  <c r="B84" i="3"/>
  <c r="C84" i="3"/>
  <c r="D84" i="3"/>
  <c r="E84" i="3"/>
  <c r="B85" i="3"/>
  <c r="C85" i="3"/>
  <c r="D85" i="3"/>
  <c r="E85" i="3"/>
  <c r="B86" i="3"/>
  <c r="C86" i="3"/>
  <c r="D86" i="3"/>
  <c r="E86" i="3"/>
  <c r="B87" i="3"/>
  <c r="C87" i="3"/>
  <c r="D87" i="3"/>
  <c r="E87" i="3"/>
  <c r="B88" i="3"/>
  <c r="C88" i="3"/>
  <c r="D88" i="3"/>
  <c r="E88" i="3"/>
  <c r="B89" i="3"/>
  <c r="C89" i="3"/>
  <c r="D89" i="3"/>
  <c r="E89" i="3"/>
  <c r="B90" i="3"/>
  <c r="C90" i="3"/>
  <c r="D90" i="3"/>
  <c r="E90" i="3"/>
  <c r="B91" i="3"/>
  <c r="C91" i="3"/>
  <c r="D91" i="3"/>
  <c r="E91" i="3"/>
  <c r="B92" i="3"/>
  <c r="C92" i="3"/>
  <c r="D92" i="3"/>
  <c r="E92" i="3"/>
  <c r="B93" i="3"/>
  <c r="C93" i="3"/>
  <c r="D93" i="3"/>
  <c r="E93" i="3"/>
  <c r="B94" i="3"/>
  <c r="C94" i="3"/>
  <c r="D94" i="3"/>
  <c r="E94" i="3"/>
  <c r="B95" i="3"/>
  <c r="C95" i="3"/>
  <c r="D95" i="3"/>
  <c r="E95" i="3"/>
  <c r="B96" i="3"/>
  <c r="C96" i="3"/>
  <c r="D96" i="3"/>
  <c r="E96" i="3"/>
  <c r="B97" i="3"/>
  <c r="C97" i="3"/>
  <c r="D97" i="3"/>
  <c r="E97" i="3"/>
  <c r="B98" i="3"/>
  <c r="C98" i="3"/>
  <c r="D98" i="3"/>
  <c r="E98" i="3"/>
  <c r="B99" i="3"/>
  <c r="C99" i="3"/>
  <c r="D99" i="3"/>
  <c r="E99" i="3"/>
  <c r="B100" i="3"/>
  <c r="C100" i="3"/>
  <c r="D100" i="3"/>
  <c r="E100" i="3"/>
  <c r="B101" i="3"/>
  <c r="C101" i="3"/>
  <c r="D101" i="3"/>
  <c r="E101" i="3"/>
  <c r="B102" i="3"/>
  <c r="C102" i="3"/>
  <c r="D102" i="3"/>
  <c r="E102" i="3"/>
  <c r="B103" i="3"/>
  <c r="C103" i="3"/>
  <c r="D103" i="3"/>
  <c r="E103" i="3"/>
  <c r="B104" i="3"/>
  <c r="C104" i="3"/>
  <c r="D104" i="3"/>
  <c r="E104" i="3"/>
  <c r="B105" i="3"/>
  <c r="C105" i="3"/>
  <c r="D105" i="3"/>
  <c r="E105" i="3"/>
  <c r="B106" i="3"/>
  <c r="C106" i="3"/>
  <c r="D106" i="3"/>
  <c r="E106" i="3"/>
  <c r="B107" i="3"/>
  <c r="C107" i="3"/>
  <c r="D107" i="3"/>
  <c r="E107" i="3"/>
  <c r="B108" i="3"/>
  <c r="C108" i="3"/>
  <c r="D108" i="3"/>
  <c r="E108" i="3"/>
  <c r="B109" i="3"/>
  <c r="C109" i="3"/>
  <c r="D109" i="3"/>
  <c r="E109" i="3"/>
  <c r="B110" i="3"/>
  <c r="C110" i="3"/>
  <c r="D110" i="3"/>
  <c r="E110" i="3"/>
  <c r="B111" i="3"/>
  <c r="C111" i="3"/>
  <c r="D111" i="3"/>
  <c r="E111" i="3"/>
  <c r="B112" i="3"/>
  <c r="C112" i="3"/>
  <c r="D112" i="3"/>
  <c r="E112" i="3"/>
  <c r="B113" i="3"/>
  <c r="C113" i="3"/>
  <c r="D113" i="3"/>
  <c r="E113" i="3"/>
  <c r="B114" i="3"/>
  <c r="C114" i="3"/>
  <c r="D114" i="3"/>
  <c r="E114" i="3"/>
  <c r="B115" i="3"/>
  <c r="C115" i="3"/>
  <c r="D115" i="3"/>
  <c r="E115" i="3"/>
  <c r="B116" i="3"/>
  <c r="C116" i="3"/>
  <c r="D116" i="3"/>
  <c r="E116" i="3"/>
  <c r="B117" i="3"/>
  <c r="C117" i="3"/>
  <c r="D117" i="3"/>
  <c r="E117" i="3"/>
  <c r="B118" i="3"/>
  <c r="C118" i="3"/>
  <c r="D118" i="3"/>
  <c r="E118" i="3"/>
  <c r="B119" i="3"/>
  <c r="C119" i="3"/>
  <c r="D119" i="3"/>
  <c r="E119" i="3"/>
  <c r="B120" i="3"/>
  <c r="C120" i="3"/>
  <c r="D120" i="3"/>
  <c r="E120" i="3"/>
  <c r="B121" i="3"/>
  <c r="C121" i="3"/>
  <c r="D121" i="3"/>
  <c r="E121" i="3"/>
  <c r="B122" i="3"/>
  <c r="C122" i="3"/>
  <c r="D122" i="3"/>
  <c r="E122" i="3"/>
  <c r="B123" i="3"/>
  <c r="C123" i="3"/>
  <c r="D123" i="3"/>
  <c r="E123" i="3"/>
  <c r="B124" i="3"/>
  <c r="C124" i="3"/>
  <c r="D124" i="3"/>
  <c r="E124" i="3"/>
  <c r="B125" i="3"/>
  <c r="C125" i="3"/>
  <c r="D125" i="3"/>
  <c r="E125" i="3"/>
  <c r="B126" i="3"/>
  <c r="C126" i="3"/>
  <c r="D126" i="3"/>
  <c r="E126" i="3"/>
  <c r="B127" i="3"/>
  <c r="C127" i="3"/>
  <c r="D127" i="3"/>
  <c r="E127" i="3"/>
  <c r="B128" i="3"/>
  <c r="C128" i="3"/>
  <c r="D128" i="3"/>
  <c r="E128" i="3"/>
  <c r="B129" i="3"/>
  <c r="C129" i="3"/>
  <c r="D129" i="3"/>
  <c r="E129" i="3"/>
  <c r="B130" i="3"/>
  <c r="C130" i="3"/>
  <c r="D130" i="3"/>
  <c r="E130" i="3"/>
  <c r="B131" i="3"/>
  <c r="C131" i="3"/>
  <c r="D131" i="3"/>
  <c r="E131" i="3"/>
  <c r="B132" i="3"/>
  <c r="C132" i="3"/>
  <c r="D132" i="3"/>
  <c r="E132" i="3"/>
  <c r="B133" i="3"/>
  <c r="C133" i="3"/>
  <c r="D133" i="3"/>
  <c r="E133" i="3"/>
  <c r="B134" i="3"/>
  <c r="C134" i="3"/>
  <c r="D134" i="3"/>
  <c r="E134" i="3"/>
  <c r="B135" i="3"/>
  <c r="C135" i="3"/>
  <c r="D135" i="3"/>
  <c r="E135" i="3"/>
  <c r="B136" i="3"/>
  <c r="C136" i="3"/>
  <c r="D136" i="3"/>
  <c r="E136" i="3"/>
  <c r="B137" i="3"/>
  <c r="C137" i="3"/>
  <c r="D137" i="3"/>
  <c r="E137" i="3"/>
  <c r="B138" i="3"/>
  <c r="C138" i="3"/>
  <c r="D138" i="3"/>
  <c r="E138" i="3"/>
  <c r="B139" i="3"/>
  <c r="C139" i="3"/>
  <c r="D139" i="3"/>
  <c r="E139" i="3"/>
  <c r="B140" i="3"/>
  <c r="C140" i="3"/>
  <c r="D140" i="3"/>
  <c r="E140" i="3"/>
  <c r="B141" i="3"/>
  <c r="C141" i="3"/>
  <c r="D141" i="3"/>
  <c r="E141" i="3"/>
  <c r="B142" i="3"/>
  <c r="C142" i="3"/>
  <c r="D142" i="3"/>
  <c r="E142" i="3"/>
  <c r="B143" i="3"/>
  <c r="C143" i="3"/>
  <c r="D143" i="3"/>
  <c r="E143" i="3"/>
  <c r="B144" i="3"/>
  <c r="C144" i="3"/>
  <c r="D144" i="3"/>
  <c r="E144" i="3"/>
  <c r="B145" i="3"/>
  <c r="C145" i="3"/>
  <c r="D145" i="3"/>
  <c r="E145" i="3"/>
  <c r="B146" i="3"/>
  <c r="C146" i="3"/>
  <c r="D146" i="3"/>
  <c r="E146" i="3"/>
  <c r="B147" i="3"/>
  <c r="C147" i="3"/>
  <c r="D147" i="3"/>
  <c r="E147" i="3"/>
  <c r="B148" i="3"/>
  <c r="C148" i="3"/>
  <c r="D148" i="3"/>
  <c r="E148" i="3"/>
  <c r="B149" i="3"/>
  <c r="C149" i="3"/>
  <c r="D149" i="3"/>
  <c r="E149" i="3"/>
  <c r="B150" i="3"/>
  <c r="C150" i="3"/>
  <c r="D150" i="3"/>
  <c r="E150" i="3"/>
  <c r="B151" i="3"/>
  <c r="C151" i="3"/>
  <c r="D151" i="3"/>
  <c r="E151" i="3"/>
  <c r="B152" i="3"/>
  <c r="C152" i="3"/>
  <c r="D152" i="3"/>
  <c r="E152" i="3"/>
  <c r="B153" i="3"/>
  <c r="C153" i="3"/>
  <c r="D153" i="3"/>
  <c r="E153" i="3"/>
  <c r="B154" i="3"/>
  <c r="C154" i="3"/>
  <c r="D154" i="3"/>
  <c r="E154" i="3"/>
  <c r="B155" i="3"/>
  <c r="C155" i="3"/>
  <c r="D155" i="3"/>
  <c r="E155" i="3"/>
  <c r="B156" i="3"/>
  <c r="C156" i="3"/>
  <c r="D156" i="3"/>
  <c r="E156" i="3"/>
  <c r="B157" i="3"/>
  <c r="C157" i="3"/>
  <c r="D157" i="3"/>
  <c r="E157" i="3"/>
  <c r="B158" i="3"/>
  <c r="C158" i="3"/>
  <c r="D158" i="3"/>
  <c r="E158" i="3"/>
  <c r="B159" i="3"/>
  <c r="C159" i="3"/>
  <c r="D159" i="3"/>
  <c r="E159" i="3"/>
  <c r="B160" i="3"/>
  <c r="C160" i="3"/>
  <c r="D160" i="3"/>
  <c r="E160" i="3"/>
  <c r="B161" i="3"/>
  <c r="C161" i="3"/>
  <c r="D161" i="3"/>
  <c r="E161" i="3"/>
  <c r="B162" i="3"/>
  <c r="C162" i="3"/>
  <c r="D162" i="3"/>
  <c r="E162" i="3"/>
  <c r="B163" i="3"/>
  <c r="C163" i="3"/>
  <c r="D163" i="3"/>
  <c r="E163" i="3"/>
  <c r="B164" i="3"/>
  <c r="C164" i="3"/>
  <c r="D164" i="3"/>
  <c r="E164" i="3"/>
  <c r="B165" i="3"/>
  <c r="C165" i="3"/>
  <c r="D165" i="3"/>
  <c r="E165" i="3"/>
  <c r="B166" i="3"/>
  <c r="C166" i="3"/>
  <c r="D166" i="3"/>
  <c r="E166" i="3"/>
  <c r="B167" i="3"/>
  <c r="C167" i="3"/>
  <c r="D167" i="3"/>
  <c r="E167" i="3"/>
  <c r="B168" i="3"/>
  <c r="C168" i="3"/>
  <c r="D168" i="3"/>
  <c r="E168" i="3"/>
  <c r="B169" i="3"/>
  <c r="C169" i="3"/>
  <c r="D169" i="3"/>
  <c r="E169" i="3"/>
  <c r="B170" i="3"/>
  <c r="C170" i="3"/>
  <c r="D170" i="3"/>
  <c r="E170" i="3"/>
  <c r="B171" i="3"/>
  <c r="C171" i="3"/>
  <c r="D171" i="3"/>
  <c r="E171" i="3"/>
  <c r="B172" i="3"/>
  <c r="C172" i="3"/>
  <c r="D172" i="3"/>
  <c r="E172" i="3"/>
  <c r="B173" i="3"/>
  <c r="C173" i="3"/>
  <c r="D173" i="3"/>
  <c r="E173" i="3"/>
  <c r="B174" i="3"/>
  <c r="C174" i="3"/>
  <c r="D174" i="3"/>
  <c r="E174" i="3"/>
  <c r="B175" i="3"/>
  <c r="C175" i="3"/>
  <c r="D175" i="3"/>
  <c r="E175" i="3"/>
  <c r="B176" i="3"/>
  <c r="C176" i="3"/>
  <c r="D176" i="3"/>
  <c r="E176" i="3"/>
  <c r="B177" i="3"/>
  <c r="C177" i="3"/>
  <c r="D177" i="3"/>
  <c r="E177" i="3"/>
  <c r="B178" i="3"/>
  <c r="C178" i="3"/>
  <c r="D178" i="3"/>
  <c r="E178" i="3"/>
  <c r="B179" i="3"/>
  <c r="C179" i="3"/>
  <c r="D179" i="3"/>
  <c r="E179" i="3"/>
  <c r="B180" i="3"/>
  <c r="C180" i="3"/>
  <c r="D180" i="3"/>
  <c r="E180" i="3"/>
  <c r="B181" i="3"/>
  <c r="C181" i="3"/>
  <c r="D181" i="3"/>
  <c r="E181" i="3"/>
  <c r="B182" i="3"/>
  <c r="C182" i="3"/>
  <c r="D182" i="3"/>
  <c r="E182" i="3"/>
  <c r="B183" i="3"/>
  <c r="C183" i="3"/>
  <c r="D183" i="3"/>
  <c r="E183" i="3"/>
  <c r="B184" i="3"/>
  <c r="C184" i="3"/>
  <c r="D184" i="3"/>
  <c r="E184" i="3"/>
  <c r="B185" i="3"/>
  <c r="C185" i="3"/>
  <c r="D185" i="3"/>
  <c r="E185" i="3"/>
  <c r="B186" i="3"/>
  <c r="C186" i="3"/>
  <c r="D186" i="3"/>
  <c r="E186" i="3"/>
  <c r="B187" i="3"/>
  <c r="C187" i="3"/>
  <c r="D187" i="3"/>
  <c r="E187" i="3"/>
  <c r="B188" i="3"/>
  <c r="C188" i="3"/>
  <c r="D188" i="3"/>
  <c r="E188" i="3"/>
  <c r="B189" i="3"/>
  <c r="C189" i="3"/>
  <c r="D189" i="3"/>
  <c r="E189" i="3"/>
  <c r="B190" i="3"/>
  <c r="C190" i="3"/>
  <c r="D190" i="3"/>
  <c r="E190" i="3"/>
  <c r="B191" i="3"/>
  <c r="C191" i="3"/>
  <c r="D191" i="3"/>
  <c r="E191" i="3"/>
  <c r="B192" i="3"/>
  <c r="C192" i="3"/>
  <c r="D192" i="3"/>
  <c r="E192" i="3"/>
  <c r="B193" i="3"/>
  <c r="C193" i="3"/>
  <c r="D193" i="3"/>
  <c r="E193" i="3"/>
  <c r="B194" i="3"/>
  <c r="C194" i="3"/>
  <c r="D194" i="3"/>
  <c r="E194" i="3"/>
  <c r="B195" i="3"/>
  <c r="C195" i="3"/>
  <c r="D195" i="3"/>
  <c r="E195" i="3"/>
  <c r="B196" i="3"/>
  <c r="C196" i="3"/>
  <c r="D196" i="3"/>
  <c r="E196" i="3"/>
  <c r="B197" i="3"/>
  <c r="C197" i="3"/>
  <c r="D197" i="3"/>
  <c r="E197" i="3"/>
  <c r="B198" i="3"/>
  <c r="C198" i="3"/>
  <c r="D198" i="3"/>
  <c r="E198" i="3"/>
  <c r="B199" i="3"/>
  <c r="C199" i="3"/>
  <c r="D199" i="3"/>
  <c r="E199" i="3"/>
  <c r="B200" i="3"/>
  <c r="C200" i="3"/>
  <c r="D200" i="3"/>
  <c r="E200" i="3"/>
  <c r="B201" i="3"/>
  <c r="C201" i="3"/>
  <c r="D201" i="3"/>
  <c r="E201" i="3"/>
  <c r="B202" i="3"/>
  <c r="C202" i="3"/>
  <c r="D202" i="3"/>
  <c r="E202" i="3"/>
  <c r="B203" i="3"/>
  <c r="C203" i="3"/>
  <c r="D203" i="3"/>
  <c r="E203" i="3"/>
  <c r="B204" i="3"/>
  <c r="C204" i="3"/>
  <c r="D204" i="3"/>
  <c r="E204" i="3"/>
  <c r="B205" i="3"/>
  <c r="C205" i="3"/>
  <c r="D205" i="3"/>
  <c r="E205" i="3"/>
  <c r="B206" i="3"/>
  <c r="C206" i="3"/>
  <c r="D206" i="3"/>
  <c r="E206" i="3"/>
  <c r="B207" i="3"/>
  <c r="C207" i="3"/>
  <c r="D207" i="3"/>
  <c r="E207" i="3"/>
  <c r="B208" i="3"/>
  <c r="C208" i="3"/>
  <c r="D208" i="3"/>
  <c r="E208" i="3"/>
  <c r="B209" i="3"/>
  <c r="C209" i="3"/>
  <c r="D209" i="3"/>
  <c r="E209" i="3"/>
  <c r="B210" i="3"/>
  <c r="C210" i="3"/>
  <c r="D210" i="3"/>
  <c r="E210" i="3"/>
  <c r="B211" i="3"/>
  <c r="C211" i="3"/>
  <c r="D211" i="3"/>
  <c r="E211" i="3"/>
  <c r="B212" i="3"/>
  <c r="C212" i="3"/>
  <c r="D212" i="3"/>
  <c r="E212" i="3"/>
  <c r="B213" i="3"/>
  <c r="C213" i="3"/>
  <c r="D213" i="3"/>
  <c r="E213" i="3"/>
  <c r="B214" i="3"/>
  <c r="C214" i="3"/>
  <c r="D214" i="3"/>
  <c r="E214" i="3"/>
  <c r="B215" i="3"/>
  <c r="C215" i="3"/>
  <c r="D215" i="3"/>
  <c r="E215" i="3"/>
  <c r="B216" i="3"/>
  <c r="C216" i="3"/>
  <c r="D216" i="3"/>
  <c r="E216" i="3"/>
  <c r="F216" i="3" s="1"/>
  <c r="E7" i="3"/>
  <c r="G7" i="3" s="1"/>
  <c r="D7" i="3"/>
  <c r="C7" i="3"/>
  <c r="B7" i="3"/>
  <c r="B5" i="3"/>
  <c r="A35" i="3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J7" i="2"/>
  <c r="D7" i="2" s="1"/>
  <c r="J8" i="2"/>
  <c r="D8" i="2" s="1"/>
  <c r="K5" i="2"/>
  <c r="G5" i="2" s="1"/>
  <c r="K4" i="2"/>
  <c r="C2" i="2" s="1"/>
  <c r="W13" i="2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E63" i="3"/>
  <c r="E62" i="3"/>
  <c r="E56" i="3"/>
  <c r="E54" i="3"/>
  <c r="E51" i="3"/>
  <c r="E44" i="3"/>
  <c r="E42" i="3"/>
  <c r="E41" i="3"/>
  <c r="E30" i="3"/>
  <c r="E26" i="3"/>
  <c r="E21" i="3"/>
  <c r="L7" i="1"/>
  <c r="D5" i="3" s="1"/>
  <c r="J7" i="1"/>
  <c r="K13" i="2" a="1"/>
  <c r="E8" i="2" a="1"/>
  <c r="E7" i="2" a="1"/>
  <c r="E7" i="2" l="1"/>
  <c r="E8" i="2"/>
  <c r="F7" i="3"/>
  <c r="E40" i="3"/>
  <c r="E60" i="3"/>
  <c r="E57" i="3"/>
  <c r="E48" i="3"/>
  <c r="E45" i="3"/>
  <c r="E39" i="3"/>
  <c r="E36" i="3"/>
  <c r="E33" i="3"/>
  <c r="E27" i="3"/>
  <c r="E24" i="3"/>
  <c r="E18" i="3"/>
  <c r="E15" i="3"/>
  <c r="E12" i="3"/>
  <c r="E9" i="3"/>
  <c r="E61" i="3"/>
  <c r="E59" i="3"/>
  <c r="E53" i="3"/>
  <c r="E50" i="3"/>
  <c r="E47" i="3"/>
  <c r="E38" i="3"/>
  <c r="E35" i="3"/>
  <c r="E32" i="3"/>
  <c r="E29" i="3"/>
  <c r="E23" i="3"/>
  <c r="E20" i="3"/>
  <c r="E17" i="3"/>
  <c r="E14" i="3"/>
  <c r="E11" i="3"/>
  <c r="E8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F8" i="3"/>
  <c r="F9" i="3" s="1"/>
  <c r="F10" i="3" s="1"/>
  <c r="F11" i="3" s="1"/>
  <c r="F12" i="3" s="1"/>
  <c r="F13" i="3" s="1"/>
  <c r="F14" i="3" s="1"/>
  <c r="K14" i="2"/>
  <c r="K13" i="2"/>
  <c r="M7" i="1"/>
  <c r="F5" i="3" s="1"/>
  <c r="F15" i="3" l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<sst xmlns="http://schemas.openxmlformats.org/spreadsheetml/2006/main" count="273" uniqueCount="149">
  <si>
    <r>
      <rPr>
        <b/>
        <sz val="11"/>
        <rFont val="Arial"/>
        <family val="2"/>
      </rPr>
      <t xml:space="preserve">DETAIL OF EXPENDITURE APPROVAL for </t>
    </r>
    <r>
      <rPr>
        <b/>
        <sz val="11"/>
        <color rgb="FFFF0000"/>
        <rFont val="Arial"/>
        <family val="2"/>
      </rPr>
      <t>SOUTH Wells</t>
    </r>
  </si>
  <si>
    <t xml:space="preserve">CONTRACT NO. </t>
  </si>
  <si>
    <t>COMPANY NAME</t>
  </si>
  <si>
    <t>M/s Sprint Oil &amp; Gas Services FZ-Pakistan</t>
  </si>
  <si>
    <t>Expenditure Approved</t>
  </si>
  <si>
    <t>Contract Amount</t>
  </si>
  <si>
    <t>Approved Amount</t>
  </si>
  <si>
    <t xml:space="preserve">Use Amount </t>
  </si>
  <si>
    <t>Usage %</t>
  </si>
  <si>
    <t>Total Approved</t>
  </si>
  <si>
    <t>SNO</t>
  </si>
  <si>
    <t>INVOICE NO.</t>
  </si>
  <si>
    <t>DATE.</t>
  </si>
  <si>
    <t>Rig</t>
  </si>
  <si>
    <t xml:space="preserve">NAME OF WELL </t>
  </si>
  <si>
    <t>Description</t>
  </si>
  <si>
    <t>GST/PST</t>
  </si>
  <si>
    <t>Tax</t>
  </si>
  <si>
    <t xml:space="preserve"> AMOUNT Inclusive tax  (USD)</t>
  </si>
  <si>
    <t xml:space="preserve">Amount Paid </t>
  </si>
  <si>
    <t>COMMULATIVE EXPENDITURE (USD)</t>
  </si>
  <si>
    <t xml:space="preserve">Status </t>
  </si>
  <si>
    <t xml:space="preserve">Quarter </t>
  </si>
  <si>
    <t>Year</t>
  </si>
  <si>
    <t>Release order no.</t>
  </si>
  <si>
    <t>Service Entry Sheet no.</t>
  </si>
  <si>
    <t>Contract Value Consumed</t>
  </si>
  <si>
    <t xml:space="preserve">Clearance date </t>
  </si>
  <si>
    <t>Cleared</t>
  </si>
  <si>
    <t xml:space="preserve"> </t>
  </si>
  <si>
    <t>17-31 Jan-25</t>
  </si>
  <si>
    <t>01-28 Feb-25</t>
  </si>
  <si>
    <t>1-30 Mar-25</t>
  </si>
  <si>
    <t>1-28 Feb-25</t>
  </si>
  <si>
    <t>1-16 Mar-25</t>
  </si>
  <si>
    <t>1-31 Mar-25</t>
  </si>
  <si>
    <t>1-31 May-25</t>
  </si>
  <si>
    <t>1-30 April-25</t>
  </si>
  <si>
    <t>23-30 June-25</t>
  </si>
  <si>
    <t>29-30 June-25</t>
  </si>
  <si>
    <t>25-30 June-25</t>
  </si>
  <si>
    <t>08-17 June-25</t>
  </si>
  <si>
    <t>02-13 Apr-25</t>
  </si>
  <si>
    <t>01-04 June-25</t>
  </si>
  <si>
    <t>01-17 June-25</t>
  </si>
  <si>
    <t>01-31 July-25</t>
  </si>
  <si>
    <t>17-31 May-25</t>
  </si>
  <si>
    <t>1-30 Apr-25</t>
  </si>
  <si>
    <t>1-31 July-25</t>
  </si>
  <si>
    <t>27-30 June-25</t>
  </si>
  <si>
    <t>1-31 Aug-25</t>
  </si>
  <si>
    <t xml:space="preserve">  Ref. para   15 /N. </t>
  </si>
  <si>
    <t xml:space="preserve"> S.No of South  well </t>
  </si>
  <si>
    <t>INSERT 1ST PARAGRAPH NO</t>
  </si>
  <si>
    <t xml:space="preserve"> The invoice No.</t>
  </si>
  <si>
    <t xml:space="preserve"> with M/s Sprint Oil &amp; Gas Services for providing their services at well </t>
  </si>
  <si>
    <t xml:space="preserve">The claimed invoicing amount is US $ </t>
  </si>
  <si>
    <t xml:space="preserve">The  verified  amount  is </t>
  </si>
  <si>
    <t xml:space="preserve">            </t>
  </si>
  <si>
    <t>2 &amp; 3</t>
  </si>
  <si>
    <t xml:space="preserve">     (Summer Nouman)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</si>
  <si>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</si>
  <si>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Sr. Engr. (Cement)</t>
  </si>
  <si>
    <t>Ext:2572</t>
  </si>
  <si>
    <t>Chief Engr. (Cmt Ops.)</t>
  </si>
  <si>
    <t>AM (Cmt/Stim)</t>
  </si>
  <si>
    <t>AGM (DS)</t>
  </si>
  <si>
    <t>Dy.Chief Accountant (Services)</t>
  </si>
  <si>
    <t>Claimed Amount Exl Tax (USD)</t>
  </si>
  <si>
    <t>Submitted for endorsement through AGM(DS) and onward dispatch to DCA (Services) for payment  Please.</t>
  </si>
  <si>
    <t>contract No.OGDCL-SCM-SERVICES-CB-CEM-265732025-4600000803-2025</t>
  </si>
  <si>
    <t xml:space="preserve">has been verified in the light of terms, conditions  and price list  of the </t>
  </si>
  <si>
    <t>  Copy of Service Entry Sheet is placed opposite.</t>
  </si>
  <si>
    <t xml:space="preserve">Claimed amount </t>
  </si>
  <si>
    <t xml:space="preserve">paid amount </t>
  </si>
  <si>
    <t xml:space="preserve">Invoice  No </t>
  </si>
  <si>
    <t xml:space="preserve">Well Name </t>
  </si>
  <si>
    <r>
      <t xml:space="preserve">DETAIL OF EXPENDITURE APPROVAL for </t>
    </r>
    <r>
      <rPr>
        <b/>
        <sz val="11"/>
        <color rgb="FFFF0000"/>
        <rFont val="Arial"/>
        <family val="2"/>
      </rPr>
      <t>SOUTH Wells</t>
    </r>
  </si>
  <si>
    <t>PROC-FD/CB/WS-   298-767379 /2012</t>
  </si>
  <si>
    <t xml:space="preserve">M/S SPRINT OIL &amp; GAS SERVICES FZC   </t>
  </si>
  <si>
    <t>AMOUNT VERIFIED (USD)</t>
  </si>
  <si>
    <t>BALANCE AMOUNT (USD)</t>
  </si>
  <si>
    <t xml:space="preserve">balance amount </t>
  </si>
  <si>
    <t>%age Usage</t>
  </si>
  <si>
    <t>OGDCL-SCM-SERVICES-CB-CEM-278762293-4600000959-2025</t>
  </si>
  <si>
    <t>GURGALOT X-1</t>
  </si>
  <si>
    <t>Mob of cementing package (Returned to vendor as 16 % PST applied intead of 15% old invice num is 994859501)</t>
  </si>
  <si>
    <t>BARAGZAI X-1</t>
  </si>
  <si>
    <t>Mob of additional Eqp</t>
  </si>
  <si>
    <t>11 3/4" liner job</t>
  </si>
  <si>
    <t>Additional Eqp(unit &amp; Batch mixer) Charges</t>
  </si>
  <si>
    <t>(Returned to vendor as 16 % PST applied intead of 15%old invice num is 994859558)</t>
  </si>
  <si>
    <t>Toot Deep-1</t>
  </si>
  <si>
    <t>Squeez Plug (08.07.2025)</t>
  </si>
  <si>
    <t>9 5/8" job (19.08.2025)</t>
  </si>
  <si>
    <t>Additives for 24 1/2" Job</t>
  </si>
  <si>
    <t>Squeez Plug 1 (04.09.2025)</t>
  </si>
  <si>
    <t>Squeez Plug 2 (08.09.2025)</t>
  </si>
  <si>
    <t>Squeez Plug 3 (14.09.2025)</t>
  </si>
  <si>
    <t>Squeez Plug 4 (20.09.2025)</t>
  </si>
  <si>
    <t>Additional Eqp(Frac Tank) Charges</t>
  </si>
  <si>
    <t xml:space="preserve">18 5/8" Casing </t>
  </si>
  <si>
    <t>BETTANI DEEP-1</t>
  </si>
  <si>
    <t>5" LINER JOB</t>
  </si>
  <si>
    <t>7" Tie back liner</t>
  </si>
  <si>
    <t>De Mob of Cementing Pacakge</t>
  </si>
  <si>
    <t>Additional Eqp DeMob</t>
  </si>
  <si>
    <t>RAJIAN-09</t>
  </si>
  <si>
    <t>Isolation/Squeee plug</t>
  </si>
  <si>
    <t>Mob/Demob of add silos</t>
  </si>
  <si>
    <t>7" Liner Job (29.09.2025)</t>
  </si>
  <si>
    <t>RAJIAN-02</t>
  </si>
  <si>
    <t>Mob of Cmt Pkg</t>
  </si>
  <si>
    <t>Isolation/Squeee plug 2</t>
  </si>
  <si>
    <t>Isolation/Squeee plug 3</t>
  </si>
  <si>
    <t>13 3/8" Casing</t>
  </si>
  <si>
    <t>KAL-03</t>
  </si>
  <si>
    <t>Isolation plug</t>
  </si>
  <si>
    <t>Demob of additional eqp</t>
  </si>
  <si>
    <t>P &amp; A (Surface)</t>
  </si>
  <si>
    <t>P &amp; A (Bottom)</t>
  </si>
  <si>
    <t>Demob of Cementing Package</t>
  </si>
  <si>
    <t>RAJIAN-08</t>
  </si>
  <si>
    <t>moB/dEmob of Cmt Package</t>
  </si>
  <si>
    <t>9 5/8" Casing</t>
  </si>
  <si>
    <t>CHAK 203-1</t>
  </si>
  <si>
    <t>P&amp;A (Bottom)</t>
  </si>
  <si>
    <t>P&amp;A (Surface)</t>
  </si>
  <si>
    <t>Humwala-1</t>
  </si>
  <si>
    <t>Mobilization of Cementing Package</t>
  </si>
  <si>
    <t>Mobilization of Silo</t>
  </si>
  <si>
    <t>Mobilization of 2000Silo, 1000silo, Air Compressor</t>
  </si>
  <si>
    <t xml:space="preserve">20in Casing Job </t>
  </si>
  <si>
    <t>Mob Demob of additional eqpt</t>
  </si>
  <si>
    <t>Fimkasar-4</t>
  </si>
  <si>
    <t>Mob of pakg rajian-8 to fmksr-4</t>
  </si>
  <si>
    <t>Demob of solution tank</t>
  </si>
  <si>
    <t>Bottom Cement Plug P&amp;A</t>
  </si>
  <si>
    <t xml:space="preserve">Garhi X2 </t>
  </si>
  <si>
    <t>Mob of pkg to Garhi from isb</t>
  </si>
  <si>
    <t>13-3/8" Casing Job at Humwala-1</t>
  </si>
  <si>
    <t>Top Cement Plug P&amp;A</t>
  </si>
  <si>
    <t>Kal-4</t>
  </si>
  <si>
    <t>Mob of pkg to Kal-4 from Fimkasar-4</t>
  </si>
  <si>
    <t>9-5/8" Csg Cmt Job</t>
  </si>
  <si>
    <t>KOP at Garhi X2</t>
  </si>
  <si>
    <t>9-5/8" Casing Job</t>
  </si>
  <si>
    <t>Sqz job against perfs</t>
  </si>
  <si>
    <t>Whipstock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</si>
</sst>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#,##0.00"/>
    <numFmt numFmtId="165" formatCode="&quot;$&quot;#,##0"/>
    <numFmt numFmtId="166" formatCode="##.##\ &quot;%&quot;"/>
    <numFmt numFmtId="167" formatCode="[$-409]d\-mmm\-yy;@"/>
    <numFmt numFmtId="168" formatCode="[$-F800]dddd\,\ mmm\ dd\,\ yyyy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70C0"/>
      <name val="Arial"/>
      <family val="2"/>
    </font>
    <font>
      <sz val="10"/>
      <color rgb="FF0070C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0" tint="-0.14996795556505021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color rgb="FF00206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rgb="FFFF0000"/>
      <name val="Arial"/>
      <family val="2"/>
    </font>
    <font>
      <sz val="10"/>
      <color rgb="FF002060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4">
    <xf numFmtId="0" fontId="0" fillId="0" borderId="0" xfId="0"/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 applyProtection="1">
      <alignment horizontal="left" vertical="center" wrapText="1"/>
      <protection locked="0"/>
    </xf>
    <xf numFmtId="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9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 applyProtection="1">
      <alignment horizontal="center" vertical="center"/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wrapText="1"/>
    </xf>
    <xf numFmtId="4" fontId="19" fillId="0" borderId="1" xfId="0" applyNumberFormat="1" applyFont="1" applyBorder="1" applyAlignment="1">
      <alignment horizontal="center" vertical="center"/>
    </xf>
    <xf numFmtId="4" fontId="19" fillId="0" borderId="6" xfId="0" applyNumberFormat="1" applyFont="1" applyBorder="1" applyAlignment="1">
      <alignment horizontal="center" vertical="center"/>
    </xf>
    <xf numFmtId="0" fontId="0" fillId="0" borderId="1" xfId="0" applyBorder="1"/>
    <xf numFmtId="0" fontId="18" fillId="0" borderId="0" xfId="0" applyFont="1"/>
    <xf numFmtId="4" fontId="10" fillId="0" borderId="1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7" fontId="21" fillId="0" borderId="1" xfId="0" applyNumberFormat="1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left" wrapText="1"/>
      <protection locked="0"/>
    </xf>
    <xf numFmtId="167" fontId="0" fillId="0" borderId="1" xfId="0" applyNumberFormat="1" applyBorder="1" applyAlignment="1" applyProtection="1">
      <alignment horizontal="center" vertical="center"/>
      <protection locked="0"/>
    </xf>
    <xf numFmtId="0" fontId="21" fillId="0" borderId="1" xfId="0" applyFont="1" applyBorder="1" applyProtection="1">
      <protection locked="0"/>
    </xf>
    <xf numFmtId="0" fontId="2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center"/>
      <protection locked="0"/>
    </xf>
    <xf numFmtId="167" fontId="21" fillId="0" borderId="1" xfId="0" applyNumberFormat="1" applyFont="1" applyBorder="1" applyAlignment="1" applyProtection="1">
      <alignment horizontal="center"/>
      <protection locked="0"/>
    </xf>
    <xf numFmtId="4" fontId="10" fillId="0" borderId="1" xfId="0" applyNumberFormat="1" applyFont="1" applyBorder="1" applyAlignment="1" applyProtection="1">
      <alignment horizontal="center"/>
      <protection locked="0"/>
    </xf>
    <xf numFmtId="4" fontId="19" fillId="0" borderId="1" xfId="0" applyNumberFormat="1" applyFont="1" applyBorder="1" applyAlignment="1">
      <alignment horizontal="center"/>
    </xf>
    <xf numFmtId="4" fontId="19" fillId="0" borderId="6" xfId="0" applyNumberFormat="1" applyFont="1" applyBorder="1" applyAlignment="1">
      <alignment horizontal="center"/>
    </xf>
    <xf numFmtId="0" fontId="14" fillId="3" borderId="3" xfId="0" applyFont="1" applyFill="1" applyBorder="1" applyAlignment="1" applyProtection="1">
      <alignment horizontal="center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0" fillId="3" borderId="3" xfId="0" applyFont="1" applyFill="1" applyBorder="1" applyAlignment="1" applyProtection="1">
      <alignment horizontal="center" vertical="center" wrapText="1"/>
      <protection hidden="1"/>
    </xf>
    <xf numFmtId="0" fontId="10" fillId="3" borderId="7" xfId="0" applyFont="1" applyFill="1" applyBorder="1" applyAlignment="1" applyProtection="1">
      <alignment horizontal="center" vertical="center" wrapText="1"/>
      <protection hidden="1"/>
    </xf>
    <xf numFmtId="0" fontId="14" fillId="4" borderId="7" xfId="0" applyFont="1" applyFill="1" applyBorder="1" applyAlignment="1" applyProtection="1">
      <alignment wrapText="1"/>
      <protection hidden="1"/>
    </xf>
    <xf numFmtId="0" fontId="0" fillId="0" borderId="8" xfId="0" applyBorder="1" applyAlignment="1" applyProtection="1">
      <alignment horizontal="center" vertical="center"/>
      <protection locked="0"/>
    </xf>
    <xf numFmtId="167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 wrapText="1"/>
      <protection locked="0"/>
    </xf>
    <xf numFmtId="4" fontId="10" fillId="0" borderId="2" xfId="0" applyNumberFormat="1" applyFont="1" applyBorder="1" applyAlignment="1" applyProtection="1">
      <alignment horizontal="center" vertical="center"/>
      <protection locked="0"/>
    </xf>
    <xf numFmtId="4" fontId="19" fillId="0" borderId="2" xfId="0" applyNumberFormat="1" applyFont="1" applyBorder="1" applyAlignment="1">
      <alignment horizontal="center" vertical="center"/>
    </xf>
    <xf numFmtId="4" fontId="19" fillId="0" borderId="9" xfId="0" applyNumberFormat="1" applyFont="1" applyBorder="1" applyAlignment="1">
      <alignment horizontal="center" vertical="center"/>
    </xf>
    <xf numFmtId="0" fontId="0" fillId="0" borderId="2" xfId="0" applyBorder="1"/>
    <xf numFmtId="0" fontId="15" fillId="0" borderId="10" xfId="0" applyFont="1" applyBorder="1" applyAlignment="1" applyProtection="1">
      <alignment horizontal="center" vertical="center"/>
      <protection locked="0"/>
    </xf>
    <xf numFmtId="167" fontId="15" fillId="0" borderId="11" xfId="0" applyNumberFormat="1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67" fontId="15" fillId="0" borderId="13" xfId="0" applyNumberFormat="1" applyFont="1" applyBorder="1" applyAlignment="1" applyProtection="1">
      <alignment horizontal="center" vertical="center"/>
      <protection locked="0"/>
    </xf>
    <xf numFmtId="2" fontId="17" fillId="0" borderId="13" xfId="0" applyNumberFormat="1" applyFont="1" applyBorder="1" applyAlignment="1" applyProtection="1">
      <alignment horizontal="left" vertical="center"/>
      <protection locked="0"/>
    </xf>
    <xf numFmtId="0" fontId="18" fillId="0" borderId="13" xfId="0" applyFont="1" applyBorder="1" applyAlignment="1">
      <alignment wrapText="1"/>
    </xf>
    <xf numFmtId="4" fontId="10" fillId="0" borderId="13" xfId="0" applyNumberFormat="1" applyFont="1" applyBorder="1" applyAlignment="1" applyProtection="1">
      <alignment horizontal="center" vertical="center"/>
      <protection locked="0"/>
    </xf>
    <xf numFmtId="4" fontId="19" fillId="0" borderId="13" xfId="0" applyNumberFormat="1" applyFont="1" applyBorder="1" applyAlignment="1">
      <alignment horizontal="center" vertical="center"/>
    </xf>
    <xf numFmtId="4" fontId="20" fillId="0" borderId="13" xfId="0" applyNumberFormat="1" applyFont="1" applyBorder="1" applyAlignment="1">
      <alignment horizontal="center" vertical="center"/>
    </xf>
    <xf numFmtId="0" fontId="18" fillId="0" borderId="13" xfId="0" applyFont="1" applyBorder="1"/>
    <xf numFmtId="0" fontId="0" fillId="0" borderId="13" xfId="0" applyBorder="1"/>
    <xf numFmtId="10" fontId="0" fillId="0" borderId="13" xfId="2" applyNumberFormat="1" applyFont="1" applyBorder="1"/>
    <xf numFmtId="0" fontId="21" fillId="0" borderId="13" xfId="0" applyFont="1" applyBorder="1"/>
    <xf numFmtId="4" fontId="10" fillId="0" borderId="13" xfId="1" applyNumberFormat="1" applyFont="1" applyBorder="1" applyAlignment="1" applyProtection="1">
      <alignment horizontal="center" vertical="center"/>
      <protection locked="0"/>
    </xf>
    <xf numFmtId="4" fontId="14" fillId="0" borderId="13" xfId="0" applyNumberFormat="1" applyFont="1" applyBorder="1" applyAlignment="1" applyProtection="1">
      <alignment horizontal="center" vertical="center"/>
      <protection locked="0"/>
    </xf>
    <xf numFmtId="4" fontId="10" fillId="5" borderId="13" xfId="0" applyNumberFormat="1" applyFont="1" applyFill="1" applyBorder="1" applyAlignment="1" applyProtection="1">
      <alignment horizontal="center" vertical="center"/>
      <protection locked="0"/>
    </xf>
    <xf numFmtId="2" fontId="17" fillId="0" borderId="13" xfId="0" applyNumberFormat="1" applyFont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167" fontId="21" fillId="0" borderId="13" xfId="0" applyNumberFormat="1" applyFont="1" applyBorder="1" applyAlignment="1" applyProtection="1">
      <alignment horizontal="center" vertical="center"/>
      <protection locked="0"/>
    </xf>
    <xf numFmtId="0" fontId="21" fillId="0" borderId="13" xfId="0" applyFont="1" applyBorder="1" applyAlignment="1" applyProtection="1">
      <alignment horizontal="left"/>
      <protection locked="0"/>
    </xf>
    <xf numFmtId="0" fontId="21" fillId="0" borderId="13" xfId="0" applyFont="1" applyBorder="1" applyAlignment="1" applyProtection="1">
      <alignment horizontal="left" wrapText="1"/>
      <protection locked="0"/>
    </xf>
    <xf numFmtId="167" fontId="0" fillId="0" borderId="13" xfId="0" applyNumberFormat="1" applyBorder="1" applyAlignment="1" applyProtection="1">
      <alignment horizontal="center" vertical="center"/>
      <protection locked="0"/>
    </xf>
    <xf numFmtId="167" fontId="0" fillId="0" borderId="13" xfId="0" applyNumberFormat="1" applyBorder="1" applyAlignment="1" applyProtection="1">
      <alignment horizontal="center"/>
      <protection locked="0"/>
    </xf>
    <xf numFmtId="0" fontId="21" fillId="0" borderId="13" xfId="0" applyFont="1" applyBorder="1" applyProtection="1">
      <protection locked="0"/>
    </xf>
    <xf numFmtId="0" fontId="21" fillId="0" borderId="13" xfId="0" applyFont="1" applyBorder="1" applyAlignment="1" applyProtection="1">
      <alignment wrapText="1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167" fontId="0" fillId="0" borderId="16" xfId="0" applyNumberForma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 wrapText="1"/>
      <protection locked="0"/>
    </xf>
    <xf numFmtId="4" fontId="10" fillId="0" borderId="16" xfId="0" applyNumberFormat="1" applyFont="1" applyBorder="1" applyAlignment="1" applyProtection="1">
      <alignment horizontal="center" vertical="center"/>
      <protection locked="0"/>
    </xf>
    <xf numFmtId="4" fontId="19" fillId="0" borderId="16" xfId="0" applyNumberFormat="1" applyFont="1" applyBorder="1" applyAlignment="1">
      <alignment horizontal="center" vertical="center"/>
    </xf>
    <xf numFmtId="0" fontId="0" fillId="0" borderId="16" xfId="0" applyBorder="1"/>
    <xf numFmtId="0" fontId="13" fillId="0" borderId="0" xfId="0" applyFont="1" applyAlignment="1">
      <alignment horizontal="left"/>
    </xf>
    <xf numFmtId="167" fontId="15" fillId="0" borderId="11" xfId="0" applyNumberFormat="1" applyFont="1" applyBorder="1" applyAlignment="1" applyProtection="1">
      <alignment horizontal="left" vertical="center"/>
      <protection locked="0"/>
    </xf>
    <xf numFmtId="167" fontId="15" fillId="0" borderId="13" xfId="0" applyNumberFormat="1" applyFont="1" applyBorder="1" applyAlignment="1" applyProtection="1">
      <alignment horizontal="left" vertical="center"/>
      <protection locked="0"/>
    </xf>
    <xf numFmtId="167" fontId="21" fillId="0" borderId="13" xfId="0" applyNumberFormat="1" applyFont="1" applyBorder="1" applyAlignment="1" applyProtection="1">
      <alignment horizontal="left" vertical="center"/>
      <protection locked="0"/>
    </xf>
    <xf numFmtId="167" fontId="0" fillId="0" borderId="13" xfId="0" applyNumberFormat="1" applyBorder="1" applyAlignment="1" applyProtection="1">
      <alignment horizontal="left" vertical="center"/>
      <protection locked="0"/>
    </xf>
    <xf numFmtId="167" fontId="0" fillId="0" borderId="13" xfId="0" applyNumberFormat="1" applyBorder="1" applyAlignment="1" applyProtection="1">
      <alignment horizontal="left"/>
      <protection locked="0"/>
    </xf>
    <xf numFmtId="167" fontId="0" fillId="0" borderId="16" xfId="0" applyNumberFormat="1" applyBorder="1" applyAlignment="1" applyProtection="1">
      <alignment horizontal="left" vertical="center"/>
      <protection locked="0"/>
    </xf>
    <xf numFmtId="167" fontId="0" fillId="0" borderId="2" xfId="0" applyNumberFormat="1" applyBorder="1" applyAlignment="1" applyProtection="1">
      <alignment horizontal="left" vertical="center"/>
      <protection locked="0"/>
    </xf>
    <xf numFmtId="167" fontId="0" fillId="0" borderId="1" xfId="0" applyNumberFormat="1" applyBorder="1" applyAlignment="1" applyProtection="1">
      <alignment horizontal="left" vertical="center"/>
      <protection locked="0"/>
    </xf>
    <xf numFmtId="167" fontId="21" fillId="0" borderId="1" xfId="0" applyNumberFormat="1" applyFont="1" applyBorder="1" applyAlignment="1" applyProtection="1">
      <alignment horizontal="left" vertical="center"/>
      <protection locked="0"/>
    </xf>
    <xf numFmtId="167" fontId="21" fillId="0" borderId="1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2" borderId="7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8" fillId="3" borderId="25" xfId="0" applyFont="1" applyFill="1" applyBorder="1" applyAlignment="1">
      <alignment horizontal="center" vertical="center" wrapText="1"/>
    </xf>
    <xf numFmtId="0" fontId="15" fillId="0" borderId="5" xfId="0" quotePrefix="1" applyFont="1" applyBorder="1" applyAlignment="1">
      <alignment horizontal="center" vertical="center"/>
    </xf>
    <xf numFmtId="2" fontId="17" fillId="0" borderId="6" xfId="0" applyNumberFormat="1" applyFont="1" applyBorder="1" applyAlignment="1">
      <alignment horizontal="left" vertical="center"/>
    </xf>
    <xf numFmtId="4" fontId="10" fillId="0" borderId="6" xfId="0" applyNumberFormat="1" applyFont="1" applyBorder="1" applyAlignment="1">
      <alignment horizontal="center" vertical="center"/>
    </xf>
    <xf numFmtId="4" fontId="19" fillId="0" borderId="26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7" xfId="0" quotePrefix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" fontId="19" fillId="0" borderId="2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0" fontId="4" fillId="3" borderId="20" xfId="0" applyFont="1" applyFill="1" applyBorder="1" applyAlignment="1">
      <alignment horizontal="left"/>
    </xf>
    <xf numFmtId="0" fontId="27" fillId="3" borderId="18" xfId="0" applyFont="1" applyFill="1" applyBorder="1" applyAlignment="1">
      <alignment horizontal="left" vertical="center" wrapText="1"/>
    </xf>
    <xf numFmtId="167" fontId="16" fillId="0" borderId="6" xfId="0" applyNumberFormat="1" applyFont="1" applyBorder="1" applyAlignment="1">
      <alignment horizontal="left" vertical="center"/>
    </xf>
    <xf numFmtId="4" fontId="0" fillId="0" borderId="0" xfId="0" applyNumberFormat="1"/>
    <xf numFmtId="0" fontId="10" fillId="3" borderId="20" xfId="0" applyFont="1" applyFill="1" applyBorder="1" applyAlignment="1">
      <alignment horizontal="center"/>
    </xf>
    <xf numFmtId="0" fontId="28" fillId="3" borderId="18" xfId="0" applyFont="1" applyFill="1" applyBorder="1" applyAlignment="1">
      <alignment horizontal="center" vertical="center" wrapText="1"/>
    </xf>
    <xf numFmtId="0" fontId="30" fillId="0" borderId="6" xfId="0" applyFont="1" applyBorder="1" applyAlignment="1">
      <alignment vertical="center"/>
    </xf>
    <xf numFmtId="0" fontId="31" fillId="0" borderId="0" xfId="0" applyFont="1"/>
    <xf numFmtId="167" fontId="30" fillId="0" borderId="6" xfId="0" applyNumberFormat="1" applyFont="1" applyBorder="1" applyAlignment="1">
      <alignment horizontal="left" vertical="center"/>
    </xf>
    <xf numFmtId="2" fontId="21" fillId="0" borderId="6" xfId="0" applyNumberFormat="1" applyFont="1" applyBorder="1" applyAlignment="1">
      <alignment horizontal="left" vertical="center"/>
    </xf>
    <xf numFmtId="43" fontId="23" fillId="0" borderId="1" xfId="1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15" fillId="0" borderId="1" xfId="0" applyFont="1" applyBorder="1" applyAlignment="1" applyProtection="1">
      <alignment horizontal="left" vertical="center"/>
      <protection locked="0"/>
    </xf>
    <xf numFmtId="0" fontId="32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left"/>
    </xf>
    <xf numFmtId="0" fontId="16" fillId="0" borderId="13" xfId="0" applyFont="1" applyBorder="1" applyAlignment="1" applyProtection="1">
      <alignment horizontal="left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2" fontId="17" fillId="0" borderId="1" xfId="0" applyNumberFormat="1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wrapText="1"/>
      <protection hidden="1"/>
    </xf>
    <xf numFmtId="0" fontId="21" fillId="0" borderId="1" xfId="0" applyFont="1" applyBorder="1" applyProtection="1">
      <protection hidden="1"/>
    </xf>
    <xf numFmtId="2" fontId="33" fillId="0" borderId="1" xfId="0" applyNumberFormat="1" applyFont="1" applyBorder="1" applyAlignment="1" applyProtection="1">
      <alignment horizontal="center" vertical="center"/>
      <protection locked="0"/>
    </xf>
    <xf numFmtId="0" fontId="34" fillId="0" borderId="1" xfId="0" applyFont="1" applyBorder="1" applyProtection="1">
      <protection hidden="1"/>
    </xf>
    <xf numFmtId="0" fontId="14" fillId="4" borderId="3" xfId="0" applyFont="1" applyFill="1" applyBorder="1" applyAlignment="1" applyProtection="1">
      <alignment horizontal="center" vertical="center" wrapText="1"/>
      <protection hidden="1"/>
    </xf>
    <xf numFmtId="4" fontId="28" fillId="0" borderId="1" xfId="0" applyNumberFormat="1" applyFont="1" applyBorder="1" applyAlignment="1" applyProtection="1">
      <alignment horizontal="center" vertical="center"/>
      <protection locked="0"/>
    </xf>
    <xf numFmtId="4" fontId="20" fillId="0" borderId="1" xfId="0" applyNumberFormat="1" applyFont="1" applyBorder="1" applyAlignment="1" applyProtection="1">
      <alignment horizontal="center" vertical="center"/>
      <protection locked="0"/>
    </xf>
    <xf numFmtId="4" fontId="10" fillId="0" borderId="1" xfId="0" applyNumberFormat="1" applyFont="1" applyBorder="1" applyAlignment="1" applyProtection="1">
      <alignment horizontal="center" vertical="center"/>
      <protection hidden="1"/>
    </xf>
    <xf numFmtId="0" fontId="21" fillId="0" borderId="1" xfId="0" applyFont="1" applyBorder="1"/>
    <xf numFmtId="0" fontId="0" fillId="0" borderId="1" xfId="0" applyBorder="1" applyAlignment="1">
      <alignment horizontal="center" vertical="center"/>
    </xf>
    <xf numFmtId="9" fontId="21" fillId="0" borderId="1" xfId="2" applyFont="1" applyBorder="1" applyProtection="1">
      <protection hidden="1"/>
    </xf>
    <xf numFmtId="9" fontId="21" fillId="0" borderId="1" xfId="2" applyFont="1" applyFill="1" applyBorder="1" applyProtection="1">
      <protection hidden="1"/>
    </xf>
    <xf numFmtId="4" fontId="28" fillId="0" borderId="1" xfId="0" applyNumberFormat="1" applyFont="1" applyBorder="1" applyAlignment="1" applyProtection="1">
      <alignment horizontal="center" vertical="center"/>
      <protection hidden="1"/>
    </xf>
    <xf numFmtId="168" fontId="0" fillId="0" borderId="0" xfId="0" applyNumberFormat="1"/>
    <xf numFmtId="168" fontId="14" fillId="4" borderId="7" xfId="0" applyNumberFormat="1" applyFont="1" applyFill="1" applyBorder="1" applyAlignment="1" applyProtection="1">
      <alignment horizontal="center" vertical="center" wrapText="1"/>
      <protection hidden="1"/>
    </xf>
    <xf numFmtId="168" fontId="21" fillId="0" borderId="1" xfId="0" applyNumberFormat="1" applyFont="1" applyBorder="1" applyProtection="1">
      <protection hidden="1"/>
    </xf>
    <xf numFmtId="168" fontId="0" fillId="0" borderId="14" xfId="0" applyNumberFormat="1" applyBorder="1"/>
    <xf numFmtId="168" fontId="0" fillId="0" borderId="17" xfId="0" applyNumberFormat="1" applyBorder="1"/>
    <xf numFmtId="168" fontId="0" fillId="0" borderId="2" xfId="0" applyNumberFormat="1" applyBorder="1"/>
    <xf numFmtId="168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2" fillId="0" borderId="0" xfId="0" applyFont="1"/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left" vertical="center"/>
    </xf>
    <xf numFmtId="4" fontId="13" fillId="0" borderId="1" xfId="0" applyNumberFormat="1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164" fontId="9" fillId="0" borderId="0" xfId="0" applyNumberFormat="1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33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5" fillId="0" borderId="18" xfId="0" applyFont="1" applyBorder="1" applyAlignment="1">
      <alignment horizontal="left" wrapText="1"/>
    </xf>
    <xf numFmtId="0" fontId="25" fillId="0" borderId="0" xfId="0" applyFont="1" applyAlignment="1">
      <alignment horizontal="left" wrapText="1"/>
    </xf>
    <xf numFmtId="0" fontId="25" fillId="0" borderId="18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164" fontId="13" fillId="0" borderId="1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textRotation="90" wrapText="1"/>
    </xf>
    <xf numFmtId="0" fontId="29" fillId="0" borderId="24" xfId="0" applyFont="1" applyBorder="1" applyAlignment="1">
      <alignment horizontal="center" textRotation="90" wrapText="1"/>
    </xf>
    <xf numFmtId="0" fontId="6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4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4" fontId="7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"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4D6A-7CAC-4550-92D2-C2963B7952D6}">
  <sheetPr codeName="Sheet1"/>
  <dimension ref="A1:T395"/>
  <sheetViews>
    <sheetView tabSelected="1" workbookViewId="0">
      <selection activeCell="G19" sqref="G19"/>
    </sheetView>
  </sheetViews>
  <sheetFormatPr defaultRowHeight="15" x14ac:dyDescent="0.25"/>
  <cols>
    <col min="2" max="2" width="18.7109375" style="93" bestFit="1" customWidth="1"/>
    <col min="3" max="3" width="14.42578125" style="93" bestFit="1" customWidth="1"/>
    <col min="4" max="4" width="11" customWidth="1"/>
    <col min="5" max="5" width="19" bestFit="1" customWidth="1"/>
    <col min="6" max="6" width="45.85546875" customWidth="1"/>
    <col min="7" max="7" width="10.5703125" customWidth="1"/>
    <col min="10" max="10" width="10.7109375" customWidth="1"/>
    <col min="11" max="11" width="10.85546875" customWidth="1"/>
    <col min="12" max="12" width="16" customWidth="1"/>
    <col min="13" max="13" width="15.140625" customWidth="1"/>
    <col min="16" max="16" width="12.85546875" customWidth="1"/>
    <col min="17" max="17" width="14.28515625" customWidth="1"/>
    <col min="18" max="18" width="11.140625" customWidth="1"/>
    <col min="19" max="19" width="18" style="154" customWidth="1"/>
  </cols>
  <sheetData>
    <row r="1" spans="1:20" x14ac:dyDescent="0.25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</row>
    <row r="2" spans="1:20" ht="15" customHeight="1" x14ac:dyDescent="0.25">
      <c r="A2" s="171" t="s">
        <v>1</v>
      </c>
      <c r="B2" s="171"/>
      <c r="C2" s="178" t="s">
        <v>84</v>
      </c>
      <c r="D2" s="179"/>
      <c r="E2" s="179"/>
      <c r="F2" s="179"/>
      <c r="G2" s="133"/>
      <c r="H2" s="133"/>
      <c r="I2" s="133"/>
      <c r="J2" s="133"/>
      <c r="K2" s="133"/>
      <c r="L2" s="1"/>
      <c r="M2" s="1"/>
      <c r="N2" s="1"/>
    </row>
    <row r="3" spans="1:20" x14ac:dyDescent="0.25">
      <c r="A3" s="172" t="s">
        <v>2</v>
      </c>
      <c r="B3" s="172"/>
      <c r="C3" s="173" t="s">
        <v>3</v>
      </c>
      <c r="D3" s="173"/>
      <c r="E3" s="173"/>
      <c r="F3" s="173"/>
      <c r="G3" s="173"/>
      <c r="H3" s="173"/>
      <c r="I3" s="173"/>
      <c r="J3" s="173"/>
      <c r="K3" s="173"/>
      <c r="L3" s="1"/>
      <c r="M3" s="1"/>
      <c r="N3" s="1"/>
    </row>
    <row r="4" spans="1:20" ht="15.75" x14ac:dyDescent="0.25">
      <c r="A4" s="174" t="s">
        <v>4</v>
      </c>
      <c r="B4" s="136" t="s">
        <v>5</v>
      </c>
      <c r="C4" s="176">
        <v>4704544</v>
      </c>
      <c r="D4" s="176"/>
      <c r="E4" s="176"/>
      <c r="F4" s="2"/>
      <c r="G4" s="3"/>
      <c r="H4" s="3"/>
      <c r="I4" s="3"/>
      <c r="J4" s="4"/>
      <c r="K4" s="1"/>
      <c r="L4" s="1"/>
      <c r="M4" s="1"/>
      <c r="N4" s="1"/>
    </row>
    <row r="5" spans="1:20" ht="15.75" x14ac:dyDescent="0.25">
      <c r="A5" s="174"/>
      <c r="B5" s="6"/>
      <c r="C5" s="5"/>
      <c r="D5" s="5"/>
      <c r="E5" s="6"/>
      <c r="F5" s="7"/>
      <c r="G5" s="5"/>
      <c r="H5" s="5"/>
      <c r="I5" s="5"/>
      <c r="J5" s="168" t="s">
        <v>6</v>
      </c>
      <c r="K5" s="168"/>
      <c r="L5" s="177" t="s">
        <v>7</v>
      </c>
      <c r="M5" s="177" t="s">
        <v>8</v>
      </c>
      <c r="N5" s="8"/>
    </row>
    <row r="6" spans="1:20" ht="15.75" x14ac:dyDescent="0.25">
      <c r="A6" s="174"/>
      <c r="B6" s="6"/>
      <c r="C6" s="5"/>
      <c r="D6" s="5"/>
      <c r="E6" s="6"/>
      <c r="F6" s="7"/>
      <c r="G6" s="9"/>
      <c r="H6" s="9"/>
      <c r="I6" s="9"/>
      <c r="J6" s="169"/>
      <c r="K6" s="169"/>
      <c r="L6" s="177"/>
      <c r="M6" s="177"/>
      <c r="N6" s="8"/>
    </row>
    <row r="7" spans="1:20" ht="15.75" x14ac:dyDescent="0.25">
      <c r="A7" s="175"/>
      <c r="B7" s="6"/>
      <c r="C7" s="82"/>
      <c r="D7" s="10"/>
      <c r="E7" s="165" t="s">
        <v>9</v>
      </c>
      <c r="F7" s="165"/>
      <c r="G7" s="165"/>
      <c r="H7" s="11"/>
      <c r="I7" s="11"/>
      <c r="J7" s="166">
        <f>K5+K6+C4+C5+C6+G5+G6</f>
        <v>4704544</v>
      </c>
      <c r="K7" s="167"/>
      <c r="L7" s="12">
        <f>SUM(K9:K282)</f>
        <v>2141036.8249999997</v>
      </c>
      <c r="M7" s="13">
        <f>L7/J7*100</f>
        <v>45.50997556830162</v>
      </c>
      <c r="N7" s="12"/>
    </row>
    <row r="8" spans="1:20" ht="51.75" thickBot="1" x14ac:dyDescent="0.3">
      <c r="A8" s="34" t="s">
        <v>10</v>
      </c>
      <c r="B8" s="35" t="s">
        <v>11</v>
      </c>
      <c r="C8" s="35" t="s">
        <v>12</v>
      </c>
      <c r="D8" s="34" t="s">
        <v>13</v>
      </c>
      <c r="E8" s="34" t="s">
        <v>14</v>
      </c>
      <c r="F8" s="145" t="s">
        <v>15</v>
      </c>
      <c r="G8" s="36" t="s">
        <v>68</v>
      </c>
      <c r="H8" s="36" t="s">
        <v>16</v>
      </c>
      <c r="I8" s="36" t="s">
        <v>17</v>
      </c>
      <c r="J8" s="36" t="s">
        <v>18</v>
      </c>
      <c r="K8" s="36" t="s">
        <v>19</v>
      </c>
      <c r="L8" s="37" t="s">
        <v>20</v>
      </c>
      <c r="M8" s="37" t="s">
        <v>21</v>
      </c>
      <c r="N8" s="37" t="s">
        <v>22</v>
      </c>
      <c r="O8" s="37" t="s">
        <v>23</v>
      </c>
      <c r="P8" s="38" t="s">
        <v>24</v>
      </c>
      <c r="Q8" s="38" t="s">
        <v>25</v>
      </c>
      <c r="R8" s="38" t="s">
        <v>26</v>
      </c>
      <c r="S8" s="155" t="s">
        <v>27</v>
      </c>
      <c r="T8" s="14"/>
    </row>
    <row r="9" spans="1:20" ht="39" x14ac:dyDescent="0.25">
      <c r="A9" s="47">
        <v>1</v>
      </c>
      <c r="B9" s="134">
        <v>994859574</v>
      </c>
      <c r="C9" s="83">
        <v>45678</v>
      </c>
      <c r="D9" s="48"/>
      <c r="E9" s="140" t="s">
        <v>85</v>
      </c>
      <c r="F9" s="141" t="s">
        <v>86</v>
      </c>
      <c r="G9" s="19">
        <v>68300</v>
      </c>
      <c r="H9" s="19"/>
      <c r="I9" s="19">
        <f>G9*H9/100</f>
        <v>0</v>
      </c>
      <c r="J9" s="148">
        <f>G9+I9</f>
        <v>68300</v>
      </c>
      <c r="K9" s="148">
        <f>J9</f>
        <v>68300</v>
      </c>
      <c r="L9" s="148">
        <f>K9</f>
        <v>68300</v>
      </c>
      <c r="M9" s="149" t="s">
        <v>28</v>
      </c>
      <c r="N9" s="150" t="str">
        <f>IF(S9="","",CHOOSE(INT(MOD(MONTH(S9)-7,12)/3)+1,"Q1","Q2","Q3","Q4"))</f>
        <v/>
      </c>
      <c r="O9" s="150" t="str">
        <f>IF(S9="","",YEAR(S9))</f>
        <v/>
      </c>
      <c r="P9" s="142">
        <v>4700017534</v>
      </c>
      <c r="Q9" s="142">
        <v>1000063669</v>
      </c>
      <c r="R9" s="151">
        <f t="shared" ref="R9:R65" si="0">L9/4707544</f>
        <v>1.4508627003804956E-2</v>
      </c>
      <c r="S9" s="156"/>
    </row>
    <row r="10" spans="1:20" x14ac:dyDescent="0.25">
      <c r="A10" s="49">
        <v>2</v>
      </c>
      <c r="B10" s="134">
        <v>994859502</v>
      </c>
      <c r="C10" s="84">
        <v>45682</v>
      </c>
      <c r="D10" s="50"/>
      <c r="E10" s="140" t="s">
        <v>87</v>
      </c>
      <c r="F10" s="142" t="s">
        <v>88</v>
      </c>
      <c r="G10" s="19">
        <v>39220</v>
      </c>
      <c r="H10" s="19"/>
      <c r="I10" s="19">
        <f t="shared" ref="I10:I65" si="1">G10*H10/100</f>
        <v>0</v>
      </c>
      <c r="J10" s="148">
        <f t="shared" ref="J10:J65" si="2">G10+I10</f>
        <v>39220</v>
      </c>
      <c r="K10" s="148">
        <f t="shared" ref="K10:K66" si="3">J10</f>
        <v>39220</v>
      </c>
      <c r="L10" s="148">
        <f>L9+K10</f>
        <v>107520</v>
      </c>
      <c r="M10" s="149" t="s">
        <v>28</v>
      </c>
      <c r="N10" s="150" t="str">
        <f t="shared" ref="N10:N66" si="4">IF(S10="","",CHOOSE(INT(MOD(MONTH(S10)-7,12)/3)+1,"Q1","Q2","Q3","Q4"))</f>
        <v/>
      </c>
      <c r="O10" s="150" t="str">
        <f t="shared" ref="O10:O66" si="5">IF(S10="","",YEAR(S10))</f>
        <v/>
      </c>
      <c r="P10" s="142">
        <v>4700017529</v>
      </c>
      <c r="Q10" s="142">
        <v>1000063662</v>
      </c>
      <c r="R10" s="151">
        <f t="shared" si="0"/>
        <v>2.2839935218874216E-2</v>
      </c>
      <c r="S10" s="156"/>
    </row>
    <row r="11" spans="1:20" x14ac:dyDescent="0.25">
      <c r="A11" s="49">
        <v>3</v>
      </c>
      <c r="B11" s="134">
        <v>994859510</v>
      </c>
      <c r="C11" s="84">
        <v>45687</v>
      </c>
      <c r="D11" s="50"/>
      <c r="E11" s="140" t="s">
        <v>87</v>
      </c>
      <c r="F11" s="142" t="s">
        <v>89</v>
      </c>
      <c r="G11" s="19">
        <v>65629</v>
      </c>
      <c r="H11" s="19"/>
      <c r="I11" s="19">
        <f t="shared" si="1"/>
        <v>0</v>
      </c>
      <c r="J11" s="148">
        <f t="shared" si="2"/>
        <v>65629</v>
      </c>
      <c r="K11" s="148">
        <f t="shared" si="3"/>
        <v>65629</v>
      </c>
      <c r="L11" s="148">
        <f t="shared" ref="L11:L66" si="6">L10+K11</f>
        <v>173149</v>
      </c>
      <c r="M11" s="149" t="s">
        <v>28</v>
      </c>
      <c r="N11" s="150" t="str">
        <f t="shared" si="4"/>
        <v/>
      </c>
      <c r="O11" s="150" t="str">
        <f t="shared" si="5"/>
        <v/>
      </c>
      <c r="P11" s="142">
        <v>4700017572</v>
      </c>
      <c r="Q11" s="142">
        <v>1000063844</v>
      </c>
      <c r="R11" s="151">
        <f t="shared" si="0"/>
        <v>3.678117506708381E-2</v>
      </c>
      <c r="S11" s="156"/>
    </row>
    <row r="12" spans="1:20" x14ac:dyDescent="0.25">
      <c r="A12" s="49">
        <v>4</v>
      </c>
      <c r="B12" s="134">
        <v>994859557</v>
      </c>
      <c r="C12" s="84">
        <v>45698</v>
      </c>
      <c r="D12" s="50"/>
      <c r="E12" s="140" t="s">
        <v>87</v>
      </c>
      <c r="F12" s="142" t="s">
        <v>90</v>
      </c>
      <c r="G12" s="19">
        <v>3500</v>
      </c>
      <c r="H12" s="19"/>
      <c r="I12" s="19">
        <f t="shared" si="1"/>
        <v>0</v>
      </c>
      <c r="J12" s="148">
        <f t="shared" si="2"/>
        <v>3500</v>
      </c>
      <c r="K12" s="148">
        <f t="shared" si="3"/>
        <v>3500</v>
      </c>
      <c r="L12" s="148">
        <f t="shared" si="6"/>
        <v>176649</v>
      </c>
      <c r="M12" s="149" t="s">
        <v>28</v>
      </c>
      <c r="N12" s="150" t="str">
        <f t="shared" si="4"/>
        <v/>
      </c>
      <c r="O12" s="150" t="str">
        <f t="shared" si="5"/>
        <v/>
      </c>
      <c r="P12" s="142">
        <v>4700017621</v>
      </c>
      <c r="Q12" s="142">
        <v>1000063997</v>
      </c>
      <c r="R12" s="151">
        <f t="shared" si="0"/>
        <v>3.7524662541656539E-2</v>
      </c>
      <c r="S12" s="156"/>
    </row>
    <row r="13" spans="1:20" ht="26.25" x14ac:dyDescent="0.25">
      <c r="A13" s="49">
        <v>5</v>
      </c>
      <c r="B13" s="134">
        <v>994859735</v>
      </c>
      <c r="C13" s="84">
        <v>45704</v>
      </c>
      <c r="D13" s="50"/>
      <c r="E13" s="140" t="s">
        <v>85</v>
      </c>
      <c r="F13" s="141" t="s">
        <v>91</v>
      </c>
      <c r="G13" s="19">
        <v>7600</v>
      </c>
      <c r="H13" s="19"/>
      <c r="I13" s="19">
        <f t="shared" si="1"/>
        <v>0</v>
      </c>
      <c r="J13" s="148">
        <f t="shared" si="2"/>
        <v>7600</v>
      </c>
      <c r="K13" s="148">
        <f t="shared" si="3"/>
        <v>7600</v>
      </c>
      <c r="L13" s="148">
        <f t="shared" si="6"/>
        <v>184249</v>
      </c>
      <c r="M13" s="149" t="s">
        <v>28</v>
      </c>
      <c r="N13" s="150" t="str">
        <f t="shared" si="4"/>
        <v/>
      </c>
      <c r="O13" s="150" t="str">
        <f t="shared" si="5"/>
        <v/>
      </c>
      <c r="P13" s="142">
        <v>4700017579</v>
      </c>
      <c r="Q13" s="142">
        <v>1000063858</v>
      </c>
      <c r="R13" s="151">
        <f t="shared" si="0"/>
        <v>3.9139092486443039E-2</v>
      </c>
      <c r="S13" s="156"/>
    </row>
    <row r="14" spans="1:20" x14ac:dyDescent="0.25">
      <c r="A14" s="49">
        <v>6</v>
      </c>
      <c r="B14" s="134">
        <v>994859544</v>
      </c>
      <c r="C14" s="84">
        <v>45695</v>
      </c>
      <c r="D14" s="50"/>
      <c r="E14" s="140" t="s">
        <v>92</v>
      </c>
      <c r="F14" s="142" t="s">
        <v>93</v>
      </c>
      <c r="G14" s="19">
        <v>4350</v>
      </c>
      <c r="H14" s="19"/>
      <c r="I14" s="19">
        <f t="shared" si="1"/>
        <v>0</v>
      </c>
      <c r="J14" s="148">
        <f t="shared" si="2"/>
        <v>4350</v>
      </c>
      <c r="K14" s="148">
        <f t="shared" si="3"/>
        <v>4350</v>
      </c>
      <c r="L14" s="148">
        <f t="shared" si="6"/>
        <v>188599</v>
      </c>
      <c r="M14" s="149" t="s">
        <v>28</v>
      </c>
      <c r="N14" s="150" t="str">
        <f t="shared" si="4"/>
        <v/>
      </c>
      <c r="O14" s="150" t="str">
        <f t="shared" si="5"/>
        <v/>
      </c>
      <c r="P14" s="142">
        <v>4700017916</v>
      </c>
      <c r="Q14" s="142">
        <v>1000065650</v>
      </c>
      <c r="R14" s="151">
        <f t="shared" si="0"/>
        <v>4.0063141204840572E-2</v>
      </c>
      <c r="S14" s="156"/>
    </row>
    <row r="15" spans="1:20" x14ac:dyDescent="0.25">
      <c r="A15" s="49">
        <v>7</v>
      </c>
      <c r="B15" s="134">
        <v>994859637</v>
      </c>
      <c r="C15" s="84">
        <v>45708</v>
      </c>
      <c r="D15" s="50"/>
      <c r="E15" s="140" t="s">
        <v>87</v>
      </c>
      <c r="F15" s="142" t="s">
        <v>94</v>
      </c>
      <c r="G15" s="19">
        <v>166050</v>
      </c>
      <c r="H15" s="19"/>
      <c r="I15" s="19">
        <f t="shared" si="1"/>
        <v>0</v>
      </c>
      <c r="J15" s="148">
        <f t="shared" si="2"/>
        <v>166050</v>
      </c>
      <c r="K15" s="148">
        <f t="shared" si="3"/>
        <v>166050</v>
      </c>
      <c r="L15" s="148">
        <f t="shared" si="6"/>
        <v>354649</v>
      </c>
      <c r="M15" s="149" t="s">
        <v>28</v>
      </c>
      <c r="N15" s="150" t="str">
        <f t="shared" si="4"/>
        <v/>
      </c>
      <c r="O15" s="150" t="str">
        <f t="shared" si="5"/>
        <v/>
      </c>
      <c r="P15" s="142">
        <v>4700017939</v>
      </c>
      <c r="Q15" s="142">
        <v>1000066037</v>
      </c>
      <c r="R15" s="151">
        <f t="shared" si="0"/>
        <v>7.5336311248498156E-2</v>
      </c>
      <c r="S15" s="156"/>
    </row>
    <row r="16" spans="1:20" x14ac:dyDescent="0.25">
      <c r="A16" s="49">
        <v>8</v>
      </c>
      <c r="B16" s="134">
        <v>994859648</v>
      </c>
      <c r="C16" s="84">
        <v>45730</v>
      </c>
      <c r="D16" s="50"/>
      <c r="E16" s="140" t="s">
        <v>85</v>
      </c>
      <c r="F16" s="142" t="s">
        <v>95</v>
      </c>
      <c r="G16" s="19">
        <v>8480</v>
      </c>
      <c r="H16" s="19"/>
      <c r="I16" s="19">
        <f t="shared" si="1"/>
        <v>0</v>
      </c>
      <c r="J16" s="148">
        <f t="shared" si="2"/>
        <v>8480</v>
      </c>
      <c r="K16" s="148">
        <f t="shared" si="3"/>
        <v>8480</v>
      </c>
      <c r="L16" s="148">
        <f t="shared" si="6"/>
        <v>363129</v>
      </c>
      <c r="M16" s="149" t="s">
        <v>28</v>
      </c>
      <c r="N16" s="150" t="str">
        <f t="shared" si="4"/>
        <v/>
      </c>
      <c r="O16" s="150" t="str">
        <f t="shared" si="5"/>
        <v/>
      </c>
      <c r="P16" s="142">
        <v>4700017938</v>
      </c>
      <c r="Q16" s="142">
        <v>1000066041</v>
      </c>
      <c r="R16" s="151">
        <f t="shared" si="0"/>
        <v>7.7137675186891505E-2</v>
      </c>
      <c r="S16" s="156"/>
    </row>
    <row r="17" spans="1:19" x14ac:dyDescent="0.25">
      <c r="A17" s="49">
        <v>9</v>
      </c>
      <c r="B17" s="135">
        <v>994859676</v>
      </c>
      <c r="C17" s="84">
        <v>45733</v>
      </c>
      <c r="D17" s="50"/>
      <c r="E17" s="143" t="s">
        <v>92</v>
      </c>
      <c r="F17" s="144" t="s">
        <v>96</v>
      </c>
      <c r="G17" s="146">
        <v>4350</v>
      </c>
      <c r="H17" s="19"/>
      <c r="I17" s="19">
        <f t="shared" si="1"/>
        <v>0</v>
      </c>
      <c r="J17" s="148">
        <f t="shared" si="2"/>
        <v>4350</v>
      </c>
      <c r="K17" s="148">
        <f t="shared" si="3"/>
        <v>4350</v>
      </c>
      <c r="L17" s="148">
        <f t="shared" si="6"/>
        <v>367479</v>
      </c>
      <c r="M17" s="149" t="s">
        <v>28</v>
      </c>
      <c r="N17" s="150" t="str">
        <f t="shared" si="4"/>
        <v/>
      </c>
      <c r="O17" s="150" t="str">
        <f t="shared" si="5"/>
        <v/>
      </c>
      <c r="P17" s="142">
        <v>4700018445</v>
      </c>
      <c r="Q17" s="142">
        <v>1000067588</v>
      </c>
      <c r="R17" s="151">
        <f t="shared" si="0"/>
        <v>7.8061723905289038E-2</v>
      </c>
      <c r="S17" s="156"/>
    </row>
    <row r="18" spans="1:19" x14ac:dyDescent="0.25">
      <c r="A18" s="49">
        <v>10</v>
      </c>
      <c r="B18" s="134">
        <v>994859701</v>
      </c>
      <c r="C18" s="84">
        <v>45733</v>
      </c>
      <c r="D18" s="50"/>
      <c r="E18" s="143" t="s">
        <v>92</v>
      </c>
      <c r="F18" s="144" t="s">
        <v>97</v>
      </c>
      <c r="G18" s="146">
        <v>4350</v>
      </c>
      <c r="H18" s="19"/>
      <c r="I18" s="19">
        <f t="shared" si="1"/>
        <v>0</v>
      </c>
      <c r="J18" s="148">
        <f t="shared" si="2"/>
        <v>4350</v>
      </c>
      <c r="K18" s="148">
        <f t="shared" si="3"/>
        <v>4350</v>
      </c>
      <c r="L18" s="148">
        <f t="shared" si="6"/>
        <v>371829</v>
      </c>
      <c r="M18" s="149" t="s">
        <v>28</v>
      </c>
      <c r="N18" s="150" t="str">
        <f t="shared" si="4"/>
        <v/>
      </c>
      <c r="O18" s="150" t="str">
        <f t="shared" si="5"/>
        <v/>
      </c>
      <c r="P18" s="142">
        <v>4700018803</v>
      </c>
      <c r="Q18" s="142">
        <v>1000069144</v>
      </c>
      <c r="R18" s="151">
        <f t="shared" si="0"/>
        <v>7.898577262368657E-2</v>
      </c>
      <c r="S18" s="156"/>
    </row>
    <row r="19" spans="1:19" x14ac:dyDescent="0.25">
      <c r="A19" s="49">
        <v>11</v>
      </c>
      <c r="B19" s="134">
        <v>994859699</v>
      </c>
      <c r="C19" s="84">
        <v>45737</v>
      </c>
      <c r="D19" s="50"/>
      <c r="E19" s="143" t="s">
        <v>92</v>
      </c>
      <c r="F19" s="144" t="s">
        <v>98</v>
      </c>
      <c r="G19" s="146">
        <v>4350</v>
      </c>
      <c r="H19" s="19"/>
      <c r="I19" s="19">
        <f t="shared" si="1"/>
        <v>0</v>
      </c>
      <c r="J19" s="148">
        <f t="shared" si="2"/>
        <v>4350</v>
      </c>
      <c r="K19" s="148">
        <f t="shared" si="3"/>
        <v>4350</v>
      </c>
      <c r="L19" s="148">
        <f t="shared" si="6"/>
        <v>376179</v>
      </c>
      <c r="M19" s="149" t="s">
        <v>28</v>
      </c>
      <c r="N19" s="150" t="str">
        <f t="shared" si="4"/>
        <v/>
      </c>
      <c r="O19" s="150" t="str">
        <f t="shared" si="5"/>
        <v/>
      </c>
      <c r="P19" s="142">
        <v>4700018814</v>
      </c>
      <c r="Q19" s="142">
        <v>1000069152</v>
      </c>
      <c r="R19" s="151">
        <f t="shared" si="0"/>
        <v>7.9909821342084117E-2</v>
      </c>
      <c r="S19" s="156"/>
    </row>
    <row r="20" spans="1:19" x14ac:dyDescent="0.25">
      <c r="A20" s="49">
        <v>12</v>
      </c>
      <c r="B20" s="134">
        <v>994859700</v>
      </c>
      <c r="C20" s="84" t="s">
        <v>30</v>
      </c>
      <c r="D20" s="50"/>
      <c r="E20" s="143" t="s">
        <v>92</v>
      </c>
      <c r="F20" s="144" t="s">
        <v>99</v>
      </c>
      <c r="G20" s="146">
        <v>4350</v>
      </c>
      <c r="H20" s="19"/>
      <c r="I20" s="19">
        <f t="shared" si="1"/>
        <v>0</v>
      </c>
      <c r="J20" s="148">
        <f t="shared" si="2"/>
        <v>4350</v>
      </c>
      <c r="K20" s="148">
        <f t="shared" si="3"/>
        <v>4350</v>
      </c>
      <c r="L20" s="148">
        <f t="shared" si="6"/>
        <v>380529</v>
      </c>
      <c r="M20" s="149" t="s">
        <v>28</v>
      </c>
      <c r="N20" s="150" t="str">
        <f t="shared" si="4"/>
        <v/>
      </c>
      <c r="O20" s="150" t="str">
        <f t="shared" si="5"/>
        <v/>
      </c>
      <c r="P20" s="142">
        <v>4700018815</v>
      </c>
      <c r="Q20" s="142">
        <v>1000069155</v>
      </c>
      <c r="R20" s="151">
        <f t="shared" si="0"/>
        <v>8.083387006048165E-2</v>
      </c>
      <c r="S20" s="156"/>
    </row>
    <row r="21" spans="1:19" x14ac:dyDescent="0.25">
      <c r="A21" s="49">
        <v>13</v>
      </c>
      <c r="B21" s="135">
        <v>994859698</v>
      </c>
      <c r="C21" s="84" t="s">
        <v>30</v>
      </c>
      <c r="D21" s="50"/>
      <c r="E21" s="143" t="s">
        <v>85</v>
      </c>
      <c r="F21" s="142" t="s">
        <v>100</v>
      </c>
      <c r="G21" s="146">
        <v>7600</v>
      </c>
      <c r="H21" s="19"/>
      <c r="I21" s="19">
        <f t="shared" si="1"/>
        <v>0</v>
      </c>
      <c r="J21" s="148">
        <f t="shared" si="2"/>
        <v>7600</v>
      </c>
      <c r="K21" s="148">
        <f t="shared" si="3"/>
        <v>7600</v>
      </c>
      <c r="L21" s="148">
        <f t="shared" si="6"/>
        <v>388129</v>
      </c>
      <c r="M21" s="149" t="s">
        <v>28</v>
      </c>
      <c r="N21" s="150" t="str">
        <f t="shared" si="4"/>
        <v/>
      </c>
      <c r="O21" s="150" t="str">
        <f t="shared" si="5"/>
        <v/>
      </c>
      <c r="P21" s="142">
        <v>4700018915</v>
      </c>
      <c r="Q21" s="142">
        <v>1000069622</v>
      </c>
      <c r="R21" s="151">
        <f t="shared" si="0"/>
        <v>8.2448300005268135E-2</v>
      </c>
      <c r="S21" s="156"/>
    </row>
    <row r="22" spans="1:19" x14ac:dyDescent="0.25">
      <c r="A22" s="49">
        <v>14</v>
      </c>
      <c r="B22" s="135">
        <v>994859702</v>
      </c>
      <c r="C22" s="84" t="s">
        <v>31</v>
      </c>
      <c r="D22" s="50"/>
      <c r="E22" s="143" t="s">
        <v>85</v>
      </c>
      <c r="F22" s="144" t="s">
        <v>101</v>
      </c>
      <c r="G22" s="146">
        <v>80730</v>
      </c>
      <c r="H22" s="19"/>
      <c r="I22" s="19">
        <f t="shared" si="1"/>
        <v>0</v>
      </c>
      <c r="J22" s="148">
        <f t="shared" si="2"/>
        <v>80730</v>
      </c>
      <c r="K22" s="148">
        <f t="shared" si="3"/>
        <v>80730</v>
      </c>
      <c r="L22" s="148">
        <f t="shared" si="6"/>
        <v>468859</v>
      </c>
      <c r="M22" s="149" t="s">
        <v>28</v>
      </c>
      <c r="N22" s="150" t="str">
        <f t="shared" si="4"/>
        <v/>
      </c>
      <c r="O22" s="150" t="str">
        <f t="shared" si="5"/>
        <v/>
      </c>
      <c r="P22" s="142">
        <v>4700019048</v>
      </c>
      <c r="Q22" s="142">
        <v>1000070334</v>
      </c>
      <c r="R22" s="151">
        <f t="shared" si="0"/>
        <v>9.9597369668769961E-2</v>
      </c>
      <c r="S22" s="156"/>
    </row>
    <row r="23" spans="1:19" x14ac:dyDescent="0.25">
      <c r="A23" s="49">
        <v>15</v>
      </c>
      <c r="B23" s="135">
        <v>994859638</v>
      </c>
      <c r="C23" s="84">
        <v>45749</v>
      </c>
      <c r="D23" s="50"/>
      <c r="E23" s="143" t="s">
        <v>102</v>
      </c>
      <c r="F23" s="144" t="s">
        <v>103</v>
      </c>
      <c r="G23" s="146">
        <v>17475</v>
      </c>
      <c r="H23" s="19"/>
      <c r="I23" s="19">
        <f t="shared" si="1"/>
        <v>0</v>
      </c>
      <c r="J23" s="148">
        <f t="shared" si="2"/>
        <v>17475</v>
      </c>
      <c r="K23" s="148">
        <f t="shared" si="3"/>
        <v>17475</v>
      </c>
      <c r="L23" s="148">
        <f t="shared" si="6"/>
        <v>486334</v>
      </c>
      <c r="M23" s="149" t="s">
        <v>28</v>
      </c>
      <c r="N23" s="150" t="str">
        <f t="shared" si="4"/>
        <v/>
      </c>
      <c r="O23" s="150" t="str">
        <f t="shared" si="5"/>
        <v/>
      </c>
      <c r="P23" s="142">
        <v>4700019304</v>
      </c>
      <c r="Q23" s="142">
        <v>1000071154</v>
      </c>
      <c r="R23" s="151">
        <f t="shared" si="0"/>
        <v>0.10330949641681522</v>
      </c>
      <c r="S23" s="156"/>
    </row>
    <row r="24" spans="1:19" x14ac:dyDescent="0.25">
      <c r="A24" s="49">
        <v>16</v>
      </c>
      <c r="B24" s="134">
        <v>994859672</v>
      </c>
      <c r="C24" s="84">
        <v>45754</v>
      </c>
      <c r="D24" s="50"/>
      <c r="E24" s="143" t="s">
        <v>102</v>
      </c>
      <c r="F24" s="142" t="s">
        <v>104</v>
      </c>
      <c r="G24" s="19">
        <v>11475</v>
      </c>
      <c r="H24" s="19"/>
      <c r="I24" s="19">
        <f t="shared" si="1"/>
        <v>0</v>
      </c>
      <c r="J24" s="148">
        <f t="shared" si="2"/>
        <v>11475</v>
      </c>
      <c r="K24" s="148">
        <f t="shared" si="3"/>
        <v>11475</v>
      </c>
      <c r="L24" s="148">
        <f t="shared" si="6"/>
        <v>497809</v>
      </c>
      <c r="M24" s="149" t="s">
        <v>28</v>
      </c>
      <c r="N24" s="150" t="str">
        <f t="shared" si="4"/>
        <v/>
      </c>
      <c r="O24" s="150" t="str">
        <f t="shared" si="5"/>
        <v/>
      </c>
      <c r="P24" s="142">
        <v>4700019264</v>
      </c>
      <c r="Q24" s="142">
        <v>1000071018</v>
      </c>
      <c r="R24" s="151">
        <f t="shared" si="0"/>
        <v>0.1057470732084501</v>
      </c>
      <c r="S24" s="156"/>
    </row>
    <row r="25" spans="1:19" x14ac:dyDescent="0.25">
      <c r="A25" s="49">
        <v>17</v>
      </c>
      <c r="B25" s="134">
        <v>994859785</v>
      </c>
      <c r="C25" s="84" t="s">
        <v>32</v>
      </c>
      <c r="D25" s="50"/>
      <c r="E25" s="143" t="s">
        <v>102</v>
      </c>
      <c r="F25" s="142" t="s">
        <v>105</v>
      </c>
      <c r="G25" s="19">
        <v>119525</v>
      </c>
      <c r="H25" s="19"/>
      <c r="I25" s="19">
        <f t="shared" si="1"/>
        <v>0</v>
      </c>
      <c r="J25" s="148">
        <f t="shared" si="2"/>
        <v>119525</v>
      </c>
      <c r="K25" s="148">
        <f t="shared" si="3"/>
        <v>119525</v>
      </c>
      <c r="L25" s="148">
        <f t="shared" si="6"/>
        <v>617334</v>
      </c>
      <c r="M25" s="149" t="s">
        <v>28</v>
      </c>
      <c r="N25" s="150" t="str">
        <f t="shared" si="4"/>
        <v/>
      </c>
      <c r="O25" s="150" t="str">
        <f t="shared" si="5"/>
        <v/>
      </c>
      <c r="P25" s="142">
        <v>4700019310</v>
      </c>
      <c r="Q25" s="142">
        <v>1000071182</v>
      </c>
      <c r="R25" s="151">
        <f t="shared" si="0"/>
        <v>0.13113717046510878</v>
      </c>
      <c r="S25" s="156"/>
    </row>
    <row r="26" spans="1:19" x14ac:dyDescent="0.25">
      <c r="A26" s="49">
        <v>18</v>
      </c>
      <c r="B26" s="134">
        <v>994859647</v>
      </c>
      <c r="C26" s="84" t="s">
        <v>33</v>
      </c>
      <c r="D26" s="50"/>
      <c r="E26" s="140" t="s">
        <v>87</v>
      </c>
      <c r="F26" s="142" t="s">
        <v>106</v>
      </c>
      <c r="G26" s="19">
        <v>21010</v>
      </c>
      <c r="H26" s="19"/>
      <c r="I26" s="19">
        <f t="shared" si="1"/>
        <v>0</v>
      </c>
      <c r="J26" s="148">
        <f t="shared" si="2"/>
        <v>21010</v>
      </c>
      <c r="K26" s="148">
        <f t="shared" si="3"/>
        <v>21010</v>
      </c>
      <c r="L26" s="148">
        <f t="shared" si="6"/>
        <v>638344</v>
      </c>
      <c r="M26" s="149" t="s">
        <v>28</v>
      </c>
      <c r="N26" s="150" t="str">
        <f t="shared" si="4"/>
        <v/>
      </c>
      <c r="O26" s="150" t="str">
        <f t="shared" si="5"/>
        <v/>
      </c>
      <c r="P26" s="142">
        <v>4700018563</v>
      </c>
      <c r="Q26" s="142">
        <v>1000068333</v>
      </c>
      <c r="R26" s="151">
        <f t="shared" si="0"/>
        <v>0.13560021956247248</v>
      </c>
      <c r="S26" s="156"/>
    </row>
    <row r="27" spans="1:19" x14ac:dyDescent="0.25">
      <c r="A27" s="49">
        <v>19</v>
      </c>
      <c r="B27" s="134">
        <v>994859843</v>
      </c>
      <c r="C27" s="84">
        <v>45774</v>
      </c>
      <c r="D27" s="50"/>
      <c r="E27" s="140" t="s">
        <v>87</v>
      </c>
      <c r="F27" s="142" t="s">
        <v>103</v>
      </c>
      <c r="G27" s="19">
        <v>11640</v>
      </c>
      <c r="H27" s="19"/>
      <c r="I27" s="19">
        <f t="shared" si="1"/>
        <v>0</v>
      </c>
      <c r="J27" s="148">
        <f t="shared" si="2"/>
        <v>11640</v>
      </c>
      <c r="K27" s="148">
        <f t="shared" si="3"/>
        <v>11640</v>
      </c>
      <c r="L27" s="148">
        <f t="shared" si="6"/>
        <v>649984</v>
      </c>
      <c r="M27" s="149" t="s">
        <v>28</v>
      </c>
      <c r="N27" s="150" t="str">
        <f t="shared" si="4"/>
        <v/>
      </c>
      <c r="O27" s="150" t="str">
        <f t="shared" si="5"/>
        <v/>
      </c>
      <c r="P27" s="142">
        <v>4700019494</v>
      </c>
      <c r="Q27" s="142">
        <v>1000072260</v>
      </c>
      <c r="R27" s="151">
        <f t="shared" si="0"/>
        <v>0.13807284647790866</v>
      </c>
      <c r="S27" s="156"/>
    </row>
    <row r="28" spans="1:19" x14ac:dyDescent="0.25">
      <c r="A28" s="49">
        <v>20</v>
      </c>
      <c r="B28" s="134">
        <v>994859847</v>
      </c>
      <c r="C28" s="84" t="s">
        <v>34</v>
      </c>
      <c r="D28" s="50"/>
      <c r="E28" s="140" t="s">
        <v>107</v>
      </c>
      <c r="F28" s="142" t="s">
        <v>108</v>
      </c>
      <c r="G28" s="19">
        <v>4110</v>
      </c>
      <c r="H28" s="19"/>
      <c r="I28" s="19">
        <f t="shared" si="1"/>
        <v>0</v>
      </c>
      <c r="J28" s="148">
        <f t="shared" si="2"/>
        <v>4110</v>
      </c>
      <c r="K28" s="148">
        <f t="shared" si="3"/>
        <v>4110</v>
      </c>
      <c r="L28" s="148">
        <f t="shared" si="6"/>
        <v>654094</v>
      </c>
      <c r="M28" s="149" t="s">
        <v>28</v>
      </c>
      <c r="N28" s="150" t="str">
        <f t="shared" si="4"/>
        <v/>
      </c>
      <c r="O28" s="150" t="str">
        <f t="shared" si="5"/>
        <v/>
      </c>
      <c r="P28" s="142">
        <v>4700019516</v>
      </c>
      <c r="Q28" s="142">
        <v>1000072316</v>
      </c>
      <c r="R28" s="151">
        <f t="shared" si="0"/>
        <v>0.13894591319804978</v>
      </c>
      <c r="S28" s="156"/>
    </row>
    <row r="29" spans="1:19" x14ac:dyDescent="0.25">
      <c r="A29" s="49">
        <v>21</v>
      </c>
      <c r="B29" s="134">
        <v>994859871</v>
      </c>
      <c r="C29" s="84">
        <v>45757</v>
      </c>
      <c r="D29" s="50"/>
      <c r="E29" s="140" t="s">
        <v>85</v>
      </c>
      <c r="F29" s="142" t="s">
        <v>109</v>
      </c>
      <c r="G29" s="19">
        <v>38000</v>
      </c>
      <c r="H29" s="19"/>
      <c r="I29" s="19">
        <f t="shared" si="1"/>
        <v>0</v>
      </c>
      <c r="J29" s="148">
        <f t="shared" si="2"/>
        <v>38000</v>
      </c>
      <c r="K29" s="148">
        <f t="shared" si="3"/>
        <v>38000</v>
      </c>
      <c r="L29" s="148">
        <f t="shared" si="6"/>
        <v>692094</v>
      </c>
      <c r="M29" s="149" t="s">
        <v>28</v>
      </c>
      <c r="N29" s="150" t="str">
        <f t="shared" si="4"/>
        <v/>
      </c>
      <c r="O29" s="150" t="str">
        <f t="shared" si="5"/>
        <v/>
      </c>
      <c r="P29" s="142">
        <v>4700019564</v>
      </c>
      <c r="Q29" s="142">
        <v>1000072468</v>
      </c>
      <c r="R29" s="151">
        <f t="shared" si="0"/>
        <v>0.14701806292198225</v>
      </c>
      <c r="S29" s="156"/>
    </row>
    <row r="30" spans="1:19" x14ac:dyDescent="0.25">
      <c r="A30" s="49">
        <v>22</v>
      </c>
      <c r="B30" s="134">
        <v>994859842</v>
      </c>
      <c r="C30" s="84">
        <v>45786</v>
      </c>
      <c r="D30" s="50"/>
      <c r="E30" s="140" t="s">
        <v>87</v>
      </c>
      <c r="F30" s="142" t="s">
        <v>110</v>
      </c>
      <c r="G30" s="19">
        <v>34720</v>
      </c>
      <c r="H30" s="19"/>
      <c r="I30" s="19">
        <f t="shared" si="1"/>
        <v>0</v>
      </c>
      <c r="J30" s="148">
        <f t="shared" si="2"/>
        <v>34720</v>
      </c>
      <c r="K30" s="148">
        <f t="shared" si="3"/>
        <v>34720</v>
      </c>
      <c r="L30" s="148">
        <f t="shared" si="6"/>
        <v>726814</v>
      </c>
      <c r="M30" s="149" t="s">
        <v>28</v>
      </c>
      <c r="N30" s="150" t="str">
        <f t="shared" si="4"/>
        <v/>
      </c>
      <c r="O30" s="150" t="str">
        <f t="shared" si="5"/>
        <v/>
      </c>
      <c r="P30" s="142">
        <v>4700019504</v>
      </c>
      <c r="Q30" s="142">
        <v>1000072280</v>
      </c>
      <c r="R30" s="151">
        <f t="shared" si="0"/>
        <v>0.15439345866974372</v>
      </c>
      <c r="S30" s="156"/>
    </row>
    <row r="31" spans="1:19" x14ac:dyDescent="0.25">
      <c r="A31" s="49">
        <v>23</v>
      </c>
      <c r="B31" s="134">
        <v>994859863</v>
      </c>
      <c r="C31" s="84" t="s">
        <v>30</v>
      </c>
      <c r="D31" s="50"/>
      <c r="E31" s="140" t="s">
        <v>111</v>
      </c>
      <c r="F31" s="142" t="s">
        <v>112</v>
      </c>
      <c r="G31" s="19">
        <v>683</v>
      </c>
      <c r="H31" s="19"/>
      <c r="I31" s="19">
        <f t="shared" si="1"/>
        <v>0</v>
      </c>
      <c r="J31" s="148">
        <f t="shared" si="2"/>
        <v>683</v>
      </c>
      <c r="K31" s="148">
        <f t="shared" si="3"/>
        <v>683</v>
      </c>
      <c r="L31" s="148">
        <f t="shared" si="6"/>
        <v>727497</v>
      </c>
      <c r="M31" s="149" t="s">
        <v>28</v>
      </c>
      <c r="N31" s="150" t="str">
        <f t="shared" si="4"/>
        <v/>
      </c>
      <c r="O31" s="150" t="str">
        <f t="shared" si="5"/>
        <v/>
      </c>
      <c r="P31" s="142">
        <v>4700019669</v>
      </c>
      <c r="Q31" s="142">
        <v>1000073134</v>
      </c>
      <c r="R31" s="151">
        <f t="shared" si="0"/>
        <v>0.15453854493978175</v>
      </c>
      <c r="S31" s="156"/>
    </row>
    <row r="32" spans="1:19" x14ac:dyDescent="0.25">
      <c r="A32" s="49">
        <v>24</v>
      </c>
      <c r="B32" s="134">
        <v>994859872</v>
      </c>
      <c r="C32" s="84" t="s">
        <v>35</v>
      </c>
      <c r="D32" s="50"/>
      <c r="E32" s="140" t="s">
        <v>107</v>
      </c>
      <c r="F32" s="142" t="s">
        <v>112</v>
      </c>
      <c r="G32" s="19">
        <v>37565</v>
      </c>
      <c r="H32" s="19"/>
      <c r="I32" s="19">
        <f t="shared" si="1"/>
        <v>0</v>
      </c>
      <c r="J32" s="148">
        <f t="shared" si="2"/>
        <v>37565</v>
      </c>
      <c r="K32" s="148">
        <f t="shared" si="3"/>
        <v>37565</v>
      </c>
      <c r="L32" s="148">
        <f t="shared" si="6"/>
        <v>765062</v>
      </c>
      <c r="M32" s="149" t="s">
        <v>28</v>
      </c>
      <c r="N32" s="150" t="str">
        <f t="shared" si="4"/>
        <v/>
      </c>
      <c r="O32" s="150" t="str">
        <f t="shared" si="5"/>
        <v/>
      </c>
      <c r="P32" s="142">
        <v>47000019677</v>
      </c>
      <c r="Q32" s="142">
        <v>1000073154</v>
      </c>
      <c r="R32" s="151">
        <f t="shared" si="0"/>
        <v>0.16251828979187449</v>
      </c>
      <c r="S32" s="156"/>
    </row>
    <row r="33" spans="1:19" x14ac:dyDescent="0.25">
      <c r="A33" s="49">
        <v>25</v>
      </c>
      <c r="B33" s="134">
        <v>994859893</v>
      </c>
      <c r="C33" s="84">
        <v>45804</v>
      </c>
      <c r="D33" s="50"/>
      <c r="E33" s="140" t="s">
        <v>111</v>
      </c>
      <c r="F33" s="142" t="s">
        <v>108</v>
      </c>
      <c r="G33" s="19">
        <v>4250</v>
      </c>
      <c r="H33" s="19"/>
      <c r="I33" s="19">
        <f t="shared" si="1"/>
        <v>0</v>
      </c>
      <c r="J33" s="148">
        <f t="shared" si="2"/>
        <v>4250</v>
      </c>
      <c r="K33" s="148">
        <f t="shared" si="3"/>
        <v>4250</v>
      </c>
      <c r="L33" s="148">
        <f t="shared" si="6"/>
        <v>769312</v>
      </c>
      <c r="M33" s="149" t="s">
        <v>28</v>
      </c>
      <c r="N33" s="150" t="str">
        <f t="shared" si="4"/>
        <v/>
      </c>
      <c r="O33" s="150" t="str">
        <f t="shared" si="5"/>
        <v/>
      </c>
      <c r="P33" s="142">
        <v>4700019885</v>
      </c>
      <c r="Q33" s="142">
        <v>1000073942</v>
      </c>
      <c r="R33" s="151">
        <f t="shared" si="0"/>
        <v>0.16342109601099852</v>
      </c>
      <c r="S33" s="156"/>
    </row>
    <row r="34" spans="1:19" x14ac:dyDescent="0.25">
      <c r="A34" s="49">
        <v>26</v>
      </c>
      <c r="B34" s="134">
        <v>994859894</v>
      </c>
      <c r="C34" s="84" t="s">
        <v>33</v>
      </c>
      <c r="D34" s="50"/>
      <c r="E34" s="140" t="s">
        <v>111</v>
      </c>
      <c r="F34" s="142" t="s">
        <v>113</v>
      </c>
      <c r="G34" s="19">
        <v>4850</v>
      </c>
      <c r="H34" s="19"/>
      <c r="I34" s="19">
        <f t="shared" si="1"/>
        <v>0</v>
      </c>
      <c r="J34" s="148">
        <f t="shared" si="2"/>
        <v>4850</v>
      </c>
      <c r="K34" s="148">
        <f t="shared" si="3"/>
        <v>4850</v>
      </c>
      <c r="L34" s="148">
        <f t="shared" si="6"/>
        <v>774162</v>
      </c>
      <c r="M34" s="149" t="s">
        <v>28</v>
      </c>
      <c r="N34" s="150" t="str">
        <f t="shared" si="4"/>
        <v/>
      </c>
      <c r="O34" s="150" t="str">
        <f t="shared" si="5"/>
        <v/>
      </c>
      <c r="P34" s="142">
        <v>4700019886</v>
      </c>
      <c r="Q34" s="142">
        <v>1000073944</v>
      </c>
      <c r="R34" s="151">
        <f t="shared" si="0"/>
        <v>0.16445135722576359</v>
      </c>
      <c r="S34" s="156"/>
    </row>
    <row r="35" spans="1:19" x14ac:dyDescent="0.25">
      <c r="A35" s="49">
        <v>27</v>
      </c>
      <c r="B35" s="134">
        <v>994859921</v>
      </c>
      <c r="C35" s="84">
        <v>45825</v>
      </c>
      <c r="D35" s="50"/>
      <c r="E35" s="140" t="s">
        <v>111</v>
      </c>
      <c r="F35" s="142" t="s">
        <v>114</v>
      </c>
      <c r="G35" s="146">
        <v>4490</v>
      </c>
      <c r="H35" s="19"/>
      <c r="I35" s="19">
        <f t="shared" si="1"/>
        <v>0</v>
      </c>
      <c r="J35" s="148">
        <f t="shared" si="2"/>
        <v>4490</v>
      </c>
      <c r="K35" s="148">
        <f t="shared" si="3"/>
        <v>4490</v>
      </c>
      <c r="L35" s="148">
        <f t="shared" si="6"/>
        <v>778652</v>
      </c>
      <c r="M35" s="149" t="s">
        <v>28</v>
      </c>
      <c r="N35" s="150" t="str">
        <f t="shared" si="4"/>
        <v/>
      </c>
      <c r="O35" s="150" t="str">
        <f t="shared" si="5"/>
        <v/>
      </c>
      <c r="P35" s="142">
        <v>4700019887</v>
      </c>
      <c r="Q35" s="142">
        <v>1000073951</v>
      </c>
      <c r="R35" s="151">
        <f t="shared" si="0"/>
        <v>0.16540514544314402</v>
      </c>
      <c r="S35" s="156"/>
    </row>
    <row r="36" spans="1:19" x14ac:dyDescent="0.25">
      <c r="A36" s="49">
        <v>28</v>
      </c>
      <c r="B36" s="134">
        <v>994859954</v>
      </c>
      <c r="C36" s="84">
        <v>45824</v>
      </c>
      <c r="D36" s="50"/>
      <c r="E36" s="140" t="s">
        <v>85</v>
      </c>
      <c r="F36" s="142" t="s">
        <v>115</v>
      </c>
      <c r="G36" s="19">
        <v>287550</v>
      </c>
      <c r="H36" s="19"/>
      <c r="I36" s="19">
        <f t="shared" si="1"/>
        <v>0</v>
      </c>
      <c r="J36" s="148">
        <f t="shared" si="2"/>
        <v>287550</v>
      </c>
      <c r="K36" s="148">
        <f t="shared" si="3"/>
        <v>287550</v>
      </c>
      <c r="L36" s="148">
        <f t="shared" si="6"/>
        <v>1066202</v>
      </c>
      <c r="M36" s="149" t="s">
        <v>28</v>
      </c>
      <c r="N36" s="150" t="str">
        <f t="shared" si="4"/>
        <v/>
      </c>
      <c r="O36" s="150" t="str">
        <f t="shared" si="5"/>
        <v/>
      </c>
      <c r="P36" s="142">
        <v>4700020173</v>
      </c>
      <c r="Q36" s="142">
        <v>1000075059</v>
      </c>
      <c r="R36" s="151">
        <f t="shared" si="0"/>
        <v>0.22648795210411204</v>
      </c>
      <c r="S36" s="156"/>
    </row>
    <row r="37" spans="1:19" x14ac:dyDescent="0.25">
      <c r="A37" s="49">
        <v>29</v>
      </c>
      <c r="B37" s="134">
        <v>994860010</v>
      </c>
      <c r="C37" s="84" t="s">
        <v>36</v>
      </c>
      <c r="D37" s="50"/>
      <c r="E37" s="140" t="s">
        <v>116</v>
      </c>
      <c r="F37" s="142" t="s">
        <v>117</v>
      </c>
      <c r="G37" s="19">
        <v>3400</v>
      </c>
      <c r="H37" s="19"/>
      <c r="I37" s="19">
        <f t="shared" si="1"/>
        <v>0</v>
      </c>
      <c r="J37" s="148">
        <f t="shared" si="2"/>
        <v>3400</v>
      </c>
      <c r="K37" s="148">
        <f t="shared" si="3"/>
        <v>3400</v>
      </c>
      <c r="L37" s="148">
        <f t="shared" si="6"/>
        <v>1069602</v>
      </c>
      <c r="M37" s="149" t="s">
        <v>28</v>
      </c>
      <c r="N37" s="150" t="str">
        <f t="shared" si="4"/>
        <v/>
      </c>
      <c r="O37" s="150" t="str">
        <f t="shared" si="5"/>
        <v/>
      </c>
      <c r="P37" s="142">
        <v>4700021276</v>
      </c>
      <c r="Q37" s="142">
        <v>1000079748</v>
      </c>
      <c r="R37" s="151">
        <f t="shared" si="0"/>
        <v>0.22721019707941126</v>
      </c>
      <c r="S37" s="156"/>
    </row>
    <row r="38" spans="1:19" x14ac:dyDescent="0.25">
      <c r="A38" s="49">
        <v>30</v>
      </c>
      <c r="B38" s="134">
        <v>994860011</v>
      </c>
      <c r="C38" s="84" t="s">
        <v>37</v>
      </c>
      <c r="D38" s="50"/>
      <c r="E38" s="140" t="s">
        <v>85</v>
      </c>
      <c r="F38" s="142" t="s">
        <v>118</v>
      </c>
      <c r="G38" s="19">
        <v>26220</v>
      </c>
      <c r="H38" s="19"/>
      <c r="I38" s="19">
        <f t="shared" si="1"/>
        <v>0</v>
      </c>
      <c r="J38" s="148">
        <f t="shared" si="2"/>
        <v>26220</v>
      </c>
      <c r="K38" s="148">
        <f t="shared" si="3"/>
        <v>26220</v>
      </c>
      <c r="L38" s="148">
        <f t="shared" si="6"/>
        <v>1095822</v>
      </c>
      <c r="M38" s="149" t="s">
        <v>28</v>
      </c>
      <c r="N38" s="150" t="str">
        <f t="shared" si="4"/>
        <v/>
      </c>
      <c r="O38" s="150" t="str">
        <f t="shared" si="5"/>
        <v/>
      </c>
      <c r="P38" s="142">
        <v>4700021279</v>
      </c>
      <c r="Q38" s="142">
        <v>1000079767</v>
      </c>
      <c r="R38" s="151">
        <f t="shared" si="0"/>
        <v>0.23277998038892467</v>
      </c>
      <c r="S38" s="156"/>
    </row>
    <row r="39" spans="1:19" x14ac:dyDescent="0.25">
      <c r="A39" s="49">
        <v>31</v>
      </c>
      <c r="B39" s="134">
        <v>994860039</v>
      </c>
      <c r="C39" s="84" t="s">
        <v>36</v>
      </c>
      <c r="D39" s="50"/>
      <c r="E39" s="140" t="s">
        <v>111</v>
      </c>
      <c r="F39" s="142" t="s">
        <v>119</v>
      </c>
      <c r="G39" s="19">
        <v>5940</v>
      </c>
      <c r="H39" s="19"/>
      <c r="I39" s="19">
        <f t="shared" si="1"/>
        <v>0</v>
      </c>
      <c r="J39" s="148">
        <f t="shared" si="2"/>
        <v>5940</v>
      </c>
      <c r="K39" s="148">
        <f t="shared" si="3"/>
        <v>5940</v>
      </c>
      <c r="L39" s="148">
        <f t="shared" si="6"/>
        <v>1101762</v>
      </c>
      <c r="M39" s="149" t="s">
        <v>28</v>
      </c>
      <c r="N39" s="150" t="str">
        <f t="shared" si="4"/>
        <v/>
      </c>
      <c r="O39" s="150" t="str">
        <f t="shared" si="5"/>
        <v/>
      </c>
      <c r="P39" s="142">
        <v>4700021367</v>
      </c>
      <c r="Q39" s="142">
        <v>1000080097</v>
      </c>
      <c r="R39" s="151">
        <f t="shared" si="0"/>
        <v>0.23404178484577096</v>
      </c>
      <c r="S39" s="156"/>
    </row>
    <row r="40" spans="1:19" x14ac:dyDescent="0.25">
      <c r="A40" s="49">
        <v>32</v>
      </c>
      <c r="B40" s="134">
        <v>994860040</v>
      </c>
      <c r="C40" s="84" t="s">
        <v>38</v>
      </c>
      <c r="D40" s="50"/>
      <c r="E40" s="140" t="s">
        <v>111</v>
      </c>
      <c r="F40" s="142" t="s">
        <v>120</v>
      </c>
      <c r="G40" s="19">
        <v>10150</v>
      </c>
      <c r="H40" s="19"/>
      <c r="I40" s="19">
        <f t="shared" si="1"/>
        <v>0</v>
      </c>
      <c r="J40" s="148">
        <f t="shared" si="2"/>
        <v>10150</v>
      </c>
      <c r="K40" s="148">
        <f t="shared" si="3"/>
        <v>10150</v>
      </c>
      <c r="L40" s="148">
        <f t="shared" si="6"/>
        <v>1111912</v>
      </c>
      <c r="M40" s="149" t="s">
        <v>28</v>
      </c>
      <c r="N40" s="150" t="str">
        <f t="shared" si="4"/>
        <v/>
      </c>
      <c r="O40" s="150" t="str">
        <f t="shared" si="5"/>
        <v/>
      </c>
      <c r="P40" s="142">
        <v>4700021859</v>
      </c>
      <c r="Q40" s="142">
        <v>1000081815</v>
      </c>
      <c r="R40" s="151">
        <f t="shared" si="0"/>
        <v>0.23619789852203188</v>
      </c>
      <c r="S40" s="156"/>
    </row>
    <row r="41" spans="1:19" x14ac:dyDescent="0.25">
      <c r="A41" s="49">
        <v>33</v>
      </c>
      <c r="B41" s="134">
        <v>994860195</v>
      </c>
      <c r="C41" s="84" t="s">
        <v>39</v>
      </c>
      <c r="D41" s="50"/>
      <c r="E41" s="140" t="s">
        <v>87</v>
      </c>
      <c r="F41" s="142" t="s">
        <v>121</v>
      </c>
      <c r="G41" s="19">
        <v>80252.5</v>
      </c>
      <c r="H41" s="19"/>
      <c r="I41" s="19">
        <f t="shared" si="1"/>
        <v>0</v>
      </c>
      <c r="J41" s="148">
        <f t="shared" si="2"/>
        <v>80252.5</v>
      </c>
      <c r="K41" s="148">
        <f t="shared" si="3"/>
        <v>80252.5</v>
      </c>
      <c r="L41" s="148">
        <f t="shared" si="6"/>
        <v>1192164.5</v>
      </c>
      <c r="M41" s="149" t="s">
        <v>28</v>
      </c>
      <c r="N41" s="150" t="str">
        <f t="shared" si="4"/>
        <v/>
      </c>
      <c r="O41" s="150" t="str">
        <f t="shared" si="5"/>
        <v/>
      </c>
      <c r="P41" s="142">
        <v>4700022146</v>
      </c>
      <c r="Q41" s="142">
        <v>1000082905</v>
      </c>
      <c r="R41" s="151">
        <f t="shared" si="0"/>
        <v>0.25324553525150267</v>
      </c>
      <c r="S41" s="156"/>
    </row>
    <row r="42" spans="1:19" x14ac:dyDescent="0.25">
      <c r="A42" s="49">
        <v>34</v>
      </c>
      <c r="B42" s="134">
        <v>994860151</v>
      </c>
      <c r="C42" s="84">
        <v>45850</v>
      </c>
      <c r="D42" s="50"/>
      <c r="E42" s="140" t="s">
        <v>122</v>
      </c>
      <c r="F42" s="142" t="s">
        <v>123</v>
      </c>
      <c r="G42" s="19">
        <v>4098</v>
      </c>
      <c r="H42" s="19"/>
      <c r="I42" s="19">
        <f t="shared" si="1"/>
        <v>0</v>
      </c>
      <c r="J42" s="148">
        <f t="shared" si="2"/>
        <v>4098</v>
      </c>
      <c r="K42" s="148">
        <f t="shared" si="3"/>
        <v>4098</v>
      </c>
      <c r="L42" s="148">
        <f t="shared" si="6"/>
        <v>1196262.5</v>
      </c>
      <c r="M42" s="149" t="s">
        <v>28</v>
      </c>
      <c r="N42" s="150" t="str">
        <f t="shared" si="4"/>
        <v/>
      </c>
      <c r="O42" s="150" t="str">
        <f t="shared" si="5"/>
        <v/>
      </c>
      <c r="P42" s="142">
        <v>4700022234</v>
      </c>
      <c r="Q42" s="142">
        <v>1000083164</v>
      </c>
      <c r="R42" s="151">
        <f t="shared" si="0"/>
        <v>0.254116052871731</v>
      </c>
      <c r="S42" s="156"/>
    </row>
    <row r="43" spans="1:19" x14ac:dyDescent="0.25">
      <c r="A43" s="49">
        <v>35</v>
      </c>
      <c r="B43" s="135">
        <v>994860152</v>
      </c>
      <c r="C43" s="84">
        <v>45840</v>
      </c>
      <c r="D43" s="50"/>
      <c r="E43" s="143" t="s">
        <v>85</v>
      </c>
      <c r="F43" s="144" t="s">
        <v>124</v>
      </c>
      <c r="G43" s="146">
        <v>107060</v>
      </c>
      <c r="H43" s="19"/>
      <c r="I43" s="19">
        <f t="shared" si="1"/>
        <v>0</v>
      </c>
      <c r="J43" s="148">
        <f t="shared" si="2"/>
        <v>107060</v>
      </c>
      <c r="K43" s="148">
        <f t="shared" si="3"/>
        <v>107060</v>
      </c>
      <c r="L43" s="148">
        <f t="shared" si="6"/>
        <v>1303322.5</v>
      </c>
      <c r="M43" s="149" t="s">
        <v>28</v>
      </c>
      <c r="N43" s="150" t="str">
        <f t="shared" si="4"/>
        <v/>
      </c>
      <c r="O43" s="150" t="str">
        <f t="shared" si="5"/>
        <v/>
      </c>
      <c r="P43" s="142">
        <v>4700022531</v>
      </c>
      <c r="Q43" s="142">
        <v>1000084434</v>
      </c>
      <c r="R43" s="151">
        <f t="shared" si="0"/>
        <v>0.27685827259394707</v>
      </c>
      <c r="S43" s="156"/>
    </row>
    <row r="44" spans="1:19" x14ac:dyDescent="0.25">
      <c r="A44" s="49">
        <v>36</v>
      </c>
      <c r="B44" s="134">
        <v>994860199</v>
      </c>
      <c r="C44" s="84">
        <v>45840</v>
      </c>
      <c r="D44" s="50"/>
      <c r="E44" s="140" t="s">
        <v>125</v>
      </c>
      <c r="F44" s="142" t="s">
        <v>115</v>
      </c>
      <c r="G44" s="19">
        <v>30340</v>
      </c>
      <c r="H44" s="19"/>
      <c r="I44" s="19">
        <f t="shared" si="1"/>
        <v>0</v>
      </c>
      <c r="J44" s="148">
        <f t="shared" si="2"/>
        <v>30340</v>
      </c>
      <c r="K44" s="148">
        <f t="shared" si="3"/>
        <v>30340</v>
      </c>
      <c r="L44" s="148">
        <f t="shared" si="6"/>
        <v>1333662.5</v>
      </c>
      <c r="M44" s="149" t="s">
        <v>28</v>
      </c>
      <c r="N44" s="150" t="str">
        <f t="shared" si="4"/>
        <v/>
      </c>
      <c r="O44" s="150" t="str">
        <f t="shared" si="5"/>
        <v/>
      </c>
      <c r="P44" s="142">
        <v>4700022517</v>
      </c>
      <c r="Q44" s="142">
        <v>1000084381</v>
      </c>
      <c r="R44" s="151">
        <f t="shared" si="0"/>
        <v>0.28330324687352898</v>
      </c>
      <c r="S44" s="156"/>
    </row>
    <row r="45" spans="1:19" x14ac:dyDescent="0.25">
      <c r="A45" s="49">
        <v>37</v>
      </c>
      <c r="B45" s="134">
        <v>994860226</v>
      </c>
      <c r="C45" s="84" t="s">
        <v>40</v>
      </c>
      <c r="D45" s="50"/>
      <c r="E45" s="140" t="s">
        <v>125</v>
      </c>
      <c r="F45" s="142" t="s">
        <v>124</v>
      </c>
      <c r="G45" s="19">
        <v>39250</v>
      </c>
      <c r="H45" s="19"/>
      <c r="I45" s="19">
        <f t="shared" si="1"/>
        <v>0</v>
      </c>
      <c r="J45" s="148">
        <f t="shared" si="2"/>
        <v>39250</v>
      </c>
      <c r="K45" s="148">
        <f t="shared" si="3"/>
        <v>39250</v>
      </c>
      <c r="L45" s="148">
        <f t="shared" si="6"/>
        <v>1372912.5</v>
      </c>
      <c r="M45" s="149" t="s">
        <v>28</v>
      </c>
      <c r="N45" s="150" t="str">
        <f t="shared" si="4"/>
        <v/>
      </c>
      <c r="O45" s="150" t="str">
        <f t="shared" si="5"/>
        <v/>
      </c>
      <c r="P45" s="142">
        <v>4700022550</v>
      </c>
      <c r="Q45" s="142">
        <v>1000084527</v>
      </c>
      <c r="R45" s="151">
        <f t="shared" si="0"/>
        <v>0.29164092783838025</v>
      </c>
      <c r="S45" s="156"/>
    </row>
    <row r="46" spans="1:19" x14ac:dyDescent="0.25">
      <c r="A46" s="49">
        <v>38</v>
      </c>
      <c r="B46" s="134">
        <v>994860264</v>
      </c>
      <c r="C46" s="84" t="s">
        <v>41</v>
      </c>
      <c r="D46" s="50"/>
      <c r="E46" s="140" t="s">
        <v>125</v>
      </c>
      <c r="F46" s="142" t="s">
        <v>126</v>
      </c>
      <c r="G46" s="19">
        <v>4825</v>
      </c>
      <c r="H46" s="19"/>
      <c r="I46" s="19">
        <f t="shared" si="1"/>
        <v>0</v>
      </c>
      <c r="J46" s="148">
        <f t="shared" si="2"/>
        <v>4825</v>
      </c>
      <c r="K46" s="148">
        <f t="shared" si="3"/>
        <v>4825</v>
      </c>
      <c r="L46" s="148">
        <f t="shared" si="6"/>
        <v>1377737.5</v>
      </c>
      <c r="M46" s="149" t="s">
        <v>28</v>
      </c>
      <c r="N46" s="150" t="str">
        <f t="shared" si="4"/>
        <v/>
      </c>
      <c r="O46" s="150" t="str">
        <f t="shared" si="5"/>
        <v/>
      </c>
      <c r="P46" s="142">
        <v>4700022551</v>
      </c>
      <c r="Q46" s="142">
        <v>1000084530</v>
      </c>
      <c r="R46" s="151">
        <f t="shared" si="0"/>
        <v>0.29266587842832698</v>
      </c>
      <c r="S46" s="156"/>
    </row>
    <row r="47" spans="1:19" x14ac:dyDescent="0.25">
      <c r="A47" s="49">
        <v>39</v>
      </c>
      <c r="B47" s="134">
        <v>994860265</v>
      </c>
      <c r="C47" s="84" t="s">
        <v>42</v>
      </c>
      <c r="D47" s="50"/>
      <c r="E47" s="140" t="s">
        <v>125</v>
      </c>
      <c r="F47" s="142" t="s">
        <v>127</v>
      </c>
      <c r="G47" s="19">
        <v>2772</v>
      </c>
      <c r="H47" s="19"/>
      <c r="I47" s="19">
        <f t="shared" si="1"/>
        <v>0</v>
      </c>
      <c r="J47" s="148">
        <f t="shared" si="2"/>
        <v>2772</v>
      </c>
      <c r="K47" s="148">
        <f t="shared" si="3"/>
        <v>2772</v>
      </c>
      <c r="L47" s="148">
        <f t="shared" si="6"/>
        <v>1380509.5</v>
      </c>
      <c r="M47" s="149" t="s">
        <v>28</v>
      </c>
      <c r="N47" s="150" t="str">
        <f t="shared" si="4"/>
        <v/>
      </c>
      <c r="O47" s="150" t="str">
        <f t="shared" si="5"/>
        <v/>
      </c>
      <c r="P47" s="142">
        <v>4700022552</v>
      </c>
      <c r="Q47" s="142">
        <v>1000084532</v>
      </c>
      <c r="R47" s="151">
        <f t="shared" si="0"/>
        <v>0.29325472050818857</v>
      </c>
      <c r="S47" s="156"/>
    </row>
    <row r="48" spans="1:19" x14ac:dyDescent="0.25">
      <c r="A48" s="49">
        <v>40</v>
      </c>
      <c r="B48" s="134">
        <v>994860291</v>
      </c>
      <c r="C48" s="84" t="s">
        <v>43</v>
      </c>
      <c r="D48" s="50"/>
      <c r="E48" s="140" t="s">
        <v>128</v>
      </c>
      <c r="F48" s="142" t="s">
        <v>129</v>
      </c>
      <c r="G48" s="19">
        <v>52932.5</v>
      </c>
      <c r="H48" s="147">
        <v>16</v>
      </c>
      <c r="I48" s="19">
        <f t="shared" si="1"/>
        <v>8469.2000000000007</v>
      </c>
      <c r="J48" s="148">
        <f t="shared" si="2"/>
        <v>61401.7</v>
      </c>
      <c r="K48" s="148">
        <f t="shared" si="3"/>
        <v>61401.7</v>
      </c>
      <c r="L48" s="148">
        <f t="shared" si="6"/>
        <v>1441911.2</v>
      </c>
      <c r="M48" s="149" t="s">
        <v>28</v>
      </c>
      <c r="N48" s="150" t="str">
        <f t="shared" si="4"/>
        <v>Q4</v>
      </c>
      <c r="O48" s="150">
        <f t="shared" si="5"/>
        <v>2026</v>
      </c>
      <c r="P48" s="142">
        <v>4700022555</v>
      </c>
      <c r="Q48" s="142">
        <v>1000084565</v>
      </c>
      <c r="R48" s="151">
        <f t="shared" si="0"/>
        <v>0.30629797618460919</v>
      </c>
      <c r="S48" s="156">
        <v>46189</v>
      </c>
    </row>
    <row r="49" spans="1:19" x14ac:dyDescent="0.25">
      <c r="A49" s="49">
        <v>41</v>
      </c>
      <c r="B49" s="134">
        <v>994860292</v>
      </c>
      <c r="C49" s="84" t="s">
        <v>44</v>
      </c>
      <c r="D49" s="50"/>
      <c r="E49" s="140" t="s">
        <v>128</v>
      </c>
      <c r="F49" s="142" t="s">
        <v>130</v>
      </c>
      <c r="G49" s="19">
        <v>5890</v>
      </c>
      <c r="H49" s="147">
        <v>16</v>
      </c>
      <c r="I49" s="19">
        <f t="shared" si="1"/>
        <v>942.4</v>
      </c>
      <c r="J49" s="148">
        <f t="shared" si="2"/>
        <v>6832.4</v>
      </c>
      <c r="K49" s="148">
        <f t="shared" si="3"/>
        <v>6832.4</v>
      </c>
      <c r="L49" s="148">
        <f t="shared" si="6"/>
        <v>1448743.5999999999</v>
      </c>
      <c r="M49" s="149" t="s">
        <v>28</v>
      </c>
      <c r="N49" s="150" t="str">
        <f t="shared" si="4"/>
        <v>Q4</v>
      </c>
      <c r="O49" s="150">
        <f t="shared" si="5"/>
        <v>2026</v>
      </c>
      <c r="P49" s="142">
        <v>4700022720</v>
      </c>
      <c r="Q49" s="142">
        <v>1000085295</v>
      </c>
      <c r="R49" s="151">
        <f t="shared" si="0"/>
        <v>0.30774934870497223</v>
      </c>
      <c r="S49" s="156">
        <v>46175</v>
      </c>
    </row>
    <row r="50" spans="1:19" x14ac:dyDescent="0.25">
      <c r="A50" s="49">
        <v>42</v>
      </c>
      <c r="B50" s="134">
        <v>994860361</v>
      </c>
      <c r="C50" s="84" t="s">
        <v>45</v>
      </c>
      <c r="D50" s="50"/>
      <c r="E50" s="140" t="s">
        <v>128</v>
      </c>
      <c r="F50" s="142" t="s">
        <v>131</v>
      </c>
      <c r="G50" s="19">
        <v>17670</v>
      </c>
      <c r="H50" s="147">
        <v>16</v>
      </c>
      <c r="I50" s="19">
        <f t="shared" si="1"/>
        <v>2827.2</v>
      </c>
      <c r="J50" s="148">
        <f t="shared" si="2"/>
        <v>20497.2</v>
      </c>
      <c r="K50" s="148">
        <f t="shared" si="3"/>
        <v>20497.2</v>
      </c>
      <c r="L50" s="148">
        <f t="shared" si="6"/>
        <v>1469240.7999999998</v>
      </c>
      <c r="M50" s="149" t="s">
        <v>28</v>
      </c>
      <c r="N50" s="150" t="str">
        <f t="shared" si="4"/>
        <v>Q4</v>
      </c>
      <c r="O50" s="150">
        <f t="shared" si="5"/>
        <v>2026</v>
      </c>
      <c r="P50" s="142">
        <v>4700023248</v>
      </c>
      <c r="Q50" s="142">
        <v>1000087375</v>
      </c>
      <c r="R50" s="152">
        <f t="shared" si="0"/>
        <v>0.31210346626606139</v>
      </c>
      <c r="S50" s="156">
        <v>46197</v>
      </c>
    </row>
    <row r="51" spans="1:19" x14ac:dyDescent="0.25">
      <c r="A51" s="49">
        <v>43</v>
      </c>
      <c r="B51" s="135">
        <v>994860317</v>
      </c>
      <c r="C51" s="84" t="s">
        <v>45</v>
      </c>
      <c r="D51" s="50"/>
      <c r="E51" s="140" t="s">
        <v>128</v>
      </c>
      <c r="F51" s="144" t="s">
        <v>132</v>
      </c>
      <c r="G51" s="146">
        <v>58805</v>
      </c>
      <c r="H51" s="147">
        <v>18</v>
      </c>
      <c r="I51" s="19">
        <f t="shared" si="1"/>
        <v>10584.9</v>
      </c>
      <c r="J51" s="148">
        <f t="shared" si="2"/>
        <v>69389.899999999994</v>
      </c>
      <c r="K51" s="148">
        <f t="shared" si="3"/>
        <v>69389.899999999994</v>
      </c>
      <c r="L51" s="148">
        <f t="shared" si="6"/>
        <v>1538630.6999999997</v>
      </c>
      <c r="M51" s="149" t="s">
        <v>28</v>
      </c>
      <c r="N51" s="150" t="str">
        <f t="shared" si="4"/>
        <v>Q4</v>
      </c>
      <c r="O51" s="150">
        <f t="shared" si="5"/>
        <v>2026</v>
      </c>
      <c r="P51" s="142">
        <v>4700023253</v>
      </c>
      <c r="Q51" s="142">
        <v>1000087388</v>
      </c>
      <c r="R51" s="152">
        <f t="shared" si="0"/>
        <v>0.32684361526944827</v>
      </c>
      <c r="S51" s="156">
        <v>46197</v>
      </c>
    </row>
    <row r="52" spans="1:19" x14ac:dyDescent="0.25">
      <c r="A52" s="49">
        <v>44</v>
      </c>
      <c r="B52" s="134">
        <v>994860146</v>
      </c>
      <c r="C52" s="84" t="s">
        <v>46</v>
      </c>
      <c r="D52" s="50"/>
      <c r="E52" s="140" t="s">
        <v>85</v>
      </c>
      <c r="F52" s="142" t="s">
        <v>133</v>
      </c>
      <c r="G52" s="19">
        <v>45600</v>
      </c>
      <c r="H52" s="147">
        <v>15</v>
      </c>
      <c r="I52" s="19">
        <f t="shared" si="1"/>
        <v>6840</v>
      </c>
      <c r="J52" s="148">
        <f t="shared" si="2"/>
        <v>52440</v>
      </c>
      <c r="K52" s="148">
        <f t="shared" si="3"/>
        <v>52440</v>
      </c>
      <c r="L52" s="148">
        <f t="shared" si="6"/>
        <v>1591070.6999999997</v>
      </c>
      <c r="M52" s="149" t="s">
        <v>28</v>
      </c>
      <c r="N52" s="150" t="str">
        <f t="shared" si="4"/>
        <v>Q1</v>
      </c>
      <c r="O52" s="150">
        <f t="shared" si="5"/>
        <v>2026</v>
      </c>
      <c r="P52" s="142">
        <v>4700023511</v>
      </c>
      <c r="Q52" s="142">
        <v>1000088486</v>
      </c>
      <c r="R52" s="152">
        <f t="shared" si="0"/>
        <v>0.33798318188847509</v>
      </c>
      <c r="S52" s="156">
        <v>46209</v>
      </c>
    </row>
    <row r="53" spans="1:19" x14ac:dyDescent="0.25">
      <c r="A53" s="49">
        <v>45</v>
      </c>
      <c r="B53" s="134">
        <v>994860414</v>
      </c>
      <c r="C53" s="84" t="s">
        <v>40</v>
      </c>
      <c r="D53" s="50"/>
      <c r="E53" s="140" t="s">
        <v>134</v>
      </c>
      <c r="F53" s="142" t="s">
        <v>135</v>
      </c>
      <c r="G53" s="19">
        <v>22197.5</v>
      </c>
      <c r="H53" s="147">
        <v>15</v>
      </c>
      <c r="I53" s="19">
        <f t="shared" si="1"/>
        <v>3329.625</v>
      </c>
      <c r="J53" s="148">
        <f t="shared" si="2"/>
        <v>25527.125</v>
      </c>
      <c r="K53" s="148">
        <f t="shared" si="3"/>
        <v>25527.125</v>
      </c>
      <c r="L53" s="148">
        <f t="shared" si="6"/>
        <v>1616597.8249999997</v>
      </c>
      <c r="M53" s="149" t="s">
        <v>28</v>
      </c>
      <c r="N53" s="150" t="str">
        <f t="shared" si="4"/>
        <v>Q1</v>
      </c>
      <c r="O53" s="150">
        <f t="shared" si="5"/>
        <v>2026</v>
      </c>
      <c r="P53" s="142">
        <v>4700023549</v>
      </c>
      <c r="Q53" s="142">
        <v>1000088496</v>
      </c>
      <c r="R53" s="152">
        <f t="shared" si="0"/>
        <v>0.34340578123114723</v>
      </c>
      <c r="S53" s="156">
        <v>46220</v>
      </c>
    </row>
    <row r="54" spans="1:19" x14ac:dyDescent="0.25">
      <c r="A54" s="49">
        <v>46</v>
      </c>
      <c r="B54" s="134">
        <v>994860413</v>
      </c>
      <c r="C54" s="84">
        <v>45884</v>
      </c>
      <c r="D54" s="50"/>
      <c r="E54" s="140" t="s">
        <v>128</v>
      </c>
      <c r="F54" s="142" t="s">
        <v>136</v>
      </c>
      <c r="G54" s="19">
        <v>5890</v>
      </c>
      <c r="H54" s="147">
        <v>16</v>
      </c>
      <c r="I54" s="19">
        <f t="shared" si="1"/>
        <v>942.4</v>
      </c>
      <c r="J54" s="148">
        <f t="shared" si="2"/>
        <v>6832.4</v>
      </c>
      <c r="K54" s="148">
        <f t="shared" si="3"/>
        <v>6832.4</v>
      </c>
      <c r="L54" s="148">
        <f t="shared" si="6"/>
        <v>1623430.2249999996</v>
      </c>
      <c r="M54" s="149" t="s">
        <v>28</v>
      </c>
      <c r="N54" s="150" t="str">
        <f t="shared" si="4"/>
        <v>Q1</v>
      </c>
      <c r="O54" s="150">
        <f t="shared" si="5"/>
        <v>2026</v>
      </c>
      <c r="P54" s="142">
        <v>4700023554</v>
      </c>
      <c r="Q54" s="142">
        <v>1000088510</v>
      </c>
      <c r="R54" s="152">
        <f t="shared" si="0"/>
        <v>0.34485715375151027</v>
      </c>
      <c r="S54" s="156">
        <v>46220</v>
      </c>
    </row>
    <row r="55" spans="1:19" x14ac:dyDescent="0.25">
      <c r="A55" s="49">
        <v>47</v>
      </c>
      <c r="B55" s="134">
        <v>994860411</v>
      </c>
      <c r="C55" s="84">
        <v>45881</v>
      </c>
      <c r="D55" s="50"/>
      <c r="E55" s="140" t="s">
        <v>134</v>
      </c>
      <c r="F55" s="142" t="s">
        <v>137</v>
      </c>
      <c r="G55" s="19">
        <v>3625</v>
      </c>
      <c r="H55" s="147">
        <v>18</v>
      </c>
      <c r="I55" s="19">
        <f t="shared" si="1"/>
        <v>652.5</v>
      </c>
      <c r="J55" s="148">
        <f t="shared" si="2"/>
        <v>4277.5</v>
      </c>
      <c r="K55" s="148">
        <f t="shared" si="3"/>
        <v>4277.5</v>
      </c>
      <c r="L55" s="148">
        <f t="shared" si="6"/>
        <v>1627707.7249999996</v>
      </c>
      <c r="M55" s="149" t="s">
        <v>28</v>
      </c>
      <c r="N55" s="150" t="str">
        <f t="shared" si="4"/>
        <v>Q1</v>
      </c>
      <c r="O55" s="150">
        <f t="shared" si="5"/>
        <v>2026</v>
      </c>
      <c r="P55" s="142">
        <v>4700023552</v>
      </c>
      <c r="Q55" s="142">
        <v>1000088507</v>
      </c>
      <c r="R55" s="152">
        <f t="shared" si="0"/>
        <v>0.34576580165793452</v>
      </c>
      <c r="S55" s="156">
        <v>46253</v>
      </c>
    </row>
    <row r="56" spans="1:19" x14ac:dyDescent="0.25">
      <c r="A56" s="49">
        <v>48</v>
      </c>
      <c r="B56" s="135">
        <v>994860415</v>
      </c>
      <c r="C56" s="84">
        <v>45871</v>
      </c>
      <c r="D56" s="50"/>
      <c r="E56" s="143" t="s">
        <v>138</v>
      </c>
      <c r="F56" s="144" t="s">
        <v>139</v>
      </c>
      <c r="G56" s="146">
        <v>42687.5</v>
      </c>
      <c r="H56" s="147">
        <v>16</v>
      </c>
      <c r="I56" s="19">
        <f t="shared" si="1"/>
        <v>6830</v>
      </c>
      <c r="J56" s="148">
        <f t="shared" si="2"/>
        <v>49517.5</v>
      </c>
      <c r="K56" s="148">
        <f t="shared" si="3"/>
        <v>49517.5</v>
      </c>
      <c r="L56" s="148">
        <f t="shared" si="6"/>
        <v>1677225.2249999996</v>
      </c>
      <c r="M56" s="149" t="s">
        <v>28</v>
      </c>
      <c r="N56" s="150" t="str">
        <f t="shared" si="4"/>
        <v>Q1</v>
      </c>
      <c r="O56" s="150">
        <f t="shared" si="5"/>
        <v>2026</v>
      </c>
      <c r="P56" s="142">
        <v>4700023556</v>
      </c>
      <c r="Q56" s="142">
        <v>1000088511</v>
      </c>
      <c r="R56" s="152">
        <f t="shared" si="0"/>
        <v>0.35628455623569311</v>
      </c>
      <c r="S56" s="156">
        <v>46220</v>
      </c>
    </row>
    <row r="57" spans="1:19" x14ac:dyDescent="0.25">
      <c r="A57" s="49">
        <v>49</v>
      </c>
      <c r="B57" s="135">
        <v>994860410</v>
      </c>
      <c r="C57" s="84">
        <v>45873</v>
      </c>
      <c r="D57" s="50"/>
      <c r="E57" s="143" t="s">
        <v>128</v>
      </c>
      <c r="F57" s="144" t="s">
        <v>140</v>
      </c>
      <c r="G57" s="146">
        <v>228000</v>
      </c>
      <c r="H57" s="147">
        <v>18</v>
      </c>
      <c r="I57" s="19">
        <f t="shared" si="1"/>
        <v>41040</v>
      </c>
      <c r="J57" s="148">
        <f t="shared" si="2"/>
        <v>269040</v>
      </c>
      <c r="K57" s="148">
        <f t="shared" si="3"/>
        <v>269040</v>
      </c>
      <c r="L57" s="148">
        <f t="shared" si="6"/>
        <v>1946265.2249999996</v>
      </c>
      <c r="M57" s="149" t="s">
        <v>28</v>
      </c>
      <c r="N57" s="150" t="str">
        <f t="shared" si="4"/>
        <v>Q1</v>
      </c>
      <c r="O57" s="150">
        <f t="shared" si="5"/>
        <v>2026</v>
      </c>
      <c r="P57" s="142">
        <v>4700023560</v>
      </c>
      <c r="Q57" s="142">
        <v>1000088515</v>
      </c>
      <c r="R57" s="152">
        <f t="shared" si="0"/>
        <v>0.41343537628113503</v>
      </c>
      <c r="S57" s="156">
        <v>46220</v>
      </c>
    </row>
    <row r="58" spans="1:19" x14ac:dyDescent="0.25">
      <c r="A58" s="49">
        <v>50</v>
      </c>
      <c r="B58" s="135">
        <v>994860412</v>
      </c>
      <c r="C58" s="84">
        <v>45864</v>
      </c>
      <c r="D58" s="50"/>
      <c r="E58" s="143" t="s">
        <v>134</v>
      </c>
      <c r="F58" s="144" t="s">
        <v>141</v>
      </c>
      <c r="G58" s="146">
        <v>2475</v>
      </c>
      <c r="H58" s="147">
        <v>18</v>
      </c>
      <c r="I58" s="19">
        <f t="shared" si="1"/>
        <v>445.5</v>
      </c>
      <c r="J58" s="148">
        <f t="shared" si="2"/>
        <v>2920.5</v>
      </c>
      <c r="K58" s="148">
        <f t="shared" si="3"/>
        <v>2920.5</v>
      </c>
      <c r="L58" s="148">
        <f t="shared" si="6"/>
        <v>1949185.7249999996</v>
      </c>
      <c r="M58" s="149" t="s">
        <v>28</v>
      </c>
      <c r="N58" s="150" t="str">
        <f t="shared" si="4"/>
        <v>Q1</v>
      </c>
      <c r="O58" s="150">
        <f t="shared" si="5"/>
        <v>2026</v>
      </c>
      <c r="P58" s="142">
        <v>4700023591</v>
      </c>
      <c r="Q58" s="142">
        <v>1000088710</v>
      </c>
      <c r="R58" s="152">
        <f t="shared" si="0"/>
        <v>0.41405576347241779</v>
      </c>
      <c r="S58" s="156">
        <v>46255</v>
      </c>
    </row>
    <row r="59" spans="1:19" x14ac:dyDescent="0.25">
      <c r="A59" s="49">
        <v>51</v>
      </c>
      <c r="B59" s="135">
        <v>994860515</v>
      </c>
      <c r="C59" s="84">
        <v>45890</v>
      </c>
      <c r="D59" s="50"/>
      <c r="E59" s="143" t="s">
        <v>142</v>
      </c>
      <c r="F59" s="142" t="s">
        <v>143</v>
      </c>
      <c r="G59" s="19">
        <v>22197.5</v>
      </c>
      <c r="H59" s="19"/>
      <c r="I59" s="19">
        <f t="shared" si="1"/>
        <v>0</v>
      </c>
      <c r="J59" s="148">
        <f t="shared" si="2"/>
        <v>22197.5</v>
      </c>
      <c r="K59" s="148">
        <f t="shared" si="3"/>
        <v>22197.5</v>
      </c>
      <c r="L59" s="148">
        <f t="shared" si="6"/>
        <v>1971383.2249999996</v>
      </c>
      <c r="M59" s="149" t="s">
        <v>28</v>
      </c>
      <c r="N59" s="150" t="str">
        <f t="shared" si="4"/>
        <v/>
      </c>
      <c r="O59" s="150" t="str">
        <f t="shared" si="5"/>
        <v/>
      </c>
      <c r="P59" s="142">
        <v>4700024492</v>
      </c>
      <c r="Q59" s="142">
        <v>1000091980</v>
      </c>
      <c r="R59" s="152">
        <f t="shared" si="0"/>
        <v>0.41877106724865443</v>
      </c>
      <c r="S59" s="156"/>
    </row>
    <row r="60" spans="1:19" x14ac:dyDescent="0.25">
      <c r="A60" s="49">
        <v>52</v>
      </c>
      <c r="B60" s="135">
        <v>994860514</v>
      </c>
      <c r="C60" s="84" t="s">
        <v>47</v>
      </c>
      <c r="D60" s="50"/>
      <c r="E60" s="140" t="s">
        <v>128</v>
      </c>
      <c r="F60" s="142" t="s">
        <v>144</v>
      </c>
      <c r="G60" s="19">
        <v>31900</v>
      </c>
      <c r="H60" s="147">
        <v>18</v>
      </c>
      <c r="I60" s="19">
        <f t="shared" si="1"/>
        <v>5742</v>
      </c>
      <c r="J60" s="148">
        <f t="shared" si="2"/>
        <v>37642</v>
      </c>
      <c r="K60" s="148">
        <f t="shared" si="3"/>
        <v>37642</v>
      </c>
      <c r="L60" s="148">
        <f t="shared" si="6"/>
        <v>2009025.2249999996</v>
      </c>
      <c r="M60" s="149" t="s">
        <v>28</v>
      </c>
      <c r="N60" s="150" t="str">
        <f t="shared" si="4"/>
        <v>Q1</v>
      </c>
      <c r="O60" s="150">
        <f t="shared" si="5"/>
        <v>2026</v>
      </c>
      <c r="P60" s="142">
        <v>4700024496</v>
      </c>
      <c r="Q60" s="142">
        <v>1000092009</v>
      </c>
      <c r="R60" s="152">
        <f t="shared" si="0"/>
        <v>0.42676716882518773</v>
      </c>
      <c r="S60" s="156">
        <v>46255</v>
      </c>
    </row>
    <row r="61" spans="1:19" x14ac:dyDescent="0.25">
      <c r="A61" s="49">
        <v>53</v>
      </c>
      <c r="B61" s="135">
        <v>994860513</v>
      </c>
      <c r="C61" s="84" t="s">
        <v>48</v>
      </c>
      <c r="D61" s="50"/>
      <c r="E61" s="140" t="s">
        <v>138</v>
      </c>
      <c r="F61" s="142" t="s">
        <v>145</v>
      </c>
      <c r="G61" s="19">
        <v>4590</v>
      </c>
      <c r="H61" s="147">
        <v>18</v>
      </c>
      <c r="I61" s="19">
        <f t="shared" si="1"/>
        <v>826.2</v>
      </c>
      <c r="J61" s="148">
        <f t="shared" si="2"/>
        <v>5416.2</v>
      </c>
      <c r="K61" s="148">
        <f t="shared" si="3"/>
        <v>5416.2</v>
      </c>
      <c r="L61" s="148">
        <f t="shared" si="6"/>
        <v>2014441.4249999996</v>
      </c>
      <c r="M61" s="149" t="s">
        <v>28</v>
      </c>
      <c r="N61" s="150" t="str">
        <f t="shared" si="4"/>
        <v>Q1</v>
      </c>
      <c r="O61" s="150">
        <f t="shared" si="5"/>
        <v>2026</v>
      </c>
      <c r="P61" s="142">
        <v>4700024499</v>
      </c>
      <c r="Q61" s="142">
        <v>1000092017</v>
      </c>
      <c r="R61" s="152">
        <f t="shared" si="0"/>
        <v>0.42791770507083937</v>
      </c>
      <c r="S61" s="156">
        <v>46255</v>
      </c>
    </row>
    <row r="62" spans="1:19" x14ac:dyDescent="0.25">
      <c r="A62" s="49">
        <v>54</v>
      </c>
      <c r="B62" s="135">
        <v>994860516</v>
      </c>
      <c r="C62" s="84" t="s">
        <v>49</v>
      </c>
      <c r="D62" s="50"/>
      <c r="E62" s="140" t="s">
        <v>142</v>
      </c>
      <c r="F62" s="142" t="s">
        <v>132</v>
      </c>
      <c r="G62" s="19">
        <v>41600</v>
      </c>
      <c r="H62" s="19"/>
      <c r="I62" s="19">
        <f t="shared" si="1"/>
        <v>0</v>
      </c>
      <c r="J62" s="148">
        <f t="shared" si="2"/>
        <v>41600</v>
      </c>
      <c r="K62" s="148">
        <f t="shared" si="3"/>
        <v>41600</v>
      </c>
      <c r="L62" s="148">
        <f t="shared" si="6"/>
        <v>2056041.4249999996</v>
      </c>
      <c r="M62" s="149" t="s">
        <v>28</v>
      </c>
      <c r="N62" s="150" t="str">
        <f t="shared" si="4"/>
        <v/>
      </c>
      <c r="O62" s="150" t="str">
        <f t="shared" si="5"/>
        <v/>
      </c>
      <c r="P62" s="142">
        <v>4700024512</v>
      </c>
      <c r="Q62" s="142">
        <v>1000092067</v>
      </c>
      <c r="R62" s="151">
        <f t="shared" si="0"/>
        <v>0.43675458476861811</v>
      </c>
      <c r="S62" s="156"/>
    </row>
    <row r="63" spans="1:19" x14ac:dyDescent="0.25">
      <c r="A63" s="49">
        <v>55</v>
      </c>
      <c r="B63" s="135">
        <v>994860593</v>
      </c>
      <c r="C63" s="84">
        <v>45919</v>
      </c>
      <c r="D63" s="50"/>
      <c r="E63" s="140" t="s">
        <v>142</v>
      </c>
      <c r="F63" s="142" t="s">
        <v>146</v>
      </c>
      <c r="G63" s="19">
        <v>58175</v>
      </c>
      <c r="H63" s="19">
        <v>18</v>
      </c>
      <c r="I63" s="19">
        <f t="shared" si="1"/>
        <v>10471.5</v>
      </c>
      <c r="J63" s="148">
        <f t="shared" si="2"/>
        <v>68646.5</v>
      </c>
      <c r="K63" s="148">
        <f t="shared" si="3"/>
        <v>68646.5</v>
      </c>
      <c r="L63" s="148">
        <f t="shared" si="6"/>
        <v>2124687.9249999998</v>
      </c>
      <c r="M63" s="149" t="s">
        <v>28</v>
      </c>
      <c r="N63" s="150" t="str">
        <f t="shared" si="4"/>
        <v>Q1</v>
      </c>
      <c r="O63" s="150">
        <f t="shared" si="5"/>
        <v>2026</v>
      </c>
      <c r="P63" s="142">
        <v>4700024982</v>
      </c>
      <c r="Q63" s="142">
        <v>1000094006</v>
      </c>
      <c r="R63" s="151">
        <f t="shared" si="0"/>
        <v>0.4513368170324058</v>
      </c>
      <c r="S63" s="156">
        <v>46280</v>
      </c>
    </row>
    <row r="64" spans="1:19" x14ac:dyDescent="0.25">
      <c r="A64" s="49">
        <v>56</v>
      </c>
      <c r="B64" s="135">
        <v>994860594</v>
      </c>
      <c r="C64" s="84">
        <v>45907</v>
      </c>
      <c r="D64" s="50"/>
      <c r="E64" s="140" t="s">
        <v>128</v>
      </c>
      <c r="F64" s="142" t="s">
        <v>147</v>
      </c>
      <c r="G64" s="19">
        <v>5675</v>
      </c>
      <c r="H64" s="19">
        <v>18</v>
      </c>
      <c r="I64" s="19">
        <f t="shared" si="1"/>
        <v>1021.5</v>
      </c>
      <c r="J64" s="148">
        <f t="shared" si="2"/>
        <v>6696.5</v>
      </c>
      <c r="K64" s="148">
        <f t="shared" si="3"/>
        <v>6696.5</v>
      </c>
      <c r="L64" s="148">
        <f t="shared" si="6"/>
        <v>2131384.4249999998</v>
      </c>
      <c r="M64" s="149" t="s">
        <v>28</v>
      </c>
      <c r="N64" s="150" t="str">
        <f t="shared" si="4"/>
        <v>Q1</v>
      </c>
      <c r="O64" s="150">
        <f t="shared" si="5"/>
        <v>2026</v>
      </c>
      <c r="P64" s="142">
        <v>4700024983</v>
      </c>
      <c r="Q64" s="142">
        <v>1000094013</v>
      </c>
      <c r="R64" s="151">
        <f t="shared" si="0"/>
        <v>0.45275932099625621</v>
      </c>
      <c r="S64" s="156">
        <v>46280</v>
      </c>
    </row>
    <row r="65" spans="1:19" x14ac:dyDescent="0.25">
      <c r="A65" s="49">
        <v>57</v>
      </c>
      <c r="B65" s="135">
        <v>994860595</v>
      </c>
      <c r="C65" s="84" t="s">
        <v>50</v>
      </c>
      <c r="D65" s="50"/>
      <c r="E65" s="140" t="s">
        <v>128</v>
      </c>
      <c r="F65" s="142" t="s">
        <v>148</v>
      </c>
      <c r="G65" s="19">
        <v>8180</v>
      </c>
      <c r="H65" s="19">
        <v>18</v>
      </c>
      <c r="I65" s="19">
        <f t="shared" si="1"/>
        <v>1472.4</v>
      </c>
      <c r="J65" s="148">
        <f t="shared" si="2"/>
        <v>9652.4</v>
      </c>
      <c r="K65" s="148">
        <f t="shared" si="3"/>
        <v>9652.4</v>
      </c>
      <c r="L65" s="148">
        <f t="shared" si="6"/>
        <v>2141036.8249999997</v>
      </c>
      <c r="M65" s="149" t="s">
        <v>28</v>
      </c>
      <c r="N65" s="150" t="str">
        <f t="shared" si="4"/>
        <v>Q1</v>
      </c>
      <c r="O65" s="150">
        <f t="shared" si="5"/>
        <v>2026</v>
      </c>
      <c r="P65" s="142">
        <v>4700024994</v>
      </c>
      <c r="Q65" s="142">
        <v>1000094064</v>
      </c>
      <c r="R65" s="151">
        <f t="shared" si="0"/>
        <v>0.45480973199613212</v>
      </c>
      <c r="S65" s="156">
        <v>46280</v>
      </c>
    </row>
    <row r="66" spans="1:19" x14ac:dyDescent="0.25">
      <c r="A66" s="49"/>
      <c r="B66" s="137"/>
      <c r="C66" s="84"/>
      <c r="D66" s="50"/>
      <c r="E66" s="51"/>
      <c r="F66" s="52"/>
      <c r="G66" s="61">
        <v>7050</v>
      </c>
      <c r="H66" s="53">
        <v>15</v>
      </c>
      <c r="I66" s="19"/>
      <c r="J66" s="153"/>
      <c r="K66" s="148">
        <f t="shared" si="3"/>
        <v>0</v>
      </c>
      <c r="L66" s="148">
        <f t="shared" si="6"/>
        <v>2141036.8249999997</v>
      </c>
      <c r="M66" s="149" t="s">
        <v>28</v>
      </c>
      <c r="N66" s="150" t="str">
        <f t="shared" si="4"/>
        <v/>
      </c>
      <c r="O66" s="150" t="str">
        <f t="shared" si="5"/>
        <v/>
      </c>
      <c r="P66" s="142"/>
      <c r="Q66" s="142"/>
      <c r="R66" s="142"/>
      <c r="S66" s="156"/>
    </row>
    <row r="67" spans="1:19" x14ac:dyDescent="0.25">
      <c r="A67" s="49"/>
      <c r="B67" s="137"/>
      <c r="C67" s="84"/>
      <c r="D67" s="50"/>
      <c r="E67" s="51"/>
      <c r="F67" s="52"/>
      <c r="G67" s="61"/>
      <c r="H67" s="53"/>
      <c r="I67" s="53"/>
      <c r="J67" s="54"/>
      <c r="K67" s="54"/>
      <c r="L67" s="55"/>
      <c r="M67" s="54"/>
      <c r="N67" s="55"/>
      <c r="O67" s="56"/>
      <c r="P67" s="57"/>
      <c r="Q67" s="57"/>
      <c r="R67" s="58"/>
      <c r="S67" s="157"/>
    </row>
    <row r="68" spans="1:19" x14ac:dyDescent="0.25">
      <c r="A68" s="49"/>
      <c r="B68" s="137"/>
      <c r="C68" s="84"/>
      <c r="D68" s="50"/>
      <c r="E68" s="51"/>
      <c r="F68" s="52"/>
      <c r="G68" s="61"/>
      <c r="H68" s="53"/>
      <c r="I68" s="53"/>
      <c r="J68" s="54"/>
      <c r="K68" s="54"/>
      <c r="L68" s="55"/>
      <c r="M68" s="54"/>
      <c r="N68" s="55"/>
      <c r="O68" s="56"/>
      <c r="P68" s="57"/>
      <c r="Q68" s="57"/>
      <c r="R68" s="58"/>
      <c r="S68" s="157"/>
    </row>
    <row r="69" spans="1:19" x14ac:dyDescent="0.25">
      <c r="A69" s="49"/>
      <c r="B69" s="137"/>
      <c r="C69" s="84"/>
      <c r="D69" s="50"/>
      <c r="E69" s="51"/>
      <c r="F69" s="52"/>
      <c r="G69" s="61"/>
      <c r="H69" s="53"/>
      <c r="I69" s="53"/>
      <c r="J69" s="54"/>
      <c r="K69" s="54"/>
      <c r="L69" s="55"/>
      <c r="M69" s="54"/>
      <c r="N69" s="55"/>
      <c r="O69" s="56"/>
      <c r="P69" s="57"/>
      <c r="Q69" s="57"/>
      <c r="R69" s="58"/>
      <c r="S69" s="157"/>
    </row>
    <row r="70" spans="1:19" x14ac:dyDescent="0.25">
      <c r="A70" s="49"/>
      <c r="B70" s="137"/>
      <c r="C70" s="84"/>
      <c r="D70" s="50"/>
      <c r="E70" s="51"/>
      <c r="F70" s="52"/>
      <c r="G70" s="61"/>
      <c r="H70" s="53"/>
      <c r="I70" s="53"/>
      <c r="J70" s="54"/>
      <c r="K70" s="54"/>
      <c r="L70" s="55"/>
      <c r="M70" s="54"/>
      <c r="N70" s="55"/>
      <c r="O70" s="56"/>
      <c r="P70" s="57"/>
      <c r="Q70" s="57"/>
      <c r="R70" s="58"/>
      <c r="S70" s="157"/>
    </row>
    <row r="71" spans="1:19" x14ac:dyDescent="0.25">
      <c r="A71" s="49"/>
      <c r="B71" s="137"/>
      <c r="C71" s="84"/>
      <c r="D71" s="50"/>
      <c r="E71" s="51"/>
      <c r="F71" s="52"/>
      <c r="G71" s="61"/>
      <c r="H71" s="53"/>
      <c r="I71" s="53"/>
      <c r="J71" s="54"/>
      <c r="K71" s="54"/>
      <c r="L71" s="55"/>
      <c r="M71" s="54"/>
      <c r="N71" s="55"/>
      <c r="O71" s="56"/>
      <c r="P71" s="57"/>
      <c r="Q71" s="57"/>
      <c r="R71" s="58"/>
      <c r="S71" s="157"/>
    </row>
    <row r="72" spans="1:19" x14ac:dyDescent="0.25">
      <c r="A72" s="49"/>
      <c r="B72" s="137"/>
      <c r="C72" s="84"/>
      <c r="D72" s="50"/>
      <c r="E72" s="51"/>
      <c r="F72" s="52"/>
      <c r="G72" s="61"/>
      <c r="H72" s="53"/>
      <c r="I72" s="53"/>
      <c r="J72" s="54"/>
      <c r="K72" s="54"/>
      <c r="L72" s="55"/>
      <c r="M72" s="54"/>
      <c r="N72" s="55"/>
      <c r="O72" s="56"/>
      <c r="P72" s="57"/>
      <c r="Q72" s="57"/>
      <c r="R72" s="58"/>
      <c r="S72" s="157"/>
    </row>
    <row r="73" spans="1:19" x14ac:dyDescent="0.25">
      <c r="A73" s="49"/>
      <c r="B73" s="137"/>
      <c r="C73" s="84"/>
      <c r="D73" s="50"/>
      <c r="E73" s="51"/>
      <c r="F73" s="52"/>
      <c r="G73" s="53"/>
      <c r="H73" s="53"/>
      <c r="I73" s="53"/>
      <c r="J73" s="54"/>
      <c r="K73" s="54"/>
      <c r="L73" s="55"/>
      <c r="M73" s="54"/>
      <c r="N73" s="55"/>
      <c r="O73" s="56"/>
      <c r="P73" s="57"/>
      <c r="Q73" s="57"/>
      <c r="R73" s="58"/>
      <c r="S73" s="157"/>
    </row>
    <row r="74" spans="1:19" x14ac:dyDescent="0.25">
      <c r="A74" s="49"/>
      <c r="B74" s="137"/>
      <c r="C74" s="84"/>
      <c r="D74" s="50"/>
      <c r="E74" s="51"/>
      <c r="F74" s="52"/>
      <c r="G74" s="53"/>
      <c r="H74" s="53"/>
      <c r="I74" s="53"/>
      <c r="J74" s="54"/>
      <c r="K74" s="54"/>
      <c r="L74" s="55"/>
      <c r="M74" s="54"/>
      <c r="N74" s="55"/>
      <c r="O74" s="56"/>
      <c r="P74" s="57"/>
      <c r="Q74" s="57"/>
      <c r="R74" s="58"/>
      <c r="S74" s="157"/>
    </row>
    <row r="75" spans="1:19" x14ac:dyDescent="0.25">
      <c r="A75" s="49"/>
      <c r="B75" s="137"/>
      <c r="C75" s="84"/>
      <c r="D75" s="50"/>
      <c r="E75" s="51"/>
      <c r="F75" s="52"/>
      <c r="G75" s="53"/>
      <c r="H75" s="53"/>
      <c r="I75" s="53"/>
      <c r="J75" s="54"/>
      <c r="K75" s="54"/>
      <c r="L75" s="55"/>
      <c r="M75" s="54"/>
      <c r="N75" s="55"/>
      <c r="O75" s="56"/>
      <c r="P75" s="57"/>
      <c r="Q75" s="57"/>
      <c r="R75" s="58"/>
      <c r="S75" s="157"/>
    </row>
    <row r="76" spans="1:19" x14ac:dyDescent="0.25">
      <c r="A76" s="49"/>
      <c r="B76" s="137"/>
      <c r="C76" s="84"/>
      <c r="D76" s="50"/>
      <c r="E76" s="51"/>
      <c r="F76" s="52"/>
      <c r="G76" s="53"/>
      <c r="H76" s="53"/>
      <c r="I76" s="53"/>
      <c r="J76" s="54"/>
      <c r="K76" s="54"/>
      <c r="L76" s="55"/>
      <c r="M76" s="54"/>
      <c r="N76" s="55"/>
      <c r="O76" s="56"/>
      <c r="P76" s="57"/>
      <c r="Q76" s="57"/>
      <c r="R76" s="58"/>
      <c r="S76" s="157"/>
    </row>
    <row r="77" spans="1:19" x14ac:dyDescent="0.25">
      <c r="A77" s="49"/>
      <c r="B77" s="137"/>
      <c r="C77" s="84"/>
      <c r="D77" s="50"/>
      <c r="E77" s="51"/>
      <c r="F77" s="52"/>
      <c r="G77" s="53"/>
      <c r="H77" s="53"/>
      <c r="I77" s="53"/>
      <c r="J77" s="54"/>
      <c r="K77" s="54"/>
      <c r="L77" s="55"/>
      <c r="M77" s="54"/>
      <c r="N77" s="55"/>
      <c r="O77" s="56"/>
      <c r="P77" s="57"/>
      <c r="Q77" s="57"/>
      <c r="R77" s="58"/>
      <c r="S77" s="157"/>
    </row>
    <row r="78" spans="1:19" x14ac:dyDescent="0.25">
      <c r="A78" s="49"/>
      <c r="B78" s="137"/>
      <c r="C78" s="84"/>
      <c r="D78" s="50"/>
      <c r="E78" s="51"/>
      <c r="F78" s="52"/>
      <c r="G78" s="53"/>
      <c r="H78" s="53"/>
      <c r="I78" s="53"/>
      <c r="J78" s="54"/>
      <c r="K78" s="54"/>
      <c r="L78" s="55"/>
      <c r="M78" s="54"/>
      <c r="N78" s="55"/>
      <c r="O78" s="56"/>
      <c r="P78" s="57"/>
      <c r="Q78" s="57"/>
      <c r="R78" s="58"/>
      <c r="S78" s="157"/>
    </row>
    <row r="79" spans="1:19" x14ac:dyDescent="0.25">
      <c r="A79" s="49"/>
      <c r="B79" s="137"/>
      <c r="C79" s="84"/>
      <c r="D79" s="50"/>
      <c r="E79" s="51"/>
      <c r="F79" s="52"/>
      <c r="G79" s="53"/>
      <c r="H79" s="53"/>
      <c r="I79" s="53"/>
      <c r="J79" s="54"/>
      <c r="K79" s="54"/>
      <c r="L79" s="55"/>
      <c r="M79" s="54"/>
      <c r="N79" s="55"/>
      <c r="O79" s="56"/>
      <c r="P79" s="57"/>
      <c r="Q79" s="57"/>
      <c r="R79" s="58"/>
      <c r="S79" s="157"/>
    </row>
    <row r="80" spans="1:19" x14ac:dyDescent="0.25">
      <c r="A80" s="49"/>
      <c r="B80" s="137"/>
      <c r="C80" s="84"/>
      <c r="D80" s="50"/>
      <c r="E80" s="51"/>
      <c r="F80" s="52"/>
      <c r="G80" s="61"/>
      <c r="H80" s="53"/>
      <c r="I80" s="53"/>
      <c r="J80" s="54"/>
      <c r="K80" s="54"/>
      <c r="L80" s="55"/>
      <c r="M80" s="54"/>
      <c r="N80" s="55"/>
      <c r="O80" s="56"/>
      <c r="P80" s="57"/>
      <c r="Q80" s="57"/>
      <c r="R80" s="58"/>
      <c r="S80" s="157"/>
    </row>
    <row r="81" spans="1:19" x14ac:dyDescent="0.25">
      <c r="A81" s="49"/>
      <c r="B81" s="137"/>
      <c r="C81" s="84"/>
      <c r="D81" s="50"/>
      <c r="E81" s="51"/>
      <c r="F81" s="52"/>
      <c r="G81" s="61"/>
      <c r="H81" s="53"/>
      <c r="I81" s="53"/>
      <c r="J81" s="54"/>
      <c r="K81" s="54"/>
      <c r="L81" s="55"/>
      <c r="M81" s="54"/>
      <c r="N81" s="55"/>
      <c r="O81" s="56"/>
      <c r="P81" s="57"/>
      <c r="Q81" s="57"/>
      <c r="R81" s="58"/>
      <c r="S81" s="157"/>
    </row>
    <row r="82" spans="1:19" x14ac:dyDescent="0.25">
      <c r="A82" s="49"/>
      <c r="B82" s="137"/>
      <c r="C82" s="84"/>
      <c r="D82" s="50"/>
      <c r="E82" s="51"/>
      <c r="F82" s="52"/>
      <c r="G82" s="61"/>
      <c r="H82" s="53"/>
      <c r="I82" s="53"/>
      <c r="J82" s="54"/>
      <c r="K82" s="54"/>
      <c r="L82" s="55"/>
      <c r="M82" s="54"/>
      <c r="N82" s="55"/>
      <c r="O82" s="56"/>
      <c r="P82" s="57"/>
      <c r="Q82" s="57"/>
      <c r="R82" s="58"/>
      <c r="S82" s="157"/>
    </row>
    <row r="83" spans="1:19" x14ac:dyDescent="0.25">
      <c r="A83" s="49"/>
      <c r="B83" s="137"/>
      <c r="C83" s="84"/>
      <c r="D83" s="50"/>
      <c r="E83" s="51"/>
      <c r="F83" s="52"/>
      <c r="G83" s="61"/>
      <c r="H83" s="53"/>
      <c r="I83" s="53"/>
      <c r="J83" s="54"/>
      <c r="K83" s="54"/>
      <c r="L83" s="55"/>
      <c r="M83" s="54"/>
      <c r="N83" s="55"/>
      <c r="O83" s="56"/>
      <c r="P83" s="57"/>
      <c r="Q83" s="57"/>
      <c r="R83" s="58"/>
      <c r="S83" s="157"/>
    </row>
    <row r="84" spans="1:19" x14ac:dyDescent="0.25">
      <c r="A84" s="49"/>
      <c r="B84" s="137"/>
      <c r="C84" s="84"/>
      <c r="D84" s="50"/>
      <c r="E84" s="51"/>
      <c r="F84" s="52"/>
      <c r="G84" s="61"/>
      <c r="H84" s="53"/>
      <c r="I84" s="53"/>
      <c r="J84" s="54"/>
      <c r="K84" s="54"/>
      <c r="L84" s="55"/>
      <c r="M84" s="54"/>
      <c r="N84" s="55"/>
      <c r="O84" s="56"/>
      <c r="P84" s="57"/>
      <c r="Q84" s="57"/>
      <c r="R84" s="58"/>
      <c r="S84" s="157"/>
    </row>
    <row r="85" spans="1:19" x14ac:dyDescent="0.25">
      <c r="A85" s="49"/>
      <c r="B85" s="137"/>
      <c r="C85" s="84"/>
      <c r="D85" s="50"/>
      <c r="E85" s="51"/>
      <c r="F85" s="52"/>
      <c r="G85" s="61"/>
      <c r="H85" s="53"/>
      <c r="I85" s="53"/>
      <c r="J85" s="54"/>
      <c r="K85" s="54"/>
      <c r="L85" s="55"/>
      <c r="M85" s="54"/>
      <c r="N85" s="55"/>
      <c r="O85" s="56"/>
      <c r="P85" s="57"/>
      <c r="Q85" s="57"/>
      <c r="R85" s="58"/>
      <c r="S85" s="157"/>
    </row>
    <row r="86" spans="1:19" x14ac:dyDescent="0.25">
      <c r="A86" s="49"/>
      <c r="B86" s="137"/>
      <c r="C86" s="84"/>
      <c r="D86" s="50"/>
      <c r="E86" s="51"/>
      <c r="F86" s="52"/>
      <c r="G86" s="61"/>
      <c r="H86" s="53"/>
      <c r="I86" s="53"/>
      <c r="J86" s="54"/>
      <c r="K86" s="54"/>
      <c r="L86" s="55"/>
      <c r="M86" s="54"/>
      <c r="N86" s="55"/>
      <c r="O86" s="56"/>
      <c r="P86" s="57"/>
      <c r="Q86" s="57"/>
      <c r="R86" s="58"/>
      <c r="S86" s="157"/>
    </row>
    <row r="87" spans="1:19" x14ac:dyDescent="0.25">
      <c r="A87" s="49"/>
      <c r="B87" s="137"/>
      <c r="C87" s="84"/>
      <c r="D87" s="50"/>
      <c r="E87" s="51"/>
      <c r="F87" s="52"/>
      <c r="G87" s="61"/>
      <c r="H87" s="53"/>
      <c r="I87" s="53"/>
      <c r="J87" s="54"/>
      <c r="K87" s="54"/>
      <c r="L87" s="55"/>
      <c r="M87" s="54"/>
      <c r="N87" s="55"/>
      <c r="O87" s="56"/>
      <c r="P87" s="57"/>
      <c r="Q87" s="57"/>
      <c r="R87" s="58"/>
      <c r="S87" s="157"/>
    </row>
    <row r="88" spans="1:19" x14ac:dyDescent="0.25">
      <c r="A88" s="49"/>
      <c r="B88" s="137"/>
      <c r="C88" s="84"/>
      <c r="D88" s="50"/>
      <c r="E88" s="51"/>
      <c r="F88" s="52"/>
      <c r="G88" s="61"/>
      <c r="H88" s="53"/>
      <c r="I88" s="53"/>
      <c r="J88" s="54"/>
      <c r="K88" s="54"/>
      <c r="L88" s="55"/>
      <c r="M88" s="54"/>
      <c r="N88" s="55"/>
      <c r="O88" s="56"/>
      <c r="P88" s="57"/>
      <c r="Q88" s="57"/>
      <c r="R88" s="58"/>
      <c r="S88" s="157"/>
    </row>
    <row r="89" spans="1:19" x14ac:dyDescent="0.25">
      <c r="A89" s="49"/>
      <c r="B89" s="137"/>
      <c r="C89" s="84"/>
      <c r="D89" s="50"/>
      <c r="E89" s="51"/>
      <c r="F89" s="52"/>
      <c r="G89" s="61"/>
      <c r="H89" s="53"/>
      <c r="I89" s="53"/>
      <c r="J89" s="54"/>
      <c r="K89" s="54"/>
      <c r="L89" s="55"/>
      <c r="M89" s="54"/>
      <c r="N89" s="55"/>
      <c r="O89" s="56"/>
      <c r="P89" s="57"/>
      <c r="Q89" s="57"/>
      <c r="R89" s="58"/>
      <c r="S89" s="157"/>
    </row>
    <row r="90" spans="1:19" x14ac:dyDescent="0.25">
      <c r="A90" s="49"/>
      <c r="B90" s="137"/>
      <c r="C90" s="84"/>
      <c r="D90" s="50"/>
      <c r="E90" s="51"/>
      <c r="F90" s="52"/>
      <c r="G90" s="61"/>
      <c r="H90" s="53"/>
      <c r="I90" s="53"/>
      <c r="J90" s="54"/>
      <c r="K90" s="54"/>
      <c r="L90" s="55"/>
      <c r="M90" s="54"/>
      <c r="N90" s="55"/>
      <c r="O90" s="56"/>
      <c r="P90" s="57"/>
      <c r="Q90" s="57"/>
      <c r="R90" s="58"/>
      <c r="S90" s="157"/>
    </row>
    <row r="91" spans="1:19" x14ac:dyDescent="0.25">
      <c r="A91" s="49"/>
      <c r="B91" s="137"/>
      <c r="C91" s="84"/>
      <c r="D91" s="50"/>
      <c r="E91" s="51"/>
      <c r="F91" s="52"/>
      <c r="G91" s="61"/>
      <c r="H91" s="53"/>
      <c r="I91" s="53"/>
      <c r="J91" s="54"/>
      <c r="K91" s="54"/>
      <c r="L91" s="55"/>
      <c r="M91" s="54"/>
      <c r="N91" s="55"/>
      <c r="O91" s="56"/>
      <c r="P91" s="57"/>
      <c r="Q91" s="57"/>
      <c r="R91" s="58"/>
      <c r="S91" s="157"/>
    </row>
    <row r="92" spans="1:19" x14ac:dyDescent="0.25">
      <c r="A92" s="49"/>
      <c r="B92" s="137"/>
      <c r="C92" s="84"/>
      <c r="D92" s="50"/>
      <c r="E92" s="51"/>
      <c r="F92" s="52"/>
      <c r="G92" s="61"/>
      <c r="H92" s="53"/>
      <c r="I92" s="53"/>
      <c r="J92" s="54"/>
      <c r="K92" s="54"/>
      <c r="L92" s="55"/>
      <c r="M92" s="54"/>
      <c r="N92" s="55"/>
      <c r="O92" s="56"/>
      <c r="P92" s="57"/>
      <c r="Q92" s="57"/>
      <c r="R92" s="58"/>
      <c r="S92" s="157"/>
    </row>
    <row r="93" spans="1:19" x14ac:dyDescent="0.25">
      <c r="A93" s="49"/>
      <c r="B93" s="137"/>
      <c r="C93" s="84"/>
      <c r="D93" s="50"/>
      <c r="E93" s="51"/>
      <c r="F93" s="52"/>
      <c r="G93" s="53"/>
      <c r="H93" s="53"/>
      <c r="I93" s="53"/>
      <c r="J93" s="54"/>
      <c r="K93" s="54"/>
      <c r="L93" s="55"/>
      <c r="M93" s="54"/>
      <c r="N93" s="55"/>
      <c r="O93" s="56"/>
      <c r="P93" s="57"/>
      <c r="Q93" s="57"/>
      <c r="R93" s="58"/>
      <c r="S93" s="157"/>
    </row>
    <row r="94" spans="1:19" x14ac:dyDescent="0.25">
      <c r="A94" s="49"/>
      <c r="B94" s="137"/>
      <c r="C94" s="84"/>
      <c r="D94" s="50"/>
      <c r="E94" s="51"/>
      <c r="F94" s="52"/>
      <c r="G94" s="53"/>
      <c r="H94" s="53"/>
      <c r="I94" s="53"/>
      <c r="J94" s="54"/>
      <c r="K94" s="54"/>
      <c r="L94" s="55"/>
      <c r="M94" s="54"/>
      <c r="N94" s="55"/>
      <c r="O94" s="56"/>
      <c r="P94" s="57"/>
      <c r="Q94" s="57"/>
      <c r="R94" s="58"/>
      <c r="S94" s="157"/>
    </row>
    <row r="95" spans="1:19" x14ac:dyDescent="0.25">
      <c r="A95" s="49"/>
      <c r="B95" s="137"/>
      <c r="C95" s="84"/>
      <c r="D95" s="50"/>
      <c r="E95" s="51"/>
      <c r="F95" s="52"/>
      <c r="G95" s="53"/>
      <c r="H95" s="53"/>
      <c r="I95" s="53"/>
      <c r="J95" s="54"/>
      <c r="K95" s="54"/>
      <c r="L95" s="55"/>
      <c r="M95" s="54"/>
      <c r="N95" s="55"/>
      <c r="O95" s="56"/>
      <c r="P95" s="57"/>
      <c r="Q95" s="57"/>
      <c r="R95" s="58"/>
      <c r="S95" s="157"/>
    </row>
    <row r="96" spans="1:19" x14ac:dyDescent="0.25">
      <c r="A96" s="49"/>
      <c r="B96" s="137"/>
      <c r="C96" s="84"/>
      <c r="D96" s="50"/>
      <c r="E96" s="51"/>
      <c r="F96" s="52"/>
      <c r="G96" s="53"/>
      <c r="H96" s="53"/>
      <c r="I96" s="53"/>
      <c r="J96" s="54"/>
      <c r="K96" s="54"/>
      <c r="L96" s="55"/>
      <c r="M96" s="54"/>
      <c r="N96" s="55"/>
      <c r="O96" s="56"/>
      <c r="P96" s="57"/>
      <c r="Q96" s="57"/>
      <c r="R96" s="58"/>
      <c r="S96" s="157"/>
    </row>
    <row r="97" spans="1:19" x14ac:dyDescent="0.25">
      <c r="A97" s="49"/>
      <c r="B97" s="137"/>
      <c r="C97" s="84"/>
      <c r="D97" s="50"/>
      <c r="E97" s="51"/>
      <c r="F97" s="52"/>
      <c r="G97" s="53"/>
      <c r="H97" s="53"/>
      <c r="I97" s="53"/>
      <c r="J97" s="54"/>
      <c r="K97" s="54"/>
      <c r="L97" s="55"/>
      <c r="M97" s="54"/>
      <c r="N97" s="55"/>
      <c r="O97" s="56"/>
      <c r="P97" s="57"/>
      <c r="Q97" s="57"/>
      <c r="R97" s="58"/>
      <c r="S97" s="157"/>
    </row>
    <row r="98" spans="1:19" x14ac:dyDescent="0.25">
      <c r="A98" s="49"/>
      <c r="B98" s="137"/>
      <c r="C98" s="84"/>
      <c r="D98" s="50"/>
      <c r="E98" s="51"/>
      <c r="F98" s="52"/>
      <c r="G98" s="53"/>
      <c r="H98" s="53"/>
      <c r="I98" s="53"/>
      <c r="J98" s="54"/>
      <c r="K98" s="54"/>
      <c r="L98" s="55"/>
      <c r="M98" s="54"/>
      <c r="N98" s="55"/>
      <c r="O98" s="56"/>
      <c r="P98" s="57"/>
      <c r="Q98" s="57"/>
      <c r="R98" s="58"/>
      <c r="S98" s="157"/>
    </row>
    <row r="99" spans="1:19" x14ac:dyDescent="0.25">
      <c r="A99" s="49"/>
      <c r="B99" s="137"/>
      <c r="C99" s="84"/>
      <c r="D99" s="50"/>
      <c r="E99" s="51"/>
      <c r="F99" s="52"/>
      <c r="G99" s="53"/>
      <c r="H99" s="53"/>
      <c r="I99" s="53"/>
      <c r="J99" s="54"/>
      <c r="K99" s="54"/>
      <c r="L99" s="55"/>
      <c r="M99" s="54"/>
      <c r="N99" s="55"/>
      <c r="O99" s="56"/>
      <c r="P99" s="57"/>
      <c r="Q99" s="57"/>
      <c r="R99" s="58"/>
      <c r="S99" s="157"/>
    </row>
    <row r="100" spans="1:19" x14ac:dyDescent="0.25">
      <c r="A100" s="49"/>
      <c r="B100" s="137"/>
      <c r="C100" s="84"/>
      <c r="D100" s="50"/>
      <c r="E100" s="51"/>
      <c r="F100" s="52"/>
      <c r="G100" s="53"/>
      <c r="H100" s="53"/>
      <c r="I100" s="53"/>
      <c r="J100" s="54"/>
      <c r="K100" s="54"/>
      <c r="L100" s="55"/>
      <c r="M100" s="54"/>
      <c r="N100" s="55"/>
      <c r="O100" s="56"/>
      <c r="P100" s="57"/>
      <c r="Q100" s="57"/>
      <c r="R100" s="58"/>
      <c r="S100" s="157"/>
    </row>
    <row r="101" spans="1:19" x14ac:dyDescent="0.25">
      <c r="A101" s="49"/>
      <c r="B101" s="137"/>
      <c r="C101" s="84"/>
      <c r="D101" s="50"/>
      <c r="E101" s="51"/>
      <c r="F101" s="52"/>
      <c r="G101" s="53"/>
      <c r="H101" s="53"/>
      <c r="I101" s="53"/>
      <c r="J101" s="54"/>
      <c r="K101" s="54"/>
      <c r="L101" s="55"/>
      <c r="M101" s="54"/>
      <c r="N101" s="55"/>
      <c r="O101" s="56"/>
      <c r="P101" s="57"/>
      <c r="Q101" s="57"/>
      <c r="R101" s="58"/>
      <c r="S101" s="157"/>
    </row>
    <row r="102" spans="1:19" x14ac:dyDescent="0.25">
      <c r="A102" s="49"/>
      <c r="B102" s="137"/>
      <c r="C102" s="84"/>
      <c r="D102" s="50"/>
      <c r="E102" s="51"/>
      <c r="F102" s="52"/>
      <c r="G102" s="53"/>
      <c r="H102" s="53"/>
      <c r="I102" s="53"/>
      <c r="J102" s="54"/>
      <c r="K102" s="54"/>
      <c r="L102" s="55"/>
      <c r="M102" s="54"/>
      <c r="N102" s="55"/>
      <c r="O102" s="56"/>
      <c r="P102" s="57"/>
      <c r="Q102" s="57"/>
      <c r="R102" s="58"/>
      <c r="S102" s="157"/>
    </row>
    <row r="103" spans="1:19" x14ac:dyDescent="0.25">
      <c r="A103" s="49"/>
      <c r="B103" s="137"/>
      <c r="C103" s="84"/>
      <c r="D103" s="50"/>
      <c r="E103" s="51"/>
      <c r="F103" s="52"/>
      <c r="G103" s="53"/>
      <c r="H103" s="53"/>
      <c r="I103" s="53"/>
      <c r="J103" s="54"/>
      <c r="K103" s="54"/>
      <c r="L103" s="55"/>
      <c r="M103" s="54"/>
      <c r="N103" s="55"/>
      <c r="O103" s="56"/>
      <c r="P103" s="57"/>
      <c r="Q103" s="57"/>
      <c r="R103" s="58"/>
      <c r="S103" s="157"/>
    </row>
    <row r="104" spans="1:19" x14ac:dyDescent="0.25">
      <c r="A104" s="49"/>
      <c r="B104" s="137"/>
      <c r="C104" s="84"/>
      <c r="D104" s="50"/>
      <c r="E104" s="51"/>
      <c r="F104" s="52"/>
      <c r="G104" s="53"/>
      <c r="H104" s="53"/>
      <c r="I104" s="53"/>
      <c r="J104" s="54"/>
      <c r="K104" s="54"/>
      <c r="L104" s="55"/>
      <c r="M104" s="54"/>
      <c r="N104" s="55"/>
      <c r="O104" s="56"/>
      <c r="P104" s="57"/>
      <c r="Q104" s="57"/>
      <c r="R104" s="58"/>
      <c r="S104" s="157"/>
    </row>
    <row r="105" spans="1:19" x14ac:dyDescent="0.25">
      <c r="A105" s="49"/>
      <c r="B105" s="137"/>
      <c r="C105" s="84"/>
      <c r="D105" s="50"/>
      <c r="E105" s="51"/>
      <c r="F105" s="52"/>
      <c r="G105" s="53"/>
      <c r="H105" s="53"/>
      <c r="I105" s="53"/>
      <c r="J105" s="54"/>
      <c r="K105" s="54"/>
      <c r="L105" s="55"/>
      <c r="M105" s="54"/>
      <c r="N105" s="55"/>
      <c r="O105" s="56"/>
      <c r="P105" s="57"/>
      <c r="Q105" s="57"/>
      <c r="R105" s="58"/>
      <c r="S105" s="157"/>
    </row>
    <row r="106" spans="1:19" x14ac:dyDescent="0.25">
      <c r="A106" s="49"/>
      <c r="B106" s="137"/>
      <c r="C106" s="84"/>
      <c r="D106" s="50"/>
      <c r="E106" s="51"/>
      <c r="F106" s="52"/>
      <c r="G106" s="53"/>
      <c r="H106" s="53"/>
      <c r="I106" s="53"/>
      <c r="J106" s="54"/>
      <c r="K106" s="54"/>
      <c r="L106" s="55"/>
      <c r="M106" s="54"/>
      <c r="N106" s="55"/>
      <c r="O106" s="56"/>
      <c r="P106" s="57"/>
      <c r="Q106" s="57"/>
      <c r="R106" s="58"/>
      <c r="S106" s="157"/>
    </row>
    <row r="107" spans="1:19" x14ac:dyDescent="0.25">
      <c r="A107" s="49"/>
      <c r="B107" s="137"/>
      <c r="C107" s="84"/>
      <c r="D107" s="50"/>
      <c r="E107" s="51"/>
      <c r="F107" s="52"/>
      <c r="G107" s="53"/>
      <c r="H107" s="53"/>
      <c r="I107" s="53"/>
      <c r="J107" s="54"/>
      <c r="K107" s="54"/>
      <c r="L107" s="55"/>
      <c r="M107" s="54"/>
      <c r="N107" s="55"/>
      <c r="O107" s="56"/>
      <c r="P107" s="57"/>
      <c r="Q107" s="57"/>
      <c r="R107" s="58"/>
      <c r="S107" s="157"/>
    </row>
    <row r="108" spans="1:19" x14ac:dyDescent="0.25">
      <c r="A108" s="49"/>
      <c r="B108" s="137"/>
      <c r="C108" s="84"/>
      <c r="D108" s="50"/>
      <c r="E108" s="51"/>
      <c r="F108" s="52"/>
      <c r="G108" s="53"/>
      <c r="H108" s="53"/>
      <c r="I108" s="53"/>
      <c r="J108" s="54"/>
      <c r="K108" s="54"/>
      <c r="L108" s="55"/>
      <c r="M108" s="54"/>
      <c r="N108" s="55"/>
      <c r="O108" s="56"/>
      <c r="P108" s="57"/>
      <c r="Q108" s="57"/>
      <c r="R108" s="58"/>
      <c r="S108" s="157"/>
    </row>
    <row r="109" spans="1:19" x14ac:dyDescent="0.25">
      <c r="A109" s="49"/>
      <c r="B109" s="137"/>
      <c r="C109" s="84"/>
      <c r="D109" s="50"/>
      <c r="E109" s="51"/>
      <c r="F109" s="52"/>
      <c r="G109" s="53"/>
      <c r="H109" s="53"/>
      <c r="I109" s="53"/>
      <c r="J109" s="54"/>
      <c r="K109" s="54"/>
      <c r="L109" s="55"/>
      <c r="M109" s="54"/>
      <c r="N109" s="55"/>
      <c r="O109" s="56"/>
      <c r="P109" s="57"/>
      <c r="Q109" s="57"/>
      <c r="R109" s="58"/>
      <c r="S109" s="157"/>
    </row>
    <row r="110" spans="1:19" x14ac:dyDescent="0.25">
      <c r="A110" s="49"/>
      <c r="B110" s="137"/>
      <c r="C110" s="84"/>
      <c r="D110" s="50"/>
      <c r="E110" s="51"/>
      <c r="F110" s="52"/>
      <c r="G110" s="53"/>
      <c r="H110" s="53"/>
      <c r="I110" s="53"/>
      <c r="J110" s="54"/>
      <c r="K110" s="54"/>
      <c r="L110" s="55"/>
      <c r="M110" s="54"/>
      <c r="N110" s="55"/>
      <c r="O110" s="56"/>
      <c r="P110" s="57"/>
      <c r="Q110" s="57"/>
      <c r="R110" s="58"/>
      <c r="S110" s="157"/>
    </row>
    <row r="111" spans="1:19" x14ac:dyDescent="0.25">
      <c r="A111" s="49"/>
      <c r="B111" s="137"/>
      <c r="C111" s="84"/>
      <c r="D111" s="50"/>
      <c r="E111" s="51"/>
      <c r="F111" s="52"/>
      <c r="G111" s="53"/>
      <c r="H111" s="53"/>
      <c r="I111" s="53"/>
      <c r="J111" s="54"/>
      <c r="K111" s="54"/>
      <c r="L111" s="55"/>
      <c r="M111" s="54"/>
      <c r="N111" s="55"/>
      <c r="O111" s="56"/>
      <c r="P111" s="57"/>
      <c r="Q111" s="57"/>
      <c r="R111" s="58"/>
      <c r="S111" s="157"/>
    </row>
    <row r="112" spans="1:19" x14ac:dyDescent="0.25">
      <c r="A112" s="49"/>
      <c r="B112" s="137"/>
      <c r="C112" s="84"/>
      <c r="D112" s="50"/>
      <c r="E112" s="51"/>
      <c r="F112" s="52"/>
      <c r="G112" s="53"/>
      <c r="H112" s="53"/>
      <c r="I112" s="53"/>
      <c r="J112" s="54"/>
      <c r="K112" s="54"/>
      <c r="L112" s="55"/>
      <c r="M112" s="54"/>
      <c r="N112" s="55"/>
      <c r="O112" s="56"/>
      <c r="P112" s="57"/>
      <c r="Q112" s="57"/>
      <c r="R112" s="58"/>
      <c r="S112" s="157"/>
    </row>
    <row r="113" spans="1:19" x14ac:dyDescent="0.25">
      <c r="A113" s="49"/>
      <c r="B113" s="137"/>
      <c r="C113" s="84"/>
      <c r="D113" s="50"/>
      <c r="E113" s="51"/>
      <c r="F113" s="52"/>
      <c r="G113" s="53"/>
      <c r="H113" s="53"/>
      <c r="I113" s="53"/>
      <c r="J113" s="54"/>
      <c r="K113" s="54"/>
      <c r="L113" s="55"/>
      <c r="M113" s="54"/>
      <c r="N113" s="55"/>
      <c r="O113" s="56"/>
      <c r="P113" s="57"/>
      <c r="Q113" s="57"/>
      <c r="R113" s="58"/>
      <c r="S113" s="157"/>
    </row>
    <row r="114" spans="1:19" x14ac:dyDescent="0.25">
      <c r="A114" s="49"/>
      <c r="B114" s="137"/>
      <c r="C114" s="84"/>
      <c r="D114" s="50"/>
      <c r="E114" s="51"/>
      <c r="F114" s="52"/>
      <c r="G114" s="53"/>
      <c r="H114" s="53"/>
      <c r="I114" s="53"/>
      <c r="J114" s="54"/>
      <c r="K114" s="54"/>
      <c r="L114" s="55"/>
      <c r="M114" s="54"/>
      <c r="N114" s="55"/>
      <c r="O114" s="56"/>
      <c r="P114" s="57"/>
      <c r="Q114" s="57"/>
      <c r="R114" s="58"/>
      <c r="S114" s="157"/>
    </row>
    <row r="115" spans="1:19" x14ac:dyDescent="0.25">
      <c r="A115" s="49"/>
      <c r="B115" s="137"/>
      <c r="C115" s="84"/>
      <c r="D115" s="50"/>
      <c r="E115" s="51"/>
      <c r="F115" s="52"/>
      <c r="G115" s="53"/>
      <c r="H115" s="53"/>
      <c r="I115" s="53"/>
      <c r="J115" s="54"/>
      <c r="K115" s="54"/>
      <c r="L115" s="55"/>
      <c r="M115" s="54"/>
      <c r="N115" s="55"/>
      <c r="O115" s="56"/>
      <c r="P115" s="57"/>
      <c r="Q115" s="57"/>
      <c r="R115" s="58"/>
      <c r="S115" s="157"/>
    </row>
    <row r="116" spans="1:19" x14ac:dyDescent="0.25">
      <c r="A116" s="49"/>
      <c r="B116" s="137"/>
      <c r="C116" s="84"/>
      <c r="D116" s="50"/>
      <c r="E116" s="51"/>
      <c r="F116" s="52"/>
      <c r="G116" s="53"/>
      <c r="H116" s="53"/>
      <c r="I116" s="53"/>
      <c r="J116" s="54"/>
      <c r="K116" s="54"/>
      <c r="L116" s="55"/>
      <c r="M116" s="54"/>
      <c r="N116" s="55"/>
      <c r="O116" s="56"/>
      <c r="P116" s="57"/>
      <c r="Q116" s="57"/>
      <c r="R116" s="58"/>
      <c r="S116" s="157"/>
    </row>
    <row r="117" spans="1:19" x14ac:dyDescent="0.25">
      <c r="A117" s="49"/>
      <c r="B117" s="137"/>
      <c r="C117" s="84"/>
      <c r="D117" s="50"/>
      <c r="E117" s="51"/>
      <c r="F117" s="52"/>
      <c r="G117" s="53"/>
      <c r="H117" s="53"/>
      <c r="I117" s="53"/>
      <c r="J117" s="54"/>
      <c r="K117" s="54"/>
      <c r="L117" s="55"/>
      <c r="M117" s="54"/>
      <c r="N117" s="55"/>
      <c r="O117" s="56"/>
      <c r="P117" s="57"/>
      <c r="Q117" s="57"/>
      <c r="R117" s="58"/>
      <c r="S117" s="157"/>
    </row>
    <row r="118" spans="1:19" x14ac:dyDescent="0.25">
      <c r="A118" s="49"/>
      <c r="B118" s="137"/>
      <c r="C118" s="84"/>
      <c r="D118" s="50"/>
      <c r="E118" s="51"/>
      <c r="F118" s="52"/>
      <c r="G118" s="53"/>
      <c r="H118" s="53"/>
      <c r="I118" s="53"/>
      <c r="J118" s="54"/>
      <c r="K118" s="54"/>
      <c r="L118" s="55"/>
      <c r="M118" s="54"/>
      <c r="N118" s="55"/>
      <c r="O118" s="56"/>
      <c r="P118" s="57"/>
      <c r="Q118" s="57"/>
      <c r="R118" s="58"/>
      <c r="S118" s="157"/>
    </row>
    <row r="119" spans="1:19" x14ac:dyDescent="0.25">
      <c r="A119" s="49"/>
      <c r="B119" s="137"/>
      <c r="C119" s="84"/>
      <c r="D119" s="50"/>
      <c r="E119" s="51"/>
      <c r="F119" s="52"/>
      <c r="G119" s="53"/>
      <c r="H119" s="53"/>
      <c r="I119" s="53"/>
      <c r="J119" s="54"/>
      <c r="K119" s="54"/>
      <c r="L119" s="55"/>
      <c r="M119" s="54"/>
      <c r="N119" s="55"/>
      <c r="O119" s="56"/>
      <c r="P119" s="57"/>
      <c r="Q119" s="57"/>
      <c r="R119" s="58"/>
      <c r="S119" s="157"/>
    </row>
    <row r="120" spans="1:19" x14ac:dyDescent="0.25">
      <c r="A120" s="49"/>
      <c r="B120" s="137"/>
      <c r="C120" s="84"/>
      <c r="D120" s="50"/>
      <c r="E120" s="51"/>
      <c r="F120" s="52"/>
      <c r="G120" s="53"/>
      <c r="H120" s="53"/>
      <c r="I120" s="53"/>
      <c r="J120" s="54"/>
      <c r="K120" s="54"/>
      <c r="L120" s="55"/>
      <c r="M120" s="54"/>
      <c r="N120" s="55"/>
      <c r="O120" s="56"/>
      <c r="P120" s="57"/>
      <c r="Q120" s="57"/>
      <c r="R120" s="58"/>
      <c r="S120" s="157"/>
    </row>
    <row r="121" spans="1:19" x14ac:dyDescent="0.25">
      <c r="A121" s="49"/>
      <c r="B121" s="137"/>
      <c r="C121" s="84"/>
      <c r="D121" s="50"/>
      <c r="E121" s="51"/>
      <c r="F121" s="52"/>
      <c r="G121" s="53"/>
      <c r="H121" s="53"/>
      <c r="I121" s="53"/>
      <c r="J121" s="54"/>
      <c r="K121" s="54"/>
      <c r="L121" s="55"/>
      <c r="M121" s="54"/>
      <c r="N121" s="55"/>
      <c r="O121" s="56"/>
      <c r="P121" s="57"/>
      <c r="Q121" s="57"/>
      <c r="R121" s="58"/>
      <c r="S121" s="157"/>
    </row>
    <row r="122" spans="1:19" x14ac:dyDescent="0.25">
      <c r="A122" s="49"/>
      <c r="B122" s="137"/>
      <c r="C122" s="84"/>
      <c r="D122" s="50"/>
      <c r="E122" s="51"/>
      <c r="F122" s="52"/>
      <c r="G122" s="53"/>
      <c r="H122" s="53"/>
      <c r="I122" s="53"/>
      <c r="J122" s="54"/>
      <c r="K122" s="54"/>
      <c r="L122" s="55"/>
      <c r="M122" s="54"/>
      <c r="N122" s="55"/>
      <c r="O122" s="56"/>
      <c r="P122" s="57"/>
      <c r="Q122" s="57"/>
      <c r="R122" s="58"/>
      <c r="S122" s="157"/>
    </row>
    <row r="123" spans="1:19" x14ac:dyDescent="0.25">
      <c r="A123" s="49"/>
      <c r="B123" s="137"/>
      <c r="C123" s="84"/>
      <c r="D123" s="50"/>
      <c r="E123" s="51"/>
      <c r="F123" s="52"/>
      <c r="G123" s="53"/>
      <c r="H123" s="53"/>
      <c r="I123" s="53"/>
      <c r="J123" s="54"/>
      <c r="K123" s="54"/>
      <c r="L123" s="55"/>
      <c r="M123" s="54"/>
      <c r="N123" s="55"/>
      <c r="O123" s="56"/>
      <c r="P123" s="57"/>
      <c r="Q123" s="57"/>
      <c r="R123" s="58"/>
      <c r="S123" s="157"/>
    </row>
    <row r="124" spans="1:19" x14ac:dyDescent="0.25">
      <c r="A124" s="49"/>
      <c r="B124" s="137"/>
      <c r="C124" s="84"/>
      <c r="D124" s="50"/>
      <c r="E124" s="51"/>
      <c r="F124" s="52"/>
      <c r="G124" s="53"/>
      <c r="H124" s="53"/>
      <c r="I124" s="53"/>
      <c r="J124" s="54"/>
      <c r="K124" s="54"/>
      <c r="L124" s="55"/>
      <c r="M124" s="54"/>
      <c r="N124" s="55"/>
      <c r="O124" s="56"/>
      <c r="P124" s="57"/>
      <c r="Q124" s="57"/>
      <c r="R124" s="58"/>
      <c r="S124" s="157"/>
    </row>
    <row r="125" spans="1:19" x14ac:dyDescent="0.25">
      <c r="A125" s="49"/>
      <c r="B125" s="137"/>
      <c r="C125" s="84"/>
      <c r="D125" s="50"/>
      <c r="E125" s="51"/>
      <c r="F125" s="52"/>
      <c r="G125" s="53"/>
      <c r="H125" s="53"/>
      <c r="I125" s="53"/>
      <c r="J125" s="54"/>
      <c r="K125" s="54"/>
      <c r="L125" s="55"/>
      <c r="M125" s="54"/>
      <c r="N125" s="55"/>
      <c r="O125" s="56"/>
      <c r="P125" s="57"/>
      <c r="Q125" s="57"/>
      <c r="R125" s="58"/>
      <c r="S125" s="157"/>
    </row>
    <row r="126" spans="1:19" x14ac:dyDescent="0.25">
      <c r="A126" s="49"/>
      <c r="B126" s="137"/>
      <c r="C126" s="84"/>
      <c r="D126" s="50"/>
      <c r="E126" s="51"/>
      <c r="F126" s="52"/>
      <c r="G126" s="53"/>
      <c r="H126" s="53"/>
      <c r="I126" s="53"/>
      <c r="J126" s="54"/>
      <c r="K126" s="54"/>
      <c r="L126" s="55"/>
      <c r="M126" s="54"/>
      <c r="N126" s="55"/>
      <c r="O126" s="56"/>
      <c r="P126" s="57"/>
      <c r="Q126" s="57"/>
      <c r="R126" s="58"/>
      <c r="S126" s="157"/>
    </row>
    <row r="127" spans="1:19" x14ac:dyDescent="0.25">
      <c r="A127" s="49"/>
      <c r="B127" s="137"/>
      <c r="C127" s="84"/>
      <c r="D127" s="50"/>
      <c r="E127" s="51"/>
      <c r="F127" s="52"/>
      <c r="G127" s="53"/>
      <c r="H127" s="53"/>
      <c r="I127" s="53"/>
      <c r="J127" s="54"/>
      <c r="K127" s="54"/>
      <c r="L127" s="55"/>
      <c r="M127" s="54"/>
      <c r="N127" s="55"/>
      <c r="O127" s="56"/>
      <c r="P127" s="57"/>
      <c r="Q127" s="57"/>
      <c r="R127" s="58"/>
      <c r="S127" s="157"/>
    </row>
    <row r="128" spans="1:19" x14ac:dyDescent="0.25">
      <c r="A128" s="49"/>
      <c r="B128" s="137"/>
      <c r="C128" s="84"/>
      <c r="D128" s="50"/>
      <c r="E128" s="51"/>
      <c r="F128" s="52"/>
      <c r="G128" s="53"/>
      <c r="H128" s="53"/>
      <c r="I128" s="53"/>
      <c r="J128" s="54"/>
      <c r="K128" s="54"/>
      <c r="L128" s="55"/>
      <c r="M128" s="54"/>
      <c r="N128" s="55"/>
      <c r="O128" s="56"/>
      <c r="P128" s="57"/>
      <c r="Q128" s="57"/>
      <c r="R128" s="58"/>
      <c r="S128" s="157"/>
    </row>
    <row r="129" spans="1:19" x14ac:dyDescent="0.25">
      <c r="A129" s="49"/>
      <c r="B129" s="137"/>
      <c r="C129" s="84"/>
      <c r="D129" s="50"/>
      <c r="E129" s="51"/>
      <c r="F129" s="52"/>
      <c r="G129" s="53"/>
      <c r="H129" s="53"/>
      <c r="I129" s="53"/>
      <c r="J129" s="54"/>
      <c r="K129" s="54"/>
      <c r="L129" s="55"/>
      <c r="M129" s="54"/>
      <c r="N129" s="55"/>
      <c r="O129" s="56"/>
      <c r="P129" s="57"/>
      <c r="Q129" s="57"/>
      <c r="R129" s="58"/>
      <c r="S129" s="157"/>
    </row>
    <row r="130" spans="1:19" x14ac:dyDescent="0.25">
      <c r="A130" s="49"/>
      <c r="B130" s="137"/>
      <c r="C130" s="84"/>
      <c r="D130" s="50"/>
      <c r="E130" s="51"/>
      <c r="F130" s="52"/>
      <c r="G130" s="53"/>
      <c r="H130" s="53"/>
      <c r="I130" s="53"/>
      <c r="J130" s="54"/>
      <c r="K130" s="54"/>
      <c r="L130" s="55"/>
      <c r="M130" s="54"/>
      <c r="N130" s="55"/>
      <c r="O130" s="56"/>
      <c r="P130" s="57"/>
      <c r="Q130" s="57"/>
      <c r="R130" s="58"/>
      <c r="S130" s="157"/>
    </row>
    <row r="131" spans="1:19" x14ac:dyDescent="0.25">
      <c r="A131" s="49"/>
      <c r="B131" s="137"/>
      <c r="C131" s="84"/>
      <c r="D131" s="50"/>
      <c r="E131" s="51"/>
      <c r="F131" s="52"/>
      <c r="G131" s="53"/>
      <c r="H131" s="53"/>
      <c r="I131" s="53"/>
      <c r="J131" s="54"/>
      <c r="K131" s="54"/>
      <c r="L131" s="55"/>
      <c r="M131" s="54"/>
      <c r="N131" s="55"/>
      <c r="O131" s="56"/>
      <c r="P131" s="57"/>
      <c r="Q131" s="57"/>
      <c r="R131" s="58"/>
      <c r="S131" s="157"/>
    </row>
    <row r="132" spans="1:19" x14ac:dyDescent="0.25">
      <c r="A132" s="49"/>
      <c r="B132" s="137"/>
      <c r="C132" s="84"/>
      <c r="D132" s="50"/>
      <c r="E132" s="51"/>
      <c r="F132" s="52"/>
      <c r="G132" s="53"/>
      <c r="H132" s="53"/>
      <c r="I132" s="53"/>
      <c r="J132" s="54"/>
      <c r="K132" s="54"/>
      <c r="L132" s="55"/>
      <c r="M132" s="54"/>
      <c r="N132" s="55"/>
      <c r="O132" s="56"/>
      <c r="P132" s="57"/>
      <c r="Q132" s="59"/>
      <c r="R132" s="58"/>
      <c r="S132" s="157"/>
    </row>
    <row r="133" spans="1:19" x14ac:dyDescent="0.25">
      <c r="A133" s="49"/>
      <c r="B133" s="137"/>
      <c r="C133" s="84"/>
      <c r="D133" s="50"/>
      <c r="E133" s="51"/>
      <c r="F133" s="52"/>
      <c r="G133" s="53"/>
      <c r="H133" s="53"/>
      <c r="I133" s="53"/>
      <c r="J133" s="54"/>
      <c r="K133" s="54"/>
      <c r="L133" s="55"/>
      <c r="M133" s="54"/>
      <c r="N133" s="55"/>
      <c r="O133" s="56"/>
      <c r="P133" s="57"/>
      <c r="Q133" s="57"/>
      <c r="R133" s="58"/>
      <c r="S133" s="157"/>
    </row>
    <row r="134" spans="1:19" x14ac:dyDescent="0.25">
      <c r="A134" s="49"/>
      <c r="B134" s="137"/>
      <c r="C134" s="84"/>
      <c r="D134" s="50"/>
      <c r="E134" s="51"/>
      <c r="F134" s="52"/>
      <c r="G134" s="53"/>
      <c r="H134" s="53"/>
      <c r="I134" s="53"/>
      <c r="J134" s="54"/>
      <c r="K134" s="54"/>
      <c r="L134" s="55"/>
      <c r="M134" s="54"/>
      <c r="N134" s="55"/>
      <c r="O134" s="56"/>
      <c r="P134" s="57"/>
      <c r="Q134" s="57"/>
      <c r="R134" s="58"/>
      <c r="S134" s="157"/>
    </row>
    <row r="135" spans="1:19" x14ac:dyDescent="0.25">
      <c r="A135" s="49"/>
      <c r="B135" s="137"/>
      <c r="C135" s="84"/>
      <c r="D135" s="50"/>
      <c r="E135" s="51"/>
      <c r="F135" s="52"/>
      <c r="G135" s="53"/>
      <c r="H135" s="53"/>
      <c r="I135" s="53"/>
      <c r="J135" s="54"/>
      <c r="K135" s="54"/>
      <c r="L135" s="55"/>
      <c r="M135" s="54"/>
      <c r="N135" s="55"/>
      <c r="O135" s="56"/>
      <c r="P135" s="59"/>
      <c r="Q135" s="57"/>
      <c r="R135" s="58"/>
      <c r="S135" s="157"/>
    </row>
    <row r="136" spans="1:19" x14ac:dyDescent="0.25">
      <c r="A136" s="49"/>
      <c r="B136" s="137"/>
      <c r="C136" s="84"/>
      <c r="D136" s="50"/>
      <c r="E136" s="51"/>
      <c r="F136" s="52"/>
      <c r="G136" s="53"/>
      <c r="H136" s="53"/>
      <c r="I136" s="53"/>
      <c r="J136" s="54"/>
      <c r="K136" s="54"/>
      <c r="L136" s="55"/>
      <c r="M136" s="54"/>
      <c r="N136" s="55"/>
      <c r="O136" s="56"/>
      <c r="P136" s="59"/>
      <c r="Q136" s="57"/>
      <c r="R136" s="58"/>
      <c r="S136" s="157"/>
    </row>
    <row r="137" spans="1:19" x14ac:dyDescent="0.25">
      <c r="A137" s="49"/>
      <c r="B137" s="137"/>
      <c r="C137" s="84"/>
      <c r="D137" s="50"/>
      <c r="E137" s="51"/>
      <c r="F137" s="52"/>
      <c r="G137" s="53"/>
      <c r="H137" s="53"/>
      <c r="I137" s="53"/>
      <c r="J137" s="54"/>
      <c r="K137" s="54"/>
      <c r="L137" s="55"/>
      <c r="M137" s="54"/>
      <c r="N137" s="55"/>
      <c r="O137" s="56"/>
      <c r="P137" s="59"/>
      <c r="Q137" s="57"/>
      <c r="R137" s="58"/>
      <c r="S137" s="157"/>
    </row>
    <row r="138" spans="1:19" x14ac:dyDescent="0.25">
      <c r="A138" s="49"/>
      <c r="B138" s="137"/>
      <c r="C138" s="84"/>
      <c r="D138" s="50"/>
      <c r="E138" s="51"/>
      <c r="F138" s="52"/>
      <c r="G138" s="53"/>
      <c r="H138" s="53"/>
      <c r="I138" s="53"/>
      <c r="J138" s="54"/>
      <c r="K138" s="54"/>
      <c r="L138" s="55"/>
      <c r="M138" s="54"/>
      <c r="N138" s="55"/>
      <c r="O138" s="56"/>
      <c r="P138" s="59"/>
      <c r="Q138" s="57"/>
      <c r="R138" s="58"/>
      <c r="S138" s="157"/>
    </row>
    <row r="139" spans="1:19" x14ac:dyDescent="0.25">
      <c r="A139" s="49"/>
      <c r="B139" s="137"/>
      <c r="C139" s="84"/>
      <c r="D139" s="50"/>
      <c r="E139" s="51"/>
      <c r="F139" s="52"/>
      <c r="G139" s="53"/>
      <c r="H139" s="53"/>
      <c r="I139" s="53"/>
      <c r="J139" s="54"/>
      <c r="K139" s="54"/>
      <c r="L139" s="55"/>
      <c r="M139" s="54"/>
      <c r="N139" s="55"/>
      <c r="O139" s="56"/>
      <c r="P139" s="59"/>
      <c r="Q139" s="57"/>
      <c r="R139" s="58"/>
      <c r="S139" s="157"/>
    </row>
    <row r="140" spans="1:19" x14ac:dyDescent="0.25">
      <c r="A140" s="49"/>
      <c r="B140" s="137"/>
      <c r="C140" s="84"/>
      <c r="D140" s="50"/>
      <c r="E140" s="51"/>
      <c r="F140" s="52"/>
      <c r="G140" s="53"/>
      <c r="H140" s="53"/>
      <c r="I140" s="53"/>
      <c r="J140" s="54"/>
      <c r="K140" s="54"/>
      <c r="L140" s="55"/>
      <c r="M140" s="54"/>
      <c r="N140" s="55"/>
      <c r="O140" s="56"/>
      <c r="P140" s="57"/>
      <c r="Q140" s="57"/>
      <c r="R140" s="58"/>
      <c r="S140" s="157"/>
    </row>
    <row r="141" spans="1:19" x14ac:dyDescent="0.25">
      <c r="A141" s="49"/>
      <c r="B141" s="137"/>
      <c r="C141" s="84"/>
      <c r="D141" s="50"/>
      <c r="E141" s="51"/>
      <c r="F141" s="52"/>
      <c r="G141" s="53"/>
      <c r="H141" s="53"/>
      <c r="I141" s="53"/>
      <c r="J141" s="54"/>
      <c r="K141" s="54"/>
      <c r="L141" s="55"/>
      <c r="M141" s="54"/>
      <c r="N141" s="55"/>
      <c r="O141" s="56"/>
      <c r="P141" s="57"/>
      <c r="Q141" s="57"/>
      <c r="R141" s="58"/>
      <c r="S141" s="157"/>
    </row>
    <row r="142" spans="1:19" x14ac:dyDescent="0.25">
      <c r="A142" s="49"/>
      <c r="B142" s="137"/>
      <c r="C142" s="84"/>
      <c r="D142" s="50"/>
      <c r="E142" s="51"/>
      <c r="F142" s="52"/>
      <c r="G142" s="53"/>
      <c r="H142" s="53"/>
      <c r="I142" s="53"/>
      <c r="J142" s="54"/>
      <c r="K142" s="54"/>
      <c r="L142" s="55"/>
      <c r="M142" s="54"/>
      <c r="N142" s="55"/>
      <c r="O142" s="56"/>
      <c r="P142" s="57"/>
      <c r="Q142" s="57"/>
      <c r="R142" s="58"/>
      <c r="S142" s="157"/>
    </row>
    <row r="143" spans="1:19" x14ac:dyDescent="0.25">
      <c r="A143" s="49"/>
      <c r="B143" s="137"/>
      <c r="C143" s="84"/>
      <c r="D143" s="50"/>
      <c r="E143" s="51"/>
      <c r="F143" s="52"/>
      <c r="G143" s="53"/>
      <c r="H143" s="53"/>
      <c r="I143" s="53"/>
      <c r="J143" s="54"/>
      <c r="K143" s="54"/>
      <c r="L143" s="55"/>
      <c r="M143" s="54"/>
      <c r="N143" s="55"/>
      <c r="O143" s="56"/>
      <c r="P143" s="57"/>
      <c r="Q143" s="57"/>
      <c r="R143" s="58"/>
      <c r="S143" s="157"/>
    </row>
    <row r="144" spans="1:19" x14ac:dyDescent="0.25">
      <c r="A144" s="49"/>
      <c r="B144" s="137"/>
      <c r="C144" s="84"/>
      <c r="D144" s="50"/>
      <c r="E144" s="51"/>
      <c r="F144" s="52"/>
      <c r="G144" s="53"/>
      <c r="H144" s="53"/>
      <c r="I144" s="53"/>
      <c r="J144" s="54"/>
      <c r="K144" s="54"/>
      <c r="L144" s="55"/>
      <c r="M144" s="54"/>
      <c r="N144" s="55"/>
      <c r="O144" s="56"/>
      <c r="P144" s="57"/>
      <c r="Q144" s="57"/>
      <c r="R144" s="58"/>
      <c r="S144" s="157"/>
    </row>
    <row r="145" spans="1:20" x14ac:dyDescent="0.25">
      <c r="A145" s="49"/>
      <c r="B145" s="137"/>
      <c r="C145" s="84"/>
      <c r="D145" s="50"/>
      <c r="E145" s="51"/>
      <c r="F145" s="52"/>
      <c r="G145" s="53"/>
      <c r="H145" s="53"/>
      <c r="I145" s="53"/>
      <c r="J145" s="54"/>
      <c r="K145" s="54"/>
      <c r="L145" s="55"/>
      <c r="M145" s="54"/>
      <c r="N145" s="55"/>
      <c r="O145" s="56"/>
      <c r="P145" s="57"/>
      <c r="Q145" s="57"/>
      <c r="R145" s="58"/>
      <c r="S145" s="157"/>
    </row>
    <row r="146" spans="1:20" x14ac:dyDescent="0.25">
      <c r="A146" s="49"/>
      <c r="B146" s="137"/>
      <c r="C146" s="84"/>
      <c r="D146" s="50"/>
      <c r="E146" s="51"/>
      <c r="F146" s="52"/>
      <c r="G146" s="53"/>
      <c r="H146" s="53"/>
      <c r="I146" s="53"/>
      <c r="J146" s="54"/>
      <c r="K146" s="54"/>
      <c r="L146" s="55"/>
      <c r="M146" s="54"/>
      <c r="N146" s="55"/>
      <c r="O146" s="56"/>
      <c r="P146" s="57"/>
      <c r="Q146" s="57"/>
      <c r="R146" s="58"/>
      <c r="S146" s="157"/>
    </row>
    <row r="147" spans="1:20" x14ac:dyDescent="0.25">
      <c r="A147" s="49"/>
      <c r="B147" s="137"/>
      <c r="C147" s="84"/>
      <c r="D147" s="50"/>
      <c r="E147" s="51"/>
      <c r="F147" s="52"/>
      <c r="G147" s="53"/>
      <c r="H147" s="53"/>
      <c r="I147" s="53"/>
      <c r="J147" s="54"/>
      <c r="K147" s="54"/>
      <c r="L147" s="55"/>
      <c r="M147" s="54"/>
      <c r="N147" s="55"/>
      <c r="O147" s="56"/>
      <c r="P147" s="57"/>
      <c r="Q147" s="57"/>
      <c r="R147" s="58"/>
      <c r="S147" s="157"/>
    </row>
    <row r="148" spans="1:20" x14ac:dyDescent="0.25">
      <c r="A148" s="49"/>
      <c r="B148" s="137"/>
      <c r="C148" s="84"/>
      <c r="D148" s="50"/>
      <c r="E148" s="51"/>
      <c r="F148" s="52"/>
      <c r="G148" s="53"/>
      <c r="H148" s="53"/>
      <c r="I148" s="53"/>
      <c r="J148" s="54"/>
      <c r="K148" s="54"/>
      <c r="L148" s="55"/>
      <c r="M148" s="54"/>
      <c r="N148" s="55"/>
      <c r="O148" s="56"/>
      <c r="P148" s="57"/>
      <c r="Q148" s="57"/>
      <c r="R148" s="58"/>
      <c r="S148" s="157"/>
    </row>
    <row r="149" spans="1:20" x14ac:dyDescent="0.25">
      <c r="A149" s="49"/>
      <c r="B149" s="137"/>
      <c r="C149" s="84"/>
      <c r="D149" s="50"/>
      <c r="E149" s="51"/>
      <c r="F149" s="52"/>
      <c r="G149" s="53"/>
      <c r="H149" s="53"/>
      <c r="I149" s="53"/>
      <c r="J149" s="54"/>
      <c r="K149" s="54"/>
      <c r="L149" s="55"/>
      <c r="M149" s="54"/>
      <c r="N149" s="55"/>
      <c r="O149" s="56"/>
      <c r="P149" s="57"/>
      <c r="Q149" s="57"/>
      <c r="R149" s="58"/>
      <c r="S149" s="157"/>
    </row>
    <row r="150" spans="1:20" x14ac:dyDescent="0.25">
      <c r="A150" s="49"/>
      <c r="B150" s="137"/>
      <c r="C150" s="84"/>
      <c r="D150" s="50"/>
      <c r="E150" s="51"/>
      <c r="F150" s="52"/>
      <c r="G150" s="53"/>
      <c r="H150" s="53"/>
      <c r="I150" s="53"/>
      <c r="J150" s="54"/>
      <c r="K150" s="54"/>
      <c r="L150" s="55"/>
      <c r="M150" s="54"/>
      <c r="N150" s="55"/>
      <c r="O150" s="56"/>
      <c r="P150" s="59"/>
      <c r="Q150" s="57"/>
      <c r="R150" s="58"/>
      <c r="S150" s="157"/>
    </row>
    <row r="151" spans="1:20" x14ac:dyDescent="0.25">
      <c r="A151" s="49"/>
      <c r="B151" s="137"/>
      <c r="C151" s="84"/>
      <c r="D151" s="50"/>
      <c r="E151" s="51"/>
      <c r="F151" s="52"/>
      <c r="G151" s="53"/>
      <c r="H151" s="53"/>
      <c r="I151" s="53"/>
      <c r="J151" s="54"/>
      <c r="K151" s="54"/>
      <c r="L151" s="55"/>
      <c r="M151" s="54"/>
      <c r="N151" s="55"/>
      <c r="O151" s="56"/>
      <c r="P151" s="57"/>
      <c r="Q151" s="57"/>
      <c r="R151" s="58"/>
      <c r="S151" s="157"/>
      <c r="T151" s="18"/>
    </row>
    <row r="152" spans="1:20" x14ac:dyDescent="0.25">
      <c r="A152" s="49"/>
      <c r="B152" s="137"/>
      <c r="C152" s="84"/>
      <c r="D152" s="50"/>
      <c r="E152" s="51"/>
      <c r="F152" s="52"/>
      <c r="G152" s="53"/>
      <c r="H152" s="53"/>
      <c r="I152" s="53"/>
      <c r="J152" s="54"/>
      <c r="K152" s="54"/>
      <c r="L152" s="55"/>
      <c r="M152" s="54"/>
      <c r="N152" s="55"/>
      <c r="O152" s="56"/>
      <c r="P152" s="57"/>
      <c r="Q152" s="57"/>
      <c r="R152" s="58"/>
      <c r="S152" s="157"/>
    </row>
    <row r="153" spans="1:20" x14ac:dyDescent="0.25">
      <c r="A153" s="49"/>
      <c r="B153" s="137"/>
      <c r="C153" s="84"/>
      <c r="D153" s="50"/>
      <c r="E153" s="51"/>
      <c r="F153" s="52"/>
      <c r="G153" s="53"/>
      <c r="H153" s="53"/>
      <c r="I153" s="53"/>
      <c r="J153" s="54"/>
      <c r="K153" s="54"/>
      <c r="L153" s="55"/>
      <c r="M153" s="54"/>
      <c r="N153" s="55"/>
      <c r="O153" s="56"/>
      <c r="P153" s="57"/>
      <c r="Q153" s="57"/>
      <c r="R153" s="58"/>
      <c r="S153" s="157"/>
    </row>
    <row r="154" spans="1:20" x14ac:dyDescent="0.25">
      <c r="A154" s="49"/>
      <c r="B154" s="137"/>
      <c r="C154" s="84"/>
      <c r="D154" s="50"/>
      <c r="E154" s="51"/>
      <c r="F154" s="52"/>
      <c r="G154" s="53"/>
      <c r="H154" s="53"/>
      <c r="I154" s="53"/>
      <c r="J154" s="54"/>
      <c r="K154" s="54"/>
      <c r="L154" s="55"/>
      <c r="M154" s="54"/>
      <c r="N154" s="55"/>
      <c r="O154" s="56"/>
      <c r="P154" s="57"/>
      <c r="Q154" s="57"/>
      <c r="R154" s="58"/>
      <c r="S154" s="157"/>
    </row>
    <row r="155" spans="1:20" x14ac:dyDescent="0.25">
      <c r="A155" s="49"/>
      <c r="B155" s="137"/>
      <c r="C155" s="84"/>
      <c r="D155" s="50"/>
      <c r="E155" s="51"/>
      <c r="F155" s="52"/>
      <c r="G155" s="53"/>
      <c r="H155" s="53"/>
      <c r="I155" s="53"/>
      <c r="J155" s="54"/>
      <c r="K155" s="54"/>
      <c r="L155" s="55"/>
      <c r="M155" s="54"/>
      <c r="N155" s="55"/>
      <c r="O155" s="56"/>
      <c r="P155" s="57"/>
      <c r="Q155" s="57"/>
      <c r="R155" s="58"/>
      <c r="S155" s="157"/>
    </row>
    <row r="156" spans="1:20" x14ac:dyDescent="0.25">
      <c r="A156" s="49"/>
      <c r="B156" s="137"/>
      <c r="C156" s="84"/>
      <c r="D156" s="50"/>
      <c r="E156" s="51"/>
      <c r="F156" s="52"/>
      <c r="G156" s="53"/>
      <c r="H156" s="53"/>
      <c r="I156" s="53"/>
      <c r="J156" s="54"/>
      <c r="K156" s="54"/>
      <c r="L156" s="55"/>
      <c r="M156" s="54"/>
      <c r="N156" s="55"/>
      <c r="O156" s="56"/>
      <c r="P156" s="57"/>
      <c r="Q156" s="57"/>
      <c r="R156" s="58"/>
      <c r="S156" s="157"/>
    </row>
    <row r="157" spans="1:20" x14ac:dyDescent="0.25">
      <c r="A157" s="49"/>
      <c r="B157" s="137"/>
      <c r="C157" s="84"/>
      <c r="D157" s="50"/>
      <c r="E157" s="51"/>
      <c r="F157" s="52"/>
      <c r="G157" s="53"/>
      <c r="H157" s="53"/>
      <c r="I157" s="53"/>
      <c r="J157" s="54"/>
      <c r="K157" s="54"/>
      <c r="L157" s="55"/>
      <c r="M157" s="54"/>
      <c r="N157" s="55"/>
      <c r="O157" s="56"/>
      <c r="P157" s="57"/>
      <c r="Q157" s="57"/>
      <c r="R157" s="58"/>
      <c r="S157" s="157"/>
    </row>
    <row r="158" spans="1:20" x14ac:dyDescent="0.25">
      <c r="A158" s="49"/>
      <c r="B158" s="137"/>
      <c r="C158" s="84"/>
      <c r="D158" s="50"/>
      <c r="E158" s="51"/>
      <c r="F158" s="52"/>
      <c r="G158" s="53"/>
      <c r="H158" s="53"/>
      <c r="I158" s="53"/>
      <c r="J158" s="54"/>
      <c r="K158" s="54"/>
      <c r="L158" s="55"/>
      <c r="M158" s="54"/>
      <c r="N158" s="55"/>
      <c r="O158" s="56"/>
      <c r="P158" s="57"/>
      <c r="Q158" s="57"/>
      <c r="R158" s="58"/>
      <c r="S158" s="157"/>
    </row>
    <row r="159" spans="1:20" x14ac:dyDescent="0.25">
      <c r="A159" s="49"/>
      <c r="B159" s="137"/>
      <c r="C159" s="84"/>
      <c r="D159" s="50"/>
      <c r="E159" s="51"/>
      <c r="F159" s="52"/>
      <c r="G159" s="53"/>
      <c r="H159" s="53"/>
      <c r="I159" s="53"/>
      <c r="J159" s="54"/>
      <c r="K159" s="54"/>
      <c r="L159" s="55"/>
      <c r="M159" s="54"/>
      <c r="N159" s="55"/>
      <c r="O159" s="56"/>
      <c r="P159" s="57"/>
      <c r="Q159" s="57"/>
      <c r="R159" s="58"/>
      <c r="S159" s="157"/>
    </row>
    <row r="160" spans="1:20" x14ac:dyDescent="0.25">
      <c r="A160" s="49"/>
      <c r="B160" s="137"/>
      <c r="C160" s="84"/>
      <c r="D160" s="50"/>
      <c r="E160" s="51"/>
      <c r="F160" s="52"/>
      <c r="G160" s="53"/>
      <c r="H160" s="53"/>
      <c r="I160" s="53"/>
      <c r="J160" s="54"/>
      <c r="K160" s="54"/>
      <c r="L160" s="55"/>
      <c r="M160" s="54"/>
      <c r="N160" s="55"/>
      <c r="O160" s="56"/>
      <c r="P160" s="57"/>
      <c r="Q160" s="57"/>
      <c r="R160" s="58"/>
      <c r="S160" s="157"/>
    </row>
    <row r="161" spans="1:19" x14ac:dyDescent="0.25">
      <c r="A161" s="49"/>
      <c r="B161" s="137"/>
      <c r="C161" s="84"/>
      <c r="D161" s="50"/>
      <c r="E161" s="51"/>
      <c r="F161" s="52"/>
      <c r="G161" s="53"/>
      <c r="H161" s="53"/>
      <c r="I161" s="53"/>
      <c r="J161" s="54"/>
      <c r="K161" s="54"/>
      <c r="L161" s="55"/>
      <c r="M161" s="54"/>
      <c r="N161" s="55"/>
      <c r="O161" s="56"/>
      <c r="P161" s="57"/>
      <c r="Q161" s="57"/>
      <c r="R161" s="58"/>
      <c r="S161" s="157"/>
    </row>
    <row r="162" spans="1:19" x14ac:dyDescent="0.25">
      <c r="A162" s="49"/>
      <c r="B162" s="137"/>
      <c r="C162" s="84"/>
      <c r="D162" s="50"/>
      <c r="E162" s="51"/>
      <c r="F162" s="52"/>
      <c r="G162" s="53"/>
      <c r="H162" s="53"/>
      <c r="I162" s="53"/>
      <c r="J162" s="54"/>
      <c r="K162" s="54"/>
      <c r="L162" s="55"/>
      <c r="M162" s="54"/>
      <c r="N162" s="55"/>
      <c r="O162" s="56"/>
      <c r="P162" s="57"/>
      <c r="Q162" s="57"/>
      <c r="R162" s="58"/>
      <c r="S162" s="157"/>
    </row>
    <row r="163" spans="1:19" x14ac:dyDescent="0.25">
      <c r="A163" s="49"/>
      <c r="B163" s="137"/>
      <c r="C163" s="84"/>
      <c r="D163" s="50"/>
      <c r="E163" s="51"/>
      <c r="F163" s="52"/>
      <c r="G163" s="53"/>
      <c r="H163" s="53"/>
      <c r="I163" s="53"/>
      <c r="J163" s="54"/>
      <c r="K163" s="54"/>
      <c r="L163" s="55"/>
      <c r="M163" s="54"/>
      <c r="N163" s="55"/>
      <c r="O163" s="56"/>
      <c r="P163" s="57"/>
      <c r="Q163" s="57"/>
      <c r="R163" s="58"/>
      <c r="S163" s="157"/>
    </row>
    <row r="164" spans="1:19" x14ac:dyDescent="0.25">
      <c r="A164" s="49"/>
      <c r="B164" s="137"/>
      <c r="C164" s="84"/>
      <c r="D164" s="50"/>
      <c r="E164" s="51"/>
      <c r="F164" s="52"/>
      <c r="G164" s="53"/>
      <c r="H164" s="53"/>
      <c r="I164" s="53"/>
      <c r="J164" s="54"/>
      <c r="K164" s="54"/>
      <c r="L164" s="55"/>
      <c r="M164" s="54"/>
      <c r="N164" s="55"/>
      <c r="O164" s="56"/>
      <c r="P164" s="57"/>
      <c r="Q164" s="57"/>
      <c r="R164" s="58"/>
      <c r="S164" s="157"/>
    </row>
    <row r="165" spans="1:19" x14ac:dyDescent="0.25">
      <c r="A165" s="49"/>
      <c r="B165" s="137"/>
      <c r="C165" s="84"/>
      <c r="D165" s="50"/>
      <c r="E165" s="51"/>
      <c r="F165" s="52"/>
      <c r="G165" s="53"/>
      <c r="H165" s="53"/>
      <c r="I165" s="53"/>
      <c r="J165" s="54"/>
      <c r="K165" s="54"/>
      <c r="L165" s="55"/>
      <c r="M165" s="54"/>
      <c r="N165" s="55"/>
      <c r="O165" s="56"/>
      <c r="P165" s="57"/>
      <c r="Q165" s="57"/>
      <c r="R165" s="58"/>
      <c r="S165" s="157"/>
    </row>
    <row r="166" spans="1:19" x14ac:dyDescent="0.25">
      <c r="A166" s="49"/>
      <c r="B166" s="137"/>
      <c r="C166" s="84"/>
      <c r="D166" s="50"/>
      <c r="E166" s="51"/>
      <c r="F166" s="52"/>
      <c r="G166" s="53"/>
      <c r="H166" s="53"/>
      <c r="I166" s="53"/>
      <c r="J166" s="54"/>
      <c r="K166" s="54"/>
      <c r="L166" s="55"/>
      <c r="M166" s="54"/>
      <c r="N166" s="55"/>
      <c r="O166" s="56"/>
      <c r="P166" s="57"/>
      <c r="Q166" s="57"/>
      <c r="R166" s="58"/>
      <c r="S166" s="157"/>
    </row>
    <row r="167" spans="1:19" x14ac:dyDescent="0.25">
      <c r="A167" s="49"/>
      <c r="B167" s="137"/>
      <c r="C167" s="84"/>
      <c r="D167" s="50"/>
      <c r="E167" s="51"/>
      <c r="F167" s="52"/>
      <c r="G167" s="53"/>
      <c r="H167" s="53"/>
      <c r="I167" s="53"/>
      <c r="J167" s="54"/>
      <c r="K167" s="54"/>
      <c r="L167" s="55"/>
      <c r="M167" s="54"/>
      <c r="N167" s="55"/>
      <c r="O167" s="56"/>
      <c r="P167" s="57"/>
      <c r="Q167" s="57"/>
      <c r="R167" s="58"/>
      <c r="S167" s="157"/>
    </row>
    <row r="168" spans="1:19" x14ac:dyDescent="0.25">
      <c r="A168" s="49"/>
      <c r="B168" s="137"/>
      <c r="C168" s="84"/>
      <c r="D168" s="50"/>
      <c r="E168" s="51"/>
      <c r="F168" s="52"/>
      <c r="G168" s="53"/>
      <c r="H168" s="53"/>
      <c r="I168" s="53"/>
      <c r="J168" s="54"/>
      <c r="K168" s="54"/>
      <c r="L168" s="55"/>
      <c r="M168" s="54"/>
      <c r="N168" s="55"/>
      <c r="O168" s="56"/>
      <c r="P168" s="57"/>
      <c r="Q168" s="57"/>
      <c r="R168" s="58"/>
      <c r="S168" s="157"/>
    </row>
    <row r="169" spans="1:19" x14ac:dyDescent="0.25">
      <c r="A169" s="49"/>
      <c r="B169" s="137"/>
      <c r="C169" s="84"/>
      <c r="D169" s="50"/>
      <c r="E169" s="51"/>
      <c r="F169" s="52"/>
      <c r="G169" s="53"/>
      <c r="H169" s="53"/>
      <c r="I169" s="53"/>
      <c r="J169" s="54"/>
      <c r="K169" s="54"/>
      <c r="L169" s="55"/>
      <c r="M169" s="54"/>
      <c r="N169" s="55"/>
      <c r="O169" s="56"/>
      <c r="P169" s="57"/>
      <c r="Q169" s="57"/>
      <c r="R169" s="58"/>
      <c r="S169" s="157"/>
    </row>
    <row r="170" spans="1:19" x14ac:dyDescent="0.25">
      <c r="A170" s="49"/>
      <c r="B170" s="137"/>
      <c r="C170" s="84"/>
      <c r="D170" s="50"/>
      <c r="E170" s="51"/>
      <c r="F170" s="52"/>
      <c r="G170" s="53"/>
      <c r="H170" s="53"/>
      <c r="I170" s="53"/>
      <c r="J170" s="54"/>
      <c r="K170" s="54"/>
      <c r="L170" s="55"/>
      <c r="M170" s="54"/>
      <c r="N170" s="55"/>
      <c r="O170" s="56"/>
      <c r="P170" s="57"/>
      <c r="Q170" s="57"/>
      <c r="R170" s="58"/>
      <c r="S170" s="157"/>
    </row>
    <row r="171" spans="1:19" x14ac:dyDescent="0.25">
      <c r="A171" s="49"/>
      <c r="B171" s="137"/>
      <c r="C171" s="84"/>
      <c r="D171" s="50"/>
      <c r="E171" s="51"/>
      <c r="F171" s="52"/>
      <c r="G171" s="53"/>
      <c r="H171" s="53"/>
      <c r="I171" s="53"/>
      <c r="J171" s="54"/>
      <c r="K171" s="54"/>
      <c r="L171" s="55"/>
      <c r="M171" s="54"/>
      <c r="N171" s="55"/>
      <c r="O171" s="56"/>
      <c r="P171" s="59"/>
      <c r="Q171" s="59"/>
      <c r="R171" s="58"/>
      <c r="S171" s="157"/>
    </row>
    <row r="172" spans="1:19" x14ac:dyDescent="0.25">
      <c r="A172" s="49"/>
      <c r="B172" s="137"/>
      <c r="C172" s="84"/>
      <c r="D172" s="50"/>
      <c r="E172" s="51"/>
      <c r="F172" s="52"/>
      <c r="G172" s="62"/>
      <c r="H172" s="53"/>
      <c r="I172" s="53"/>
      <c r="J172" s="54"/>
      <c r="K172" s="54"/>
      <c r="L172" s="55"/>
      <c r="M172" s="54"/>
      <c r="N172" s="55"/>
      <c r="O172" s="56"/>
      <c r="P172" s="59"/>
      <c r="Q172" s="57"/>
      <c r="R172" s="58"/>
      <c r="S172" s="157"/>
    </row>
    <row r="173" spans="1:19" x14ac:dyDescent="0.25">
      <c r="A173" s="49"/>
      <c r="B173" s="137"/>
      <c r="C173" s="84"/>
      <c r="D173" s="50"/>
      <c r="E173" s="51"/>
      <c r="F173" s="52"/>
      <c r="G173" s="62"/>
      <c r="H173" s="53"/>
      <c r="I173" s="53"/>
      <c r="J173" s="54"/>
      <c r="K173" s="54"/>
      <c r="L173" s="55"/>
      <c r="M173" s="54"/>
      <c r="N173" s="55"/>
      <c r="O173" s="56"/>
      <c r="P173" s="59"/>
      <c r="Q173" s="57"/>
      <c r="R173" s="58"/>
      <c r="S173" s="157"/>
    </row>
    <row r="174" spans="1:19" x14ac:dyDescent="0.25">
      <c r="A174" s="49"/>
      <c r="B174" s="137"/>
      <c r="C174" s="84"/>
      <c r="D174" s="50"/>
      <c r="E174" s="51"/>
      <c r="F174" s="52"/>
      <c r="G174" s="62"/>
      <c r="H174" s="53"/>
      <c r="I174" s="53"/>
      <c r="J174" s="54"/>
      <c r="K174" s="54"/>
      <c r="L174" s="55"/>
      <c r="M174" s="54"/>
      <c r="N174" s="55"/>
      <c r="O174" s="56"/>
      <c r="P174" s="59"/>
      <c r="Q174" s="57"/>
      <c r="R174" s="58"/>
      <c r="S174" s="157"/>
    </row>
    <row r="175" spans="1:19" x14ac:dyDescent="0.25">
      <c r="A175" s="49"/>
      <c r="B175" s="137"/>
      <c r="C175" s="84"/>
      <c r="D175" s="50"/>
      <c r="E175" s="51"/>
      <c r="F175" s="52"/>
      <c r="G175" s="62"/>
      <c r="H175" s="53"/>
      <c r="I175" s="53"/>
      <c r="J175" s="54"/>
      <c r="K175" s="54"/>
      <c r="L175" s="55"/>
      <c r="M175" s="54"/>
      <c r="N175" s="55"/>
      <c r="O175" s="56"/>
      <c r="P175" s="59"/>
      <c r="Q175" s="57"/>
      <c r="R175" s="58"/>
      <c r="S175" s="157"/>
    </row>
    <row r="176" spans="1:19" x14ac:dyDescent="0.25">
      <c r="A176" s="49"/>
      <c r="B176" s="137"/>
      <c r="C176" s="84"/>
      <c r="D176" s="50"/>
      <c r="E176" s="51"/>
      <c r="F176" s="52"/>
      <c r="G176" s="62"/>
      <c r="H176" s="53"/>
      <c r="I176" s="53"/>
      <c r="J176" s="54"/>
      <c r="K176" s="54"/>
      <c r="L176" s="55"/>
      <c r="M176" s="54"/>
      <c r="N176" s="55"/>
      <c r="O176" s="56"/>
      <c r="P176" s="59"/>
      <c r="Q176" s="57"/>
      <c r="R176" s="58"/>
      <c r="S176" s="157"/>
    </row>
    <row r="177" spans="1:19" x14ac:dyDescent="0.25">
      <c r="A177" s="49"/>
      <c r="B177" s="137"/>
      <c r="C177" s="84"/>
      <c r="D177" s="50"/>
      <c r="E177" s="51"/>
      <c r="F177" s="52"/>
      <c r="G177" s="53"/>
      <c r="H177" s="53"/>
      <c r="I177" s="53"/>
      <c r="J177" s="54"/>
      <c r="K177" s="54"/>
      <c r="L177" s="55"/>
      <c r="M177" s="54"/>
      <c r="N177" s="55"/>
      <c r="O177" s="56"/>
      <c r="P177" s="57"/>
      <c r="Q177" s="57"/>
      <c r="R177" s="58"/>
      <c r="S177" s="157"/>
    </row>
    <row r="178" spans="1:19" x14ac:dyDescent="0.25">
      <c r="A178" s="49"/>
      <c r="B178" s="137"/>
      <c r="C178" s="84"/>
      <c r="D178" s="50"/>
      <c r="E178" s="51"/>
      <c r="F178" s="52"/>
      <c r="G178" s="53"/>
      <c r="H178" s="53"/>
      <c r="I178" s="53"/>
      <c r="J178" s="54"/>
      <c r="K178" s="54"/>
      <c r="L178" s="55"/>
      <c r="M178" s="54"/>
      <c r="N178" s="55"/>
      <c r="O178" s="56"/>
      <c r="P178" s="57"/>
      <c r="Q178" s="57"/>
      <c r="R178" s="58"/>
      <c r="S178" s="157"/>
    </row>
    <row r="179" spans="1:19" x14ac:dyDescent="0.25">
      <c r="A179" s="49"/>
      <c r="B179" s="137"/>
      <c r="C179" s="84"/>
      <c r="D179" s="50"/>
      <c r="E179" s="51"/>
      <c r="F179" s="52"/>
      <c r="G179" s="53"/>
      <c r="H179" s="53"/>
      <c r="I179" s="53"/>
      <c r="J179" s="54"/>
      <c r="K179" s="54"/>
      <c r="L179" s="55"/>
      <c r="M179" s="54"/>
      <c r="N179" s="55"/>
      <c r="O179" s="56"/>
      <c r="P179" s="57"/>
      <c r="Q179" s="57"/>
      <c r="R179" s="58"/>
      <c r="S179" s="157"/>
    </row>
    <row r="180" spans="1:19" x14ac:dyDescent="0.25">
      <c r="A180" s="49"/>
      <c r="B180" s="137"/>
      <c r="C180" s="84"/>
      <c r="D180" s="50"/>
      <c r="E180" s="51"/>
      <c r="F180" s="52"/>
      <c r="G180" s="53"/>
      <c r="H180" s="53"/>
      <c r="I180" s="53"/>
      <c r="J180" s="54"/>
      <c r="K180" s="54"/>
      <c r="L180" s="55"/>
      <c r="M180" s="54"/>
      <c r="N180" s="55"/>
      <c r="O180" s="56"/>
      <c r="P180" s="57"/>
      <c r="Q180" s="57"/>
      <c r="R180" s="58"/>
      <c r="S180" s="157"/>
    </row>
    <row r="181" spans="1:19" x14ac:dyDescent="0.25">
      <c r="A181" s="49"/>
      <c r="B181" s="137"/>
      <c r="C181" s="84"/>
      <c r="D181" s="50"/>
      <c r="E181" s="51"/>
      <c r="F181" s="52"/>
      <c r="G181" s="53"/>
      <c r="H181" s="53"/>
      <c r="I181" s="53"/>
      <c r="J181" s="54"/>
      <c r="K181" s="54"/>
      <c r="L181" s="55"/>
      <c r="M181" s="54"/>
      <c r="N181" s="55"/>
      <c r="O181" s="56"/>
      <c r="P181" s="57"/>
      <c r="Q181" s="57"/>
      <c r="R181" s="58"/>
      <c r="S181" s="157"/>
    </row>
    <row r="182" spans="1:19" x14ac:dyDescent="0.25">
      <c r="A182" s="49"/>
      <c r="B182" s="137"/>
      <c r="C182" s="84"/>
      <c r="D182" s="50"/>
      <c r="E182" s="51"/>
      <c r="F182" s="52"/>
      <c r="G182" s="53"/>
      <c r="H182" s="53"/>
      <c r="I182" s="53"/>
      <c r="J182" s="54"/>
      <c r="K182" s="54"/>
      <c r="L182" s="55"/>
      <c r="M182" s="54"/>
      <c r="N182" s="55"/>
      <c r="O182" s="56"/>
      <c r="P182" s="57"/>
      <c r="Q182" s="57"/>
      <c r="R182" s="58"/>
      <c r="S182" s="157"/>
    </row>
    <row r="183" spans="1:19" x14ac:dyDescent="0.25">
      <c r="A183" s="49"/>
      <c r="B183" s="138"/>
      <c r="C183" s="84"/>
      <c r="D183" s="50"/>
      <c r="E183" s="51"/>
      <c r="F183" s="52"/>
      <c r="G183" s="53"/>
      <c r="H183" s="53"/>
      <c r="I183" s="53"/>
      <c r="J183" s="54"/>
      <c r="K183" s="54"/>
      <c r="L183" s="55"/>
      <c r="M183" s="54"/>
      <c r="N183" s="54"/>
      <c r="O183" s="56"/>
      <c r="P183" s="57"/>
      <c r="Q183" s="57"/>
      <c r="R183" s="57"/>
      <c r="S183" s="157"/>
    </row>
    <row r="184" spans="1:19" x14ac:dyDescent="0.25">
      <c r="A184" s="49"/>
      <c r="B184" s="138"/>
      <c r="C184" s="84"/>
      <c r="D184" s="50"/>
      <c r="E184" s="51"/>
      <c r="F184" s="52"/>
      <c r="G184" s="53"/>
      <c r="H184" s="53"/>
      <c r="I184" s="53"/>
      <c r="J184" s="54"/>
      <c r="K184" s="54"/>
      <c r="L184" s="55"/>
      <c r="M184" s="54"/>
      <c r="N184" s="54"/>
      <c r="O184" s="56"/>
      <c r="P184" s="57"/>
      <c r="Q184" s="57"/>
      <c r="R184" s="57"/>
      <c r="S184" s="157"/>
    </row>
    <row r="185" spans="1:19" x14ac:dyDescent="0.25">
      <c r="A185" s="49"/>
      <c r="B185" s="138"/>
      <c r="C185" s="84"/>
      <c r="D185" s="50"/>
      <c r="E185" s="51"/>
      <c r="F185" s="52"/>
      <c r="G185" s="53"/>
      <c r="H185" s="53"/>
      <c r="I185" s="53"/>
      <c r="J185" s="54"/>
      <c r="K185" s="54"/>
      <c r="L185" s="55"/>
      <c r="M185" s="54"/>
      <c r="N185" s="54"/>
      <c r="O185" s="56"/>
      <c r="P185" s="57"/>
      <c r="Q185" s="57"/>
      <c r="R185" s="57"/>
      <c r="S185" s="157"/>
    </row>
    <row r="186" spans="1:19" x14ac:dyDescent="0.25">
      <c r="A186" s="49"/>
      <c r="B186" s="138"/>
      <c r="C186" s="84"/>
      <c r="D186" s="50"/>
      <c r="E186" s="51"/>
      <c r="F186" s="52"/>
      <c r="G186" s="53"/>
      <c r="H186" s="53"/>
      <c r="I186" s="53"/>
      <c r="J186" s="54"/>
      <c r="K186" s="54"/>
      <c r="L186" s="55"/>
      <c r="M186" s="54"/>
      <c r="N186" s="54"/>
      <c r="O186" s="56"/>
      <c r="P186" s="57"/>
      <c r="Q186" s="57"/>
      <c r="R186" s="57"/>
      <c r="S186" s="157"/>
    </row>
    <row r="187" spans="1:19" x14ac:dyDescent="0.25">
      <c r="A187" s="49"/>
      <c r="B187" s="138"/>
      <c r="C187" s="84"/>
      <c r="D187" s="50"/>
      <c r="E187" s="51"/>
      <c r="F187" s="52"/>
      <c r="G187" s="53"/>
      <c r="H187" s="53"/>
      <c r="I187" s="53"/>
      <c r="J187" s="54"/>
      <c r="K187" s="54"/>
      <c r="L187" s="55"/>
      <c r="M187" s="54"/>
      <c r="N187" s="54"/>
      <c r="O187" s="56"/>
      <c r="P187" s="57"/>
      <c r="Q187" s="57"/>
      <c r="R187" s="57"/>
      <c r="S187" s="157"/>
    </row>
    <row r="188" spans="1:19" x14ac:dyDescent="0.25">
      <c r="A188" s="49"/>
      <c r="B188" s="138"/>
      <c r="C188" s="84"/>
      <c r="D188" s="50"/>
      <c r="E188" s="51"/>
      <c r="F188" s="52"/>
      <c r="G188" s="53"/>
      <c r="H188" s="53"/>
      <c r="I188" s="53"/>
      <c r="J188" s="54"/>
      <c r="K188" s="54"/>
      <c r="L188" s="55"/>
      <c r="M188" s="54"/>
      <c r="N188" s="54"/>
      <c r="O188" s="56"/>
      <c r="P188" s="57"/>
      <c r="Q188" s="57"/>
      <c r="R188" s="57"/>
      <c r="S188" s="157"/>
    </row>
    <row r="189" spans="1:19" x14ac:dyDescent="0.25">
      <c r="A189" s="49"/>
      <c r="B189" s="138"/>
      <c r="C189" s="84"/>
      <c r="D189" s="50"/>
      <c r="E189" s="51"/>
      <c r="F189" s="52"/>
      <c r="G189" s="53"/>
      <c r="H189" s="53"/>
      <c r="I189" s="53"/>
      <c r="J189" s="54"/>
      <c r="K189" s="54"/>
      <c r="L189" s="55"/>
      <c r="M189" s="54"/>
      <c r="N189" s="54"/>
      <c r="O189" s="56"/>
      <c r="P189" s="57"/>
      <c r="Q189" s="57"/>
      <c r="R189" s="57"/>
      <c r="S189" s="157"/>
    </row>
    <row r="190" spans="1:19" x14ac:dyDescent="0.25">
      <c r="A190" s="49"/>
      <c r="B190" s="138"/>
      <c r="C190" s="84"/>
      <c r="D190" s="50"/>
      <c r="E190" s="51"/>
      <c r="F190" s="52"/>
      <c r="G190" s="53"/>
      <c r="H190" s="53"/>
      <c r="I190" s="53"/>
      <c r="J190" s="54"/>
      <c r="K190" s="54"/>
      <c r="L190" s="55"/>
      <c r="M190" s="54"/>
      <c r="N190" s="54"/>
      <c r="O190" s="56"/>
      <c r="P190" s="57"/>
      <c r="Q190" s="57"/>
      <c r="R190" s="57"/>
      <c r="S190" s="157"/>
    </row>
    <row r="191" spans="1:19" x14ac:dyDescent="0.25">
      <c r="A191" s="49"/>
      <c r="B191" s="138"/>
      <c r="C191" s="84"/>
      <c r="D191" s="50"/>
      <c r="E191" s="51"/>
      <c r="F191" s="52"/>
      <c r="G191" s="53"/>
      <c r="H191" s="53"/>
      <c r="I191" s="53"/>
      <c r="J191" s="54"/>
      <c r="K191" s="54"/>
      <c r="L191" s="55"/>
      <c r="M191" s="54"/>
      <c r="N191" s="54"/>
      <c r="O191" s="56"/>
      <c r="P191" s="57"/>
      <c r="Q191" s="57"/>
      <c r="R191" s="57"/>
      <c r="S191" s="157"/>
    </row>
    <row r="192" spans="1:19" x14ac:dyDescent="0.25">
      <c r="A192" s="49"/>
      <c r="B192" s="138"/>
      <c r="C192" s="84"/>
      <c r="D192" s="50"/>
      <c r="E192" s="51"/>
      <c r="F192" s="52"/>
      <c r="G192" s="53"/>
      <c r="H192" s="53"/>
      <c r="I192" s="53"/>
      <c r="J192" s="54"/>
      <c r="K192" s="54"/>
      <c r="L192" s="55"/>
      <c r="M192" s="54"/>
      <c r="N192" s="54"/>
      <c r="O192" s="56"/>
      <c r="P192" s="57"/>
      <c r="Q192" s="57"/>
      <c r="R192" s="57"/>
      <c r="S192" s="157"/>
    </row>
    <row r="193" spans="1:19" x14ac:dyDescent="0.25">
      <c r="A193" s="49"/>
      <c r="B193" s="138"/>
      <c r="C193" s="84"/>
      <c r="D193" s="50"/>
      <c r="E193" s="51"/>
      <c r="F193" s="52"/>
      <c r="G193" s="53"/>
      <c r="H193" s="53"/>
      <c r="I193" s="53"/>
      <c r="J193" s="54"/>
      <c r="K193" s="54"/>
      <c r="L193" s="55"/>
      <c r="M193" s="54"/>
      <c r="N193" s="54"/>
      <c r="O193" s="56"/>
      <c r="P193" s="57"/>
      <c r="Q193" s="57"/>
      <c r="R193" s="57"/>
      <c r="S193" s="157"/>
    </row>
    <row r="194" spans="1:19" x14ac:dyDescent="0.25">
      <c r="A194" s="49"/>
      <c r="B194" s="138"/>
      <c r="C194" s="84"/>
      <c r="D194" s="50"/>
      <c r="E194" s="51"/>
      <c r="F194" s="52"/>
      <c r="G194" s="53"/>
      <c r="H194" s="53"/>
      <c r="I194" s="53"/>
      <c r="J194" s="54"/>
      <c r="K194" s="54"/>
      <c r="L194" s="55"/>
      <c r="M194" s="54"/>
      <c r="N194" s="54"/>
      <c r="O194" s="56"/>
      <c r="P194" s="57"/>
      <c r="Q194" s="57"/>
      <c r="R194" s="57"/>
      <c r="S194" s="157"/>
    </row>
    <row r="195" spans="1:19" x14ac:dyDescent="0.25">
      <c r="A195" s="49"/>
      <c r="B195" s="138"/>
      <c r="C195" s="84"/>
      <c r="D195" s="50"/>
      <c r="E195" s="51"/>
      <c r="F195" s="52"/>
      <c r="G195" s="53"/>
      <c r="H195" s="53"/>
      <c r="I195" s="53"/>
      <c r="J195" s="54"/>
      <c r="K195" s="54"/>
      <c r="L195" s="55"/>
      <c r="M195" s="54"/>
      <c r="N195" s="54"/>
      <c r="O195" s="56"/>
      <c r="P195" s="57"/>
      <c r="Q195" s="57"/>
      <c r="R195" s="57"/>
      <c r="S195" s="157"/>
    </row>
    <row r="196" spans="1:19" x14ac:dyDescent="0.25">
      <c r="A196" s="49"/>
      <c r="B196" s="138"/>
      <c r="C196" s="84"/>
      <c r="D196" s="50"/>
      <c r="E196" s="51"/>
      <c r="F196" s="52"/>
      <c r="G196" s="53"/>
      <c r="H196" s="53"/>
      <c r="I196" s="53"/>
      <c r="J196" s="54"/>
      <c r="K196" s="54"/>
      <c r="L196" s="55"/>
      <c r="M196" s="54"/>
      <c r="N196" s="54"/>
      <c r="O196" s="56"/>
      <c r="P196" s="57"/>
      <c r="Q196" s="57"/>
      <c r="R196" s="57"/>
      <c r="S196" s="157"/>
    </row>
    <row r="197" spans="1:19" x14ac:dyDescent="0.25">
      <c r="A197" s="49"/>
      <c r="B197" s="138"/>
      <c r="C197" s="84"/>
      <c r="D197" s="50"/>
      <c r="E197" s="51"/>
      <c r="F197" s="63"/>
      <c r="G197" s="60"/>
      <c r="H197" s="60"/>
      <c r="I197" s="60"/>
      <c r="J197" s="54"/>
      <c r="K197" s="54"/>
      <c r="L197" s="54"/>
      <c r="M197" s="54"/>
      <c r="N197" s="54"/>
      <c r="O197" s="56"/>
      <c r="P197" s="57"/>
      <c r="Q197" s="57"/>
      <c r="R197" s="57"/>
      <c r="S197" s="157"/>
    </row>
    <row r="198" spans="1:19" x14ac:dyDescent="0.25">
      <c r="A198" s="64"/>
      <c r="B198" s="138"/>
      <c r="C198" s="85"/>
      <c r="D198" s="65"/>
      <c r="E198" s="66"/>
      <c r="F198" s="67"/>
      <c r="G198" s="60"/>
      <c r="H198" s="60"/>
      <c r="I198" s="60"/>
      <c r="J198" s="54"/>
      <c r="K198" s="54"/>
      <c r="L198" s="54"/>
      <c r="M198" s="54"/>
      <c r="N198" s="54"/>
      <c r="O198" s="57"/>
      <c r="P198" s="57"/>
      <c r="Q198" s="57"/>
      <c r="R198" s="57"/>
      <c r="S198" s="157"/>
    </row>
    <row r="199" spans="1:19" x14ac:dyDescent="0.25">
      <c r="A199" s="64"/>
      <c r="B199" s="138"/>
      <c r="C199" s="85"/>
      <c r="D199" s="65"/>
      <c r="E199" s="66"/>
      <c r="F199" s="67"/>
      <c r="G199" s="60"/>
      <c r="H199" s="60"/>
      <c r="I199" s="60"/>
      <c r="J199" s="54"/>
      <c r="K199" s="54"/>
      <c r="L199" s="54"/>
      <c r="M199" s="54"/>
      <c r="N199" s="54"/>
      <c r="O199" s="57"/>
      <c r="P199" s="57"/>
      <c r="Q199" s="57"/>
      <c r="R199" s="57"/>
      <c r="S199" s="157"/>
    </row>
    <row r="200" spans="1:19" x14ac:dyDescent="0.25">
      <c r="A200" s="64"/>
      <c r="B200" s="138"/>
      <c r="C200" s="85"/>
      <c r="D200" s="65"/>
      <c r="E200" s="67"/>
      <c r="F200" s="67"/>
      <c r="G200" s="60"/>
      <c r="H200" s="60"/>
      <c r="I200" s="60"/>
      <c r="J200" s="54"/>
      <c r="K200" s="54"/>
      <c r="L200" s="54"/>
      <c r="M200" s="54"/>
      <c r="N200" s="54"/>
      <c r="O200" s="57"/>
      <c r="P200" s="57"/>
      <c r="Q200" s="57"/>
      <c r="R200" s="57"/>
      <c r="S200" s="157"/>
    </row>
    <row r="201" spans="1:19" x14ac:dyDescent="0.25">
      <c r="A201" s="64"/>
      <c r="B201" s="138"/>
      <c r="C201" s="86"/>
      <c r="D201" s="68"/>
      <c r="E201" s="66"/>
      <c r="F201" s="67"/>
      <c r="G201" s="60"/>
      <c r="H201" s="60"/>
      <c r="I201" s="60"/>
      <c r="J201" s="54"/>
      <c r="K201" s="54"/>
      <c r="L201" s="54"/>
      <c r="M201" s="54"/>
      <c r="N201" s="54"/>
      <c r="O201" s="57"/>
      <c r="P201" s="57"/>
      <c r="Q201" s="57"/>
      <c r="R201" s="57"/>
      <c r="S201" s="157"/>
    </row>
    <row r="202" spans="1:19" x14ac:dyDescent="0.25">
      <c r="A202" s="64"/>
      <c r="B202" s="138"/>
      <c r="C202" s="86"/>
      <c r="D202" s="68"/>
      <c r="E202" s="66"/>
      <c r="F202" s="67"/>
      <c r="G202" s="60"/>
      <c r="H202" s="60"/>
      <c r="I202" s="60"/>
      <c r="J202" s="54"/>
      <c r="K202" s="54"/>
      <c r="L202" s="54"/>
      <c r="M202" s="54"/>
      <c r="N202" s="54"/>
      <c r="O202" s="57"/>
      <c r="P202" s="57"/>
      <c r="Q202" s="57"/>
      <c r="R202" s="57"/>
      <c r="S202" s="157"/>
    </row>
    <row r="203" spans="1:19" x14ac:dyDescent="0.25">
      <c r="A203" s="64"/>
      <c r="B203" s="138"/>
      <c r="C203" s="87"/>
      <c r="D203" s="69"/>
      <c r="E203" s="66"/>
      <c r="F203" s="67"/>
      <c r="G203" s="60"/>
      <c r="H203" s="60"/>
      <c r="I203" s="60"/>
      <c r="J203" s="54"/>
      <c r="K203" s="54"/>
      <c r="L203" s="54"/>
      <c r="M203" s="54"/>
      <c r="N203" s="54"/>
      <c r="O203" s="57"/>
      <c r="P203" s="57"/>
      <c r="Q203" s="57"/>
      <c r="R203" s="57"/>
      <c r="S203" s="157"/>
    </row>
    <row r="204" spans="1:19" x14ac:dyDescent="0.25">
      <c r="A204" s="64"/>
      <c r="B204" s="138"/>
      <c r="C204" s="86"/>
      <c r="D204" s="68"/>
      <c r="E204" s="66"/>
      <c r="F204" s="67"/>
      <c r="G204" s="60"/>
      <c r="H204" s="60"/>
      <c r="I204" s="60"/>
      <c r="J204" s="54"/>
      <c r="K204" s="54"/>
      <c r="L204" s="54"/>
      <c r="M204" s="54"/>
      <c r="N204" s="54"/>
      <c r="O204" s="57"/>
      <c r="P204" s="57"/>
      <c r="Q204" s="57"/>
      <c r="R204" s="57"/>
      <c r="S204" s="157"/>
    </row>
    <row r="205" spans="1:19" x14ac:dyDescent="0.25">
      <c r="A205" s="64"/>
      <c r="B205" s="138"/>
      <c r="C205" s="85"/>
      <c r="D205" s="65"/>
      <c r="E205" s="51"/>
      <c r="F205" s="63"/>
      <c r="G205" s="60"/>
      <c r="H205" s="60"/>
      <c r="I205" s="60"/>
      <c r="J205" s="54"/>
      <c r="K205" s="54"/>
      <c r="L205" s="54"/>
      <c r="M205" s="54"/>
      <c r="N205" s="54"/>
      <c r="O205" s="57"/>
      <c r="P205" s="57"/>
      <c r="Q205" s="57"/>
      <c r="R205" s="57"/>
      <c r="S205" s="157"/>
    </row>
    <row r="206" spans="1:19" x14ac:dyDescent="0.25">
      <c r="A206" s="64"/>
      <c r="B206" s="138"/>
      <c r="C206" s="85"/>
      <c r="D206" s="65"/>
      <c r="E206" s="66"/>
      <c r="F206" s="67"/>
      <c r="G206" s="60"/>
      <c r="H206" s="60"/>
      <c r="I206" s="60"/>
      <c r="J206" s="54"/>
      <c r="K206" s="54"/>
      <c r="L206" s="54"/>
      <c r="M206" s="54"/>
      <c r="N206" s="54"/>
      <c r="O206" s="57"/>
      <c r="P206" s="57"/>
      <c r="Q206" s="57"/>
      <c r="R206" s="57"/>
      <c r="S206" s="157"/>
    </row>
    <row r="207" spans="1:19" x14ac:dyDescent="0.25">
      <c r="A207" s="64"/>
      <c r="B207" s="138"/>
      <c r="C207" s="85"/>
      <c r="D207" s="65"/>
      <c r="E207" s="66"/>
      <c r="F207" s="67"/>
      <c r="G207" s="60"/>
      <c r="H207" s="60"/>
      <c r="I207" s="60"/>
      <c r="J207" s="54"/>
      <c r="K207" s="54"/>
      <c r="L207" s="54"/>
      <c r="M207" s="54"/>
      <c r="N207" s="54"/>
      <c r="O207" s="57"/>
      <c r="P207" s="57"/>
      <c r="Q207" s="57"/>
      <c r="R207" s="57"/>
      <c r="S207" s="157"/>
    </row>
    <row r="208" spans="1:19" x14ac:dyDescent="0.25">
      <c r="A208" s="64"/>
      <c r="B208" s="138"/>
      <c r="C208" s="86"/>
      <c r="D208" s="68"/>
      <c r="E208" s="66"/>
      <c r="F208" s="67"/>
      <c r="G208" s="60"/>
      <c r="H208" s="60"/>
      <c r="I208" s="60"/>
      <c r="J208" s="54"/>
      <c r="K208" s="54"/>
      <c r="L208" s="54"/>
      <c r="M208" s="54"/>
      <c r="N208" s="54"/>
      <c r="O208" s="57"/>
      <c r="P208" s="57"/>
      <c r="Q208" s="57"/>
      <c r="R208" s="57"/>
      <c r="S208" s="157"/>
    </row>
    <row r="209" spans="1:19" x14ac:dyDescent="0.25">
      <c r="A209" s="64"/>
      <c r="B209" s="138"/>
      <c r="C209" s="85"/>
      <c r="D209" s="65"/>
      <c r="E209" s="66"/>
      <c r="F209" s="67"/>
      <c r="G209" s="60"/>
      <c r="H209" s="60"/>
      <c r="I209" s="60"/>
      <c r="J209" s="54"/>
      <c r="K209" s="54"/>
      <c r="L209" s="54"/>
      <c r="M209" s="54"/>
      <c r="N209" s="54"/>
      <c r="O209" s="57"/>
      <c r="P209" s="57"/>
      <c r="Q209" s="57"/>
      <c r="R209" s="57"/>
      <c r="S209" s="157"/>
    </row>
    <row r="210" spans="1:19" x14ac:dyDescent="0.25">
      <c r="A210" s="64"/>
      <c r="B210" s="138"/>
      <c r="C210" s="86"/>
      <c r="D210" s="68"/>
      <c r="E210" s="66"/>
      <c r="F210" s="67"/>
      <c r="G210" s="60"/>
      <c r="H210" s="60"/>
      <c r="I210" s="60"/>
      <c r="J210" s="54"/>
      <c r="K210" s="54"/>
      <c r="L210" s="54"/>
      <c r="M210" s="54"/>
      <c r="N210" s="54"/>
      <c r="O210" s="57"/>
      <c r="P210" s="57"/>
      <c r="Q210" s="57"/>
      <c r="R210" s="57"/>
      <c r="S210" s="157"/>
    </row>
    <row r="211" spans="1:19" x14ac:dyDescent="0.25">
      <c r="A211" s="64"/>
      <c r="B211" s="138"/>
      <c r="C211" s="85"/>
      <c r="D211" s="65"/>
      <c r="E211" s="66"/>
      <c r="F211" s="67"/>
      <c r="G211" s="60"/>
      <c r="H211" s="60"/>
      <c r="I211" s="60"/>
      <c r="J211" s="54"/>
      <c r="K211" s="54"/>
      <c r="L211" s="54"/>
      <c r="M211" s="54"/>
      <c r="N211" s="54"/>
      <c r="O211" s="57"/>
      <c r="P211" s="57"/>
      <c r="Q211" s="57"/>
      <c r="R211" s="57"/>
      <c r="S211" s="157"/>
    </row>
    <row r="212" spans="1:19" x14ac:dyDescent="0.25">
      <c r="A212" s="64"/>
      <c r="B212" s="138"/>
      <c r="C212" s="86"/>
      <c r="D212" s="68"/>
      <c r="E212" s="51"/>
      <c r="F212" s="63"/>
      <c r="G212" s="60"/>
      <c r="H212" s="60"/>
      <c r="I212" s="60"/>
      <c r="J212" s="54"/>
      <c r="K212" s="54"/>
      <c r="L212" s="54"/>
      <c r="M212" s="54"/>
      <c r="N212" s="54"/>
      <c r="O212" s="57"/>
      <c r="P212" s="57"/>
      <c r="Q212" s="57"/>
      <c r="R212" s="57"/>
      <c r="S212" s="157"/>
    </row>
    <row r="213" spans="1:19" x14ac:dyDescent="0.25">
      <c r="A213" s="64"/>
      <c r="B213" s="138"/>
      <c r="C213" s="86"/>
      <c r="D213" s="68"/>
      <c r="E213" s="66"/>
      <c r="F213" s="67"/>
      <c r="G213" s="60"/>
      <c r="H213" s="60"/>
      <c r="I213" s="60"/>
      <c r="J213" s="54"/>
      <c r="K213" s="54"/>
      <c r="L213" s="54"/>
      <c r="M213" s="54"/>
      <c r="N213" s="54"/>
      <c r="O213" s="57"/>
      <c r="P213" s="57"/>
      <c r="Q213" s="57"/>
      <c r="R213" s="57"/>
      <c r="S213" s="157"/>
    </row>
    <row r="214" spans="1:19" x14ac:dyDescent="0.25">
      <c r="A214" s="49"/>
      <c r="B214" s="138"/>
      <c r="C214" s="84"/>
      <c r="D214" s="50"/>
      <c r="E214" s="51"/>
      <c r="F214" s="63"/>
      <c r="G214" s="53"/>
      <c r="H214" s="53"/>
      <c r="I214" s="53"/>
      <c r="J214" s="54"/>
      <c r="K214" s="54"/>
      <c r="L214" s="54"/>
      <c r="M214" s="54"/>
      <c r="N214" s="54"/>
      <c r="O214" s="57"/>
      <c r="P214" s="57"/>
      <c r="Q214" s="57"/>
      <c r="R214" s="57"/>
      <c r="S214" s="157"/>
    </row>
    <row r="215" spans="1:19" x14ac:dyDescent="0.25">
      <c r="A215" s="64"/>
      <c r="B215" s="138"/>
      <c r="C215" s="86"/>
      <c r="D215" s="68"/>
      <c r="E215" s="66"/>
      <c r="F215" s="67"/>
      <c r="G215" s="60"/>
      <c r="H215" s="60"/>
      <c r="I215" s="60"/>
      <c r="J215" s="54"/>
      <c r="K215" s="54"/>
      <c r="L215" s="54"/>
      <c r="M215" s="54"/>
      <c r="N215" s="54"/>
      <c r="O215" s="57"/>
      <c r="P215" s="57"/>
      <c r="Q215" s="57"/>
      <c r="R215" s="57"/>
      <c r="S215" s="157"/>
    </row>
    <row r="216" spans="1:19" x14ac:dyDescent="0.25">
      <c r="A216" s="49"/>
      <c r="B216" s="138"/>
      <c r="C216" s="84"/>
      <c r="D216" s="50"/>
      <c r="E216" s="51"/>
      <c r="F216" s="63"/>
      <c r="G216" s="53"/>
      <c r="H216" s="53"/>
      <c r="I216" s="53"/>
      <c r="J216" s="54"/>
      <c r="K216" s="54"/>
      <c r="L216" s="54"/>
      <c r="M216" s="54"/>
      <c r="N216" s="54"/>
      <c r="O216" s="57"/>
      <c r="P216" s="57"/>
      <c r="Q216" s="57"/>
      <c r="R216" s="57"/>
      <c r="S216" s="157"/>
    </row>
    <row r="217" spans="1:19" x14ac:dyDescent="0.25">
      <c r="A217" s="64"/>
      <c r="B217" s="138"/>
      <c r="C217" s="86"/>
      <c r="D217" s="68"/>
      <c r="E217" s="66"/>
      <c r="F217" s="67"/>
      <c r="G217" s="60"/>
      <c r="H217" s="60"/>
      <c r="I217" s="60"/>
      <c r="J217" s="54"/>
      <c r="K217" s="54"/>
      <c r="L217" s="54"/>
      <c r="M217" s="54"/>
      <c r="N217" s="54"/>
      <c r="O217" s="57"/>
      <c r="P217" s="57"/>
      <c r="Q217" s="57"/>
      <c r="R217" s="57"/>
      <c r="S217" s="157"/>
    </row>
    <row r="218" spans="1:19" x14ac:dyDescent="0.25">
      <c r="A218" s="64"/>
      <c r="B218" s="138"/>
      <c r="C218" s="86"/>
      <c r="D218" s="68"/>
      <c r="E218" s="66"/>
      <c r="F218" s="67"/>
      <c r="G218" s="53"/>
      <c r="H218" s="53"/>
      <c r="I218" s="53"/>
      <c r="J218" s="54"/>
      <c r="K218" s="54"/>
      <c r="L218" s="54"/>
      <c r="M218" s="54"/>
      <c r="N218" s="54"/>
      <c r="O218" s="57"/>
      <c r="P218" s="57"/>
      <c r="Q218" s="57"/>
      <c r="R218" s="57"/>
      <c r="S218" s="157"/>
    </row>
    <row r="219" spans="1:19" x14ac:dyDescent="0.25">
      <c r="A219" s="64"/>
      <c r="B219" s="138"/>
      <c r="C219" s="86"/>
      <c r="D219" s="68"/>
      <c r="E219" s="66"/>
      <c r="F219" s="67"/>
      <c r="G219" s="53"/>
      <c r="H219" s="53"/>
      <c r="I219" s="53"/>
      <c r="J219" s="54"/>
      <c r="K219" s="54"/>
      <c r="L219" s="54"/>
      <c r="M219" s="54"/>
      <c r="N219" s="54"/>
      <c r="O219" s="57"/>
      <c r="P219" s="57"/>
      <c r="Q219" s="57"/>
      <c r="R219" s="57"/>
      <c r="S219" s="157"/>
    </row>
    <row r="220" spans="1:19" x14ac:dyDescent="0.25">
      <c r="A220" s="64"/>
      <c r="B220" s="138"/>
      <c r="C220" s="85"/>
      <c r="D220" s="65"/>
      <c r="E220" s="66"/>
      <c r="F220" s="67"/>
      <c r="G220" s="53"/>
      <c r="H220" s="53"/>
      <c r="I220" s="53"/>
      <c r="J220" s="54"/>
      <c r="K220" s="54"/>
      <c r="L220" s="54"/>
      <c r="M220" s="54"/>
      <c r="N220" s="54"/>
      <c r="O220" s="57"/>
      <c r="P220" s="57"/>
      <c r="Q220" s="57"/>
      <c r="R220" s="57"/>
      <c r="S220" s="157"/>
    </row>
    <row r="221" spans="1:19" x14ac:dyDescent="0.25">
      <c r="A221" s="64"/>
      <c r="B221" s="138"/>
      <c r="C221" s="85"/>
      <c r="D221" s="65"/>
      <c r="E221" s="66"/>
      <c r="F221" s="67"/>
      <c r="G221" s="53"/>
      <c r="H221" s="53"/>
      <c r="I221" s="53"/>
      <c r="J221" s="54"/>
      <c r="K221" s="54"/>
      <c r="L221" s="54"/>
      <c r="M221" s="54"/>
      <c r="N221" s="54"/>
      <c r="O221" s="57"/>
      <c r="P221" s="57"/>
      <c r="Q221" s="57"/>
      <c r="R221" s="57"/>
      <c r="S221" s="157"/>
    </row>
    <row r="222" spans="1:19" x14ac:dyDescent="0.25">
      <c r="A222" s="64"/>
      <c r="B222" s="138"/>
      <c r="C222" s="85"/>
      <c r="D222" s="65"/>
      <c r="E222" s="66"/>
      <c r="F222" s="67"/>
      <c r="G222" s="53"/>
      <c r="H222" s="53"/>
      <c r="I222" s="53"/>
      <c r="J222" s="54"/>
      <c r="K222" s="54"/>
      <c r="L222" s="54"/>
      <c r="M222" s="54"/>
      <c r="N222" s="54"/>
      <c r="O222" s="57"/>
      <c r="P222" s="57"/>
      <c r="Q222" s="57"/>
      <c r="R222" s="57"/>
      <c r="S222" s="157"/>
    </row>
    <row r="223" spans="1:19" x14ac:dyDescent="0.25">
      <c r="A223" s="49"/>
      <c r="B223" s="138"/>
      <c r="C223" s="84"/>
      <c r="D223" s="50"/>
      <c r="E223" s="51"/>
      <c r="F223" s="63"/>
      <c r="G223" s="53"/>
      <c r="H223" s="53"/>
      <c r="I223" s="53"/>
      <c r="J223" s="54"/>
      <c r="K223" s="54"/>
      <c r="L223" s="54"/>
      <c r="M223" s="54"/>
      <c r="N223" s="54"/>
      <c r="O223" s="57"/>
      <c r="P223" s="57"/>
      <c r="Q223" s="57"/>
      <c r="R223" s="57"/>
      <c r="S223" s="157"/>
    </row>
    <row r="224" spans="1:19" x14ac:dyDescent="0.25">
      <c r="A224" s="64"/>
      <c r="B224" s="138"/>
      <c r="C224" s="85"/>
      <c r="D224" s="65"/>
      <c r="E224" s="70"/>
      <c r="F224" s="71"/>
      <c r="G224" s="53"/>
      <c r="H224" s="53"/>
      <c r="I224" s="53"/>
      <c r="J224" s="54"/>
      <c r="K224" s="54"/>
      <c r="L224" s="54"/>
      <c r="M224" s="54"/>
      <c r="N224" s="54"/>
      <c r="O224" s="57"/>
      <c r="P224" s="57"/>
      <c r="Q224" s="57"/>
      <c r="R224" s="57"/>
      <c r="S224" s="157"/>
    </row>
    <row r="225" spans="1:19" x14ac:dyDescent="0.25">
      <c r="A225" s="64"/>
      <c r="B225" s="138"/>
      <c r="C225" s="85"/>
      <c r="D225" s="65"/>
      <c r="E225" s="70"/>
      <c r="F225" s="71"/>
      <c r="G225" s="53"/>
      <c r="H225" s="53"/>
      <c r="I225" s="53"/>
      <c r="J225" s="54"/>
      <c r="K225" s="54"/>
      <c r="L225" s="54"/>
      <c r="M225" s="54"/>
      <c r="N225" s="54"/>
      <c r="O225" s="57"/>
      <c r="P225" s="57"/>
      <c r="Q225" s="57"/>
      <c r="R225" s="57"/>
      <c r="S225" s="157"/>
    </row>
    <row r="226" spans="1:19" x14ac:dyDescent="0.25">
      <c r="A226" s="64"/>
      <c r="B226" s="138"/>
      <c r="C226" s="86"/>
      <c r="D226" s="68"/>
      <c r="E226" s="70"/>
      <c r="F226" s="71"/>
      <c r="G226" s="53"/>
      <c r="H226" s="53"/>
      <c r="I226" s="53"/>
      <c r="J226" s="54"/>
      <c r="K226" s="54"/>
      <c r="L226" s="54"/>
      <c r="M226" s="54"/>
      <c r="N226" s="54"/>
      <c r="O226" s="57"/>
      <c r="P226" s="57"/>
      <c r="Q226" s="57"/>
      <c r="R226" s="57"/>
      <c r="S226" s="157"/>
    </row>
    <row r="227" spans="1:19" x14ac:dyDescent="0.25">
      <c r="A227" s="64"/>
      <c r="B227" s="138"/>
      <c r="C227" s="86"/>
      <c r="D227" s="68"/>
      <c r="E227" s="66"/>
      <c r="F227" s="67"/>
      <c r="G227" s="53"/>
      <c r="H227" s="53"/>
      <c r="I227" s="53"/>
      <c r="J227" s="54"/>
      <c r="K227" s="54"/>
      <c r="L227" s="54"/>
      <c r="M227" s="54"/>
      <c r="N227" s="54"/>
      <c r="O227" s="57"/>
      <c r="P227" s="57"/>
      <c r="Q227" s="57"/>
      <c r="R227" s="57"/>
      <c r="S227" s="157"/>
    </row>
    <row r="228" spans="1:19" x14ac:dyDescent="0.25">
      <c r="A228" s="64"/>
      <c r="B228" s="138"/>
      <c r="C228" s="86"/>
      <c r="D228" s="68"/>
      <c r="E228" s="66"/>
      <c r="F228" s="67"/>
      <c r="G228" s="53"/>
      <c r="H228" s="53"/>
      <c r="I228" s="53"/>
      <c r="J228" s="54"/>
      <c r="K228" s="54"/>
      <c r="L228" s="54"/>
      <c r="M228" s="54"/>
      <c r="N228" s="54"/>
      <c r="O228" s="57"/>
      <c r="P228" s="57"/>
      <c r="Q228" s="57"/>
      <c r="R228" s="57"/>
      <c r="S228" s="157"/>
    </row>
    <row r="229" spans="1:19" x14ac:dyDescent="0.25">
      <c r="A229" s="64"/>
      <c r="B229" s="138"/>
      <c r="C229" s="86"/>
      <c r="D229" s="68"/>
      <c r="E229" s="66"/>
      <c r="F229" s="67"/>
      <c r="G229" s="53"/>
      <c r="H229" s="53"/>
      <c r="I229" s="53"/>
      <c r="J229" s="54"/>
      <c r="K229" s="54"/>
      <c r="L229" s="54"/>
      <c r="M229" s="54"/>
      <c r="N229" s="54"/>
      <c r="O229" s="57"/>
      <c r="P229" s="57"/>
      <c r="Q229" s="57"/>
      <c r="R229" s="57"/>
      <c r="S229" s="157"/>
    </row>
    <row r="230" spans="1:19" x14ac:dyDescent="0.25">
      <c r="A230" s="64"/>
      <c r="B230" s="138"/>
      <c r="C230" s="86"/>
      <c r="D230" s="68"/>
      <c r="E230" s="66"/>
      <c r="F230" s="67"/>
      <c r="G230" s="53"/>
      <c r="H230" s="53"/>
      <c r="I230" s="53"/>
      <c r="J230" s="54"/>
      <c r="K230" s="54"/>
      <c r="L230" s="54"/>
      <c r="M230" s="54"/>
      <c r="N230" s="54"/>
      <c r="O230" s="57"/>
      <c r="P230" s="57"/>
      <c r="Q230" s="57"/>
      <c r="R230" s="57"/>
      <c r="S230" s="157"/>
    </row>
    <row r="231" spans="1:19" x14ac:dyDescent="0.25">
      <c r="A231" s="64"/>
      <c r="B231" s="138"/>
      <c r="C231" s="86"/>
      <c r="D231" s="68"/>
      <c r="E231" s="66"/>
      <c r="F231" s="67"/>
      <c r="G231" s="53"/>
      <c r="H231" s="53"/>
      <c r="I231" s="53"/>
      <c r="J231" s="54"/>
      <c r="K231" s="54"/>
      <c r="L231" s="54"/>
      <c r="M231" s="54"/>
      <c r="N231" s="54"/>
      <c r="O231" s="57"/>
      <c r="P231" s="57"/>
      <c r="Q231" s="57"/>
      <c r="R231" s="57"/>
      <c r="S231" s="157"/>
    </row>
    <row r="232" spans="1:19" x14ac:dyDescent="0.25">
      <c r="A232" s="64"/>
      <c r="B232" s="138"/>
      <c r="C232" s="86"/>
      <c r="D232" s="68"/>
      <c r="E232" s="66"/>
      <c r="F232" s="67"/>
      <c r="G232" s="53"/>
      <c r="H232" s="53"/>
      <c r="I232" s="53"/>
      <c r="J232" s="54"/>
      <c r="K232" s="54"/>
      <c r="L232" s="54"/>
      <c r="M232" s="54"/>
      <c r="N232" s="54"/>
      <c r="O232" s="57"/>
      <c r="P232" s="57"/>
      <c r="Q232" s="57"/>
      <c r="R232" s="57"/>
      <c r="S232" s="157"/>
    </row>
    <row r="233" spans="1:19" x14ac:dyDescent="0.25">
      <c r="A233" s="64"/>
      <c r="B233" s="138"/>
      <c r="C233" s="86"/>
      <c r="D233" s="68"/>
      <c r="E233" s="66"/>
      <c r="F233" s="67"/>
      <c r="G233" s="53"/>
      <c r="H233" s="53"/>
      <c r="I233" s="53"/>
      <c r="J233" s="54"/>
      <c r="K233" s="54"/>
      <c r="L233" s="54"/>
      <c r="M233" s="54"/>
      <c r="N233" s="54"/>
      <c r="O233" s="57"/>
      <c r="P233" s="57"/>
      <c r="Q233" s="57"/>
      <c r="R233" s="57"/>
      <c r="S233" s="157"/>
    </row>
    <row r="234" spans="1:19" x14ac:dyDescent="0.25">
      <c r="A234" s="64"/>
      <c r="B234" s="138"/>
      <c r="C234" s="86"/>
      <c r="D234" s="68"/>
      <c r="E234" s="66"/>
      <c r="F234" s="67"/>
      <c r="G234" s="53"/>
      <c r="H234" s="53"/>
      <c r="I234" s="53"/>
      <c r="J234" s="54"/>
      <c r="K234" s="54"/>
      <c r="L234" s="54"/>
      <c r="M234" s="54"/>
      <c r="N234" s="54"/>
      <c r="O234" s="57"/>
      <c r="P234" s="57"/>
      <c r="Q234" s="57"/>
      <c r="R234" s="57"/>
      <c r="S234" s="157"/>
    </row>
    <row r="235" spans="1:19" x14ac:dyDescent="0.25">
      <c r="A235" s="64"/>
      <c r="B235" s="138"/>
      <c r="C235" s="86"/>
      <c r="D235" s="68"/>
      <c r="E235" s="66"/>
      <c r="F235" s="67"/>
      <c r="G235" s="53"/>
      <c r="H235" s="53"/>
      <c r="I235" s="53"/>
      <c r="J235" s="54"/>
      <c r="K235" s="54"/>
      <c r="L235" s="54"/>
      <c r="M235" s="54"/>
      <c r="N235" s="54"/>
      <c r="O235" s="57"/>
      <c r="P235" s="57"/>
      <c r="Q235" s="57"/>
      <c r="R235" s="57"/>
      <c r="S235" s="157"/>
    </row>
    <row r="236" spans="1:19" x14ac:dyDescent="0.25">
      <c r="A236" s="64"/>
      <c r="B236" s="138"/>
      <c r="C236" s="86"/>
      <c r="D236" s="68"/>
      <c r="E236" s="66"/>
      <c r="F236" s="67"/>
      <c r="G236" s="53"/>
      <c r="H236" s="53"/>
      <c r="I236" s="53"/>
      <c r="J236" s="54"/>
      <c r="K236" s="54"/>
      <c r="L236" s="54"/>
      <c r="M236" s="54"/>
      <c r="N236" s="54"/>
      <c r="O236" s="57"/>
      <c r="P236" s="57"/>
      <c r="Q236" s="57"/>
      <c r="R236" s="57"/>
      <c r="S236" s="157"/>
    </row>
    <row r="237" spans="1:19" x14ac:dyDescent="0.25">
      <c r="A237" s="64"/>
      <c r="B237" s="138"/>
      <c r="C237" s="86"/>
      <c r="D237" s="68"/>
      <c r="E237" s="66"/>
      <c r="F237" s="67"/>
      <c r="G237" s="53"/>
      <c r="H237" s="53"/>
      <c r="I237" s="53"/>
      <c r="J237" s="54"/>
      <c r="K237" s="54"/>
      <c r="L237" s="54"/>
      <c r="M237" s="54"/>
      <c r="N237" s="54"/>
      <c r="O237" s="57"/>
      <c r="P237" s="57"/>
      <c r="Q237" s="57"/>
      <c r="R237" s="57"/>
      <c r="S237" s="157"/>
    </row>
    <row r="238" spans="1:19" x14ac:dyDescent="0.25">
      <c r="A238" s="64"/>
      <c r="B238" s="138"/>
      <c r="C238" s="86"/>
      <c r="D238" s="68"/>
      <c r="E238" s="66"/>
      <c r="F238" s="67"/>
      <c r="G238" s="53"/>
      <c r="H238" s="53"/>
      <c r="I238" s="53"/>
      <c r="J238" s="54"/>
      <c r="K238" s="54"/>
      <c r="L238" s="54"/>
      <c r="M238" s="54"/>
      <c r="N238" s="54"/>
      <c r="O238" s="57"/>
      <c r="P238" s="57"/>
      <c r="Q238" s="57"/>
      <c r="R238" s="57"/>
      <c r="S238" s="157"/>
    </row>
    <row r="239" spans="1:19" x14ac:dyDescent="0.25">
      <c r="A239" s="64"/>
      <c r="B239" s="138"/>
      <c r="C239" s="86"/>
      <c r="D239" s="68"/>
      <c r="E239" s="66"/>
      <c r="F239" s="67"/>
      <c r="G239" s="53"/>
      <c r="H239" s="53"/>
      <c r="I239" s="53"/>
      <c r="J239" s="54"/>
      <c r="K239" s="54"/>
      <c r="L239" s="54"/>
      <c r="M239" s="54"/>
      <c r="N239" s="54"/>
      <c r="O239" s="57"/>
      <c r="P239" s="57"/>
      <c r="Q239" s="57"/>
      <c r="R239" s="57"/>
      <c r="S239" s="157"/>
    </row>
    <row r="240" spans="1:19" x14ac:dyDescent="0.25">
      <c r="A240" s="64"/>
      <c r="B240" s="66"/>
      <c r="C240" s="85"/>
      <c r="D240" s="65"/>
      <c r="E240" s="66"/>
      <c r="F240" s="67"/>
      <c r="G240" s="53"/>
      <c r="H240" s="53"/>
      <c r="I240" s="53"/>
      <c r="J240" s="54"/>
      <c r="K240" s="54"/>
      <c r="L240" s="54"/>
      <c r="M240" s="54"/>
      <c r="N240" s="54"/>
      <c r="O240" s="57"/>
      <c r="P240" s="57"/>
      <c r="Q240" s="57"/>
      <c r="R240" s="57"/>
      <c r="S240" s="157"/>
    </row>
    <row r="241" spans="1:19" x14ac:dyDescent="0.25">
      <c r="A241" s="64"/>
      <c r="B241" s="66"/>
      <c r="C241" s="86"/>
      <c r="D241" s="68"/>
      <c r="E241" s="66"/>
      <c r="F241" s="67"/>
      <c r="G241" s="53"/>
      <c r="H241" s="53"/>
      <c r="I241" s="53"/>
      <c r="J241" s="54"/>
      <c r="K241" s="54"/>
      <c r="L241" s="54"/>
      <c r="M241" s="54"/>
      <c r="N241" s="54"/>
      <c r="O241" s="57"/>
      <c r="P241" s="57"/>
      <c r="Q241" s="57"/>
      <c r="R241" s="57"/>
      <c r="S241" s="157"/>
    </row>
    <row r="242" spans="1:19" x14ac:dyDescent="0.25">
      <c r="A242" s="64"/>
      <c r="B242" s="66"/>
      <c r="C242" s="85"/>
      <c r="D242" s="65"/>
      <c r="E242" s="66"/>
      <c r="F242" s="67"/>
      <c r="G242" s="53"/>
      <c r="H242" s="53"/>
      <c r="I242" s="53"/>
      <c r="J242" s="54"/>
      <c r="K242" s="54"/>
      <c r="L242" s="54"/>
      <c r="M242" s="54"/>
      <c r="N242" s="54"/>
      <c r="O242" s="57"/>
      <c r="P242" s="57"/>
      <c r="Q242" s="57"/>
      <c r="R242" s="57"/>
      <c r="S242" s="157"/>
    </row>
    <row r="243" spans="1:19" x14ac:dyDescent="0.25">
      <c r="A243" s="64"/>
      <c r="B243" s="66"/>
      <c r="C243" s="85"/>
      <c r="D243" s="65"/>
      <c r="E243" s="66"/>
      <c r="F243" s="67"/>
      <c r="G243" s="53"/>
      <c r="H243" s="53"/>
      <c r="I243" s="53"/>
      <c r="J243" s="54"/>
      <c r="K243" s="54"/>
      <c r="L243" s="54"/>
      <c r="M243" s="54"/>
      <c r="N243" s="54"/>
      <c r="O243" s="57"/>
      <c r="P243" s="57"/>
      <c r="Q243" s="57"/>
      <c r="R243" s="57"/>
      <c r="S243" s="157"/>
    </row>
    <row r="244" spans="1:19" x14ac:dyDescent="0.25">
      <c r="A244" s="64"/>
      <c r="B244" s="66"/>
      <c r="C244" s="86"/>
      <c r="D244" s="68"/>
      <c r="E244" s="66"/>
      <c r="F244" s="67"/>
      <c r="G244" s="53"/>
      <c r="H244" s="53"/>
      <c r="I244" s="53"/>
      <c r="J244" s="54"/>
      <c r="K244" s="54"/>
      <c r="L244" s="54"/>
      <c r="M244" s="54"/>
      <c r="N244" s="54"/>
      <c r="O244" s="57"/>
      <c r="P244" s="57"/>
      <c r="Q244" s="57"/>
      <c r="R244" s="57"/>
      <c r="S244" s="157"/>
    </row>
    <row r="245" spans="1:19" x14ac:dyDescent="0.25">
      <c r="A245" s="64"/>
      <c r="B245" s="66"/>
      <c r="C245" s="86"/>
      <c r="D245" s="68"/>
      <c r="E245" s="66"/>
      <c r="F245" s="67"/>
      <c r="G245" s="53"/>
      <c r="H245" s="53"/>
      <c r="I245" s="53"/>
      <c r="J245" s="54"/>
      <c r="K245" s="54"/>
      <c r="L245" s="54"/>
      <c r="M245" s="54"/>
      <c r="N245" s="54"/>
      <c r="O245" s="57"/>
      <c r="P245" s="57"/>
      <c r="Q245" s="57"/>
      <c r="R245" s="57"/>
      <c r="S245" s="157"/>
    </row>
    <row r="246" spans="1:19" x14ac:dyDescent="0.25">
      <c r="A246" s="64"/>
      <c r="B246" s="66"/>
      <c r="C246" s="86"/>
      <c r="D246" s="68"/>
      <c r="E246" s="66"/>
      <c r="F246" s="67"/>
      <c r="G246" s="53"/>
      <c r="H246" s="53"/>
      <c r="I246" s="53"/>
      <c r="J246" s="54"/>
      <c r="K246" s="54"/>
      <c r="L246" s="54"/>
      <c r="M246" s="54"/>
      <c r="N246" s="54"/>
      <c r="O246" s="57"/>
      <c r="P246" s="57"/>
      <c r="Q246" s="57"/>
      <c r="R246" s="57"/>
      <c r="S246" s="157"/>
    </row>
    <row r="247" spans="1:19" x14ac:dyDescent="0.25">
      <c r="A247" s="64"/>
      <c r="B247" s="66"/>
      <c r="C247" s="86"/>
      <c r="D247" s="68"/>
      <c r="E247" s="66"/>
      <c r="F247" s="67"/>
      <c r="G247" s="53"/>
      <c r="H247" s="53"/>
      <c r="I247" s="53"/>
      <c r="J247" s="54"/>
      <c r="K247" s="54"/>
      <c r="L247" s="54"/>
      <c r="M247" s="54"/>
      <c r="N247" s="54"/>
      <c r="O247" s="57"/>
      <c r="P247" s="57"/>
      <c r="Q247" s="57"/>
      <c r="R247" s="57"/>
      <c r="S247" s="157"/>
    </row>
    <row r="248" spans="1:19" x14ac:dyDescent="0.25">
      <c r="A248" s="64"/>
      <c r="B248" s="66"/>
      <c r="C248" s="86"/>
      <c r="D248" s="68"/>
      <c r="E248" s="66"/>
      <c r="F248" s="67"/>
      <c r="G248" s="53"/>
      <c r="H248" s="53"/>
      <c r="I248" s="53"/>
      <c r="J248" s="54"/>
      <c r="K248" s="54"/>
      <c r="L248" s="54"/>
      <c r="M248" s="54"/>
      <c r="N248" s="54"/>
      <c r="O248" s="57"/>
      <c r="P248" s="57"/>
      <c r="Q248" s="57"/>
      <c r="R248" s="57"/>
      <c r="S248" s="157"/>
    </row>
    <row r="249" spans="1:19" x14ac:dyDescent="0.25">
      <c r="A249" s="64"/>
      <c r="B249" s="66"/>
      <c r="C249" s="85"/>
      <c r="D249" s="65"/>
      <c r="E249" s="66"/>
      <c r="F249" s="67"/>
      <c r="G249" s="53"/>
      <c r="H249" s="53"/>
      <c r="I249" s="53"/>
      <c r="J249" s="54"/>
      <c r="K249" s="54"/>
      <c r="L249" s="54"/>
      <c r="M249" s="54"/>
      <c r="N249" s="54"/>
      <c r="O249" s="57"/>
      <c r="P249" s="57"/>
      <c r="Q249" s="57"/>
      <c r="R249" s="57"/>
      <c r="S249" s="157"/>
    </row>
    <row r="250" spans="1:19" x14ac:dyDescent="0.25">
      <c r="A250" s="64"/>
      <c r="B250" s="66"/>
      <c r="C250" s="86"/>
      <c r="D250" s="68"/>
      <c r="E250" s="66"/>
      <c r="F250" s="67"/>
      <c r="G250" s="53"/>
      <c r="H250" s="53"/>
      <c r="I250" s="53"/>
      <c r="J250" s="54"/>
      <c r="K250" s="54"/>
      <c r="L250" s="54"/>
      <c r="M250" s="54"/>
      <c r="N250" s="54"/>
      <c r="O250" s="57"/>
      <c r="P250" s="57"/>
      <c r="Q250" s="57"/>
      <c r="R250" s="57"/>
      <c r="S250" s="157"/>
    </row>
    <row r="251" spans="1:19" x14ac:dyDescent="0.25">
      <c r="A251" s="64"/>
      <c r="B251" s="66"/>
      <c r="C251" s="86"/>
      <c r="D251" s="68"/>
      <c r="E251" s="66"/>
      <c r="F251" s="67"/>
      <c r="G251" s="53"/>
      <c r="H251" s="53"/>
      <c r="I251" s="53"/>
      <c r="J251" s="54"/>
      <c r="K251" s="54"/>
      <c r="L251" s="54"/>
      <c r="M251" s="54"/>
      <c r="N251" s="54"/>
      <c r="O251" s="57"/>
      <c r="P251" s="57"/>
      <c r="Q251" s="57"/>
      <c r="R251" s="57"/>
      <c r="S251" s="157"/>
    </row>
    <row r="252" spans="1:19" x14ac:dyDescent="0.25">
      <c r="A252" s="64"/>
      <c r="B252" s="66"/>
      <c r="C252" s="86"/>
      <c r="D252" s="68"/>
      <c r="E252" s="66"/>
      <c r="F252" s="67"/>
      <c r="G252" s="53"/>
      <c r="H252" s="53"/>
      <c r="I252" s="53"/>
      <c r="J252" s="54" t="str">
        <f t="shared" ref="J252:J275" si="7">IF(G252="","",J251-G252)</f>
        <v/>
      </c>
      <c r="K252" s="54" t="str">
        <f t="shared" ref="K252:K275" si="8">IF(G252="","",K251+G252)</f>
        <v/>
      </c>
      <c r="L252" s="54"/>
      <c r="M252" s="54"/>
      <c r="N252" s="54"/>
      <c r="O252" s="57"/>
      <c r="P252" s="57"/>
      <c r="Q252" s="57"/>
      <c r="R252" s="57"/>
      <c r="S252" s="157"/>
    </row>
    <row r="253" spans="1:19" x14ac:dyDescent="0.25">
      <c r="A253" s="64"/>
      <c r="B253" s="66"/>
      <c r="C253" s="85"/>
      <c r="D253" s="65"/>
      <c r="E253" s="66"/>
      <c r="F253" s="67"/>
      <c r="G253" s="53"/>
      <c r="H253" s="53"/>
      <c r="I253" s="53"/>
      <c r="J253" s="54" t="str">
        <f t="shared" si="7"/>
        <v/>
      </c>
      <c r="K253" s="54" t="str">
        <f t="shared" si="8"/>
        <v/>
      </c>
      <c r="L253" s="54"/>
      <c r="M253" s="54"/>
      <c r="N253" s="54"/>
      <c r="O253" s="57"/>
      <c r="P253" s="57"/>
      <c r="Q253" s="57"/>
      <c r="R253" s="57"/>
      <c r="S253" s="157"/>
    </row>
    <row r="254" spans="1:19" x14ac:dyDescent="0.25">
      <c r="A254" s="64"/>
      <c r="B254" s="66"/>
      <c r="C254" s="85"/>
      <c r="D254" s="65"/>
      <c r="E254" s="66"/>
      <c r="F254" s="67"/>
      <c r="G254" s="53"/>
      <c r="H254" s="53"/>
      <c r="I254" s="53"/>
      <c r="J254" s="54" t="str">
        <f t="shared" si="7"/>
        <v/>
      </c>
      <c r="K254" s="54" t="str">
        <f t="shared" si="8"/>
        <v/>
      </c>
      <c r="L254" s="54"/>
      <c r="M254" s="54"/>
      <c r="N254" s="54"/>
      <c r="O254" s="57"/>
      <c r="P254" s="57"/>
      <c r="Q254" s="57"/>
      <c r="R254" s="57"/>
      <c r="S254" s="157"/>
    </row>
    <row r="255" spans="1:19" x14ac:dyDescent="0.25">
      <c r="A255" s="64"/>
      <c r="B255" s="66"/>
      <c r="C255" s="86"/>
      <c r="D255" s="68"/>
      <c r="E255" s="66"/>
      <c r="F255" s="67"/>
      <c r="G255" s="53"/>
      <c r="H255" s="53"/>
      <c r="I255" s="53"/>
      <c r="J255" s="54" t="str">
        <f t="shared" si="7"/>
        <v/>
      </c>
      <c r="K255" s="54" t="str">
        <f t="shared" si="8"/>
        <v/>
      </c>
      <c r="L255" s="54"/>
      <c r="M255" s="54"/>
      <c r="N255" s="54"/>
      <c r="O255" s="57"/>
      <c r="P255" s="57"/>
      <c r="Q255" s="57"/>
      <c r="R255" s="57"/>
      <c r="S255" s="157"/>
    </row>
    <row r="256" spans="1:19" x14ac:dyDescent="0.25">
      <c r="A256" s="64"/>
      <c r="B256" s="66"/>
      <c r="C256" s="86"/>
      <c r="D256" s="68"/>
      <c r="E256" s="66"/>
      <c r="F256" s="67"/>
      <c r="G256" s="53"/>
      <c r="H256" s="53"/>
      <c r="I256" s="53"/>
      <c r="J256" s="54" t="str">
        <f t="shared" si="7"/>
        <v/>
      </c>
      <c r="K256" s="54" t="str">
        <f t="shared" si="8"/>
        <v/>
      </c>
      <c r="L256" s="54"/>
      <c r="M256" s="54"/>
      <c r="N256" s="54"/>
      <c r="O256" s="57"/>
      <c r="P256" s="57"/>
      <c r="Q256" s="57"/>
      <c r="R256" s="57"/>
      <c r="S256" s="157"/>
    </row>
    <row r="257" spans="1:19" x14ac:dyDescent="0.25">
      <c r="A257" s="64"/>
      <c r="B257" s="66"/>
      <c r="C257" s="86"/>
      <c r="D257" s="68"/>
      <c r="E257" s="66"/>
      <c r="F257" s="67"/>
      <c r="G257" s="53"/>
      <c r="H257" s="53"/>
      <c r="I257" s="53"/>
      <c r="J257" s="54" t="str">
        <f t="shared" si="7"/>
        <v/>
      </c>
      <c r="K257" s="54" t="str">
        <f t="shared" si="8"/>
        <v/>
      </c>
      <c r="L257" s="54"/>
      <c r="M257" s="54"/>
      <c r="N257" s="54"/>
      <c r="O257" s="57"/>
      <c r="P257" s="57"/>
      <c r="Q257" s="57"/>
      <c r="R257" s="57"/>
      <c r="S257" s="157"/>
    </row>
    <row r="258" spans="1:19" x14ac:dyDescent="0.25">
      <c r="A258" s="64"/>
      <c r="B258" s="66"/>
      <c r="C258" s="85"/>
      <c r="D258" s="65"/>
      <c r="E258" s="66"/>
      <c r="F258" s="67"/>
      <c r="G258" s="53"/>
      <c r="H258" s="53"/>
      <c r="I258" s="53"/>
      <c r="J258" s="54" t="str">
        <f t="shared" si="7"/>
        <v/>
      </c>
      <c r="K258" s="54" t="str">
        <f t="shared" si="8"/>
        <v/>
      </c>
      <c r="L258" s="54"/>
      <c r="M258" s="54"/>
      <c r="N258" s="54"/>
      <c r="O258" s="57"/>
      <c r="P258" s="57"/>
      <c r="Q258" s="57"/>
      <c r="R258" s="57"/>
      <c r="S258" s="157"/>
    </row>
    <row r="259" spans="1:19" x14ac:dyDescent="0.25">
      <c r="A259" s="64"/>
      <c r="B259" s="66"/>
      <c r="C259" s="86"/>
      <c r="D259" s="68"/>
      <c r="E259" s="66"/>
      <c r="F259" s="67"/>
      <c r="G259" s="53"/>
      <c r="H259" s="53"/>
      <c r="I259" s="53"/>
      <c r="J259" s="54" t="str">
        <f t="shared" si="7"/>
        <v/>
      </c>
      <c r="K259" s="54" t="str">
        <f t="shared" si="8"/>
        <v/>
      </c>
      <c r="L259" s="54"/>
      <c r="M259" s="54"/>
      <c r="N259" s="54"/>
      <c r="O259" s="57"/>
      <c r="P259" s="57"/>
      <c r="Q259" s="57"/>
      <c r="R259" s="57"/>
      <c r="S259" s="157"/>
    </row>
    <row r="260" spans="1:19" x14ac:dyDescent="0.25">
      <c r="A260" s="64"/>
      <c r="B260" s="66"/>
      <c r="C260" s="85"/>
      <c r="D260" s="65"/>
      <c r="E260" s="66"/>
      <c r="F260" s="67"/>
      <c r="G260" s="53"/>
      <c r="H260" s="53"/>
      <c r="I260" s="53"/>
      <c r="J260" s="54" t="str">
        <f t="shared" si="7"/>
        <v/>
      </c>
      <c r="K260" s="54" t="str">
        <f t="shared" si="8"/>
        <v/>
      </c>
      <c r="L260" s="54"/>
      <c r="M260" s="54"/>
      <c r="N260" s="54"/>
      <c r="O260" s="57"/>
      <c r="P260" s="57"/>
      <c r="Q260" s="57"/>
      <c r="R260" s="57"/>
      <c r="S260" s="157"/>
    </row>
    <row r="261" spans="1:19" x14ac:dyDescent="0.25">
      <c r="A261" s="64"/>
      <c r="B261" s="66"/>
      <c r="C261" s="85"/>
      <c r="D261" s="65"/>
      <c r="E261" s="66"/>
      <c r="F261" s="67"/>
      <c r="G261" s="53"/>
      <c r="H261" s="53"/>
      <c r="I261" s="53"/>
      <c r="J261" s="54" t="str">
        <f t="shared" si="7"/>
        <v/>
      </c>
      <c r="K261" s="54" t="str">
        <f t="shared" si="8"/>
        <v/>
      </c>
      <c r="L261" s="54"/>
      <c r="M261" s="54"/>
      <c r="N261" s="54"/>
      <c r="O261" s="57"/>
      <c r="P261" s="57"/>
      <c r="Q261" s="57"/>
      <c r="R261" s="57"/>
      <c r="S261" s="157"/>
    </row>
    <row r="262" spans="1:19" x14ac:dyDescent="0.25">
      <c r="A262" s="64"/>
      <c r="B262" s="66"/>
      <c r="C262" s="85"/>
      <c r="D262" s="65"/>
      <c r="E262" s="66"/>
      <c r="F262" s="67"/>
      <c r="G262" s="53"/>
      <c r="H262" s="53"/>
      <c r="I262" s="53"/>
      <c r="J262" s="54" t="str">
        <f t="shared" si="7"/>
        <v/>
      </c>
      <c r="K262" s="54" t="str">
        <f t="shared" si="8"/>
        <v/>
      </c>
      <c r="L262" s="54"/>
      <c r="M262" s="54"/>
      <c r="N262" s="54"/>
      <c r="O262" s="57"/>
      <c r="P262" s="57"/>
      <c r="Q262" s="57"/>
      <c r="R262" s="57"/>
      <c r="S262" s="157"/>
    </row>
    <row r="263" spans="1:19" x14ac:dyDescent="0.25">
      <c r="A263" s="64"/>
      <c r="B263" s="66"/>
      <c r="C263" s="86"/>
      <c r="D263" s="68"/>
      <c r="E263" s="66"/>
      <c r="F263" s="67"/>
      <c r="G263" s="53"/>
      <c r="H263" s="53"/>
      <c r="I263" s="53"/>
      <c r="J263" s="54" t="str">
        <f t="shared" si="7"/>
        <v/>
      </c>
      <c r="K263" s="54" t="str">
        <f t="shared" si="8"/>
        <v/>
      </c>
      <c r="L263" s="54"/>
      <c r="M263" s="54"/>
      <c r="N263" s="54"/>
      <c r="O263" s="57"/>
      <c r="P263" s="57"/>
      <c r="Q263" s="57"/>
      <c r="R263" s="57"/>
      <c r="S263" s="157"/>
    </row>
    <row r="264" spans="1:19" x14ac:dyDescent="0.25">
      <c r="A264" s="64"/>
      <c r="B264" s="66"/>
      <c r="C264" s="86"/>
      <c r="D264" s="68"/>
      <c r="E264" s="66"/>
      <c r="F264" s="67"/>
      <c r="G264" s="53"/>
      <c r="H264" s="53"/>
      <c r="I264" s="53"/>
      <c r="J264" s="54" t="str">
        <f t="shared" si="7"/>
        <v/>
      </c>
      <c r="K264" s="54" t="str">
        <f t="shared" si="8"/>
        <v/>
      </c>
      <c r="L264" s="54"/>
      <c r="M264" s="54"/>
      <c r="N264" s="54"/>
      <c r="O264" s="57"/>
      <c r="P264" s="57"/>
      <c r="Q264" s="57"/>
      <c r="R264" s="57"/>
      <c r="S264" s="157"/>
    </row>
    <row r="265" spans="1:19" x14ac:dyDescent="0.25">
      <c r="A265" s="64"/>
      <c r="B265" s="66"/>
      <c r="C265" s="85"/>
      <c r="D265" s="65"/>
      <c r="E265" s="66"/>
      <c r="F265" s="67"/>
      <c r="G265" s="53"/>
      <c r="H265" s="53"/>
      <c r="I265" s="53"/>
      <c r="J265" s="54" t="str">
        <f t="shared" si="7"/>
        <v/>
      </c>
      <c r="K265" s="54" t="str">
        <f t="shared" si="8"/>
        <v/>
      </c>
      <c r="L265" s="54"/>
      <c r="M265" s="54"/>
      <c r="N265" s="54"/>
      <c r="O265" s="57"/>
      <c r="P265" s="57"/>
      <c r="Q265" s="57"/>
      <c r="R265" s="57"/>
      <c r="S265" s="157"/>
    </row>
    <row r="266" spans="1:19" x14ac:dyDescent="0.25">
      <c r="A266" s="64"/>
      <c r="B266" s="66"/>
      <c r="C266" s="86"/>
      <c r="D266" s="68"/>
      <c r="E266" s="66"/>
      <c r="F266" s="67"/>
      <c r="G266" s="53"/>
      <c r="H266" s="53"/>
      <c r="I266" s="53"/>
      <c r="J266" s="54" t="str">
        <f t="shared" si="7"/>
        <v/>
      </c>
      <c r="K266" s="54" t="str">
        <f t="shared" si="8"/>
        <v/>
      </c>
      <c r="L266" s="54"/>
      <c r="M266" s="54"/>
      <c r="N266" s="54"/>
      <c r="O266" s="57"/>
      <c r="P266" s="57"/>
      <c r="Q266" s="57"/>
      <c r="R266" s="57"/>
      <c r="S266" s="157"/>
    </row>
    <row r="267" spans="1:19" x14ac:dyDescent="0.25">
      <c r="A267" s="64"/>
      <c r="B267" s="66"/>
      <c r="C267" s="85"/>
      <c r="D267" s="65"/>
      <c r="E267" s="66"/>
      <c r="F267" s="67"/>
      <c r="G267" s="53"/>
      <c r="H267" s="53"/>
      <c r="I267" s="53"/>
      <c r="J267" s="54" t="str">
        <f t="shared" si="7"/>
        <v/>
      </c>
      <c r="K267" s="54" t="str">
        <f t="shared" si="8"/>
        <v/>
      </c>
      <c r="L267" s="54"/>
      <c r="M267" s="54"/>
      <c r="N267" s="54"/>
      <c r="O267" s="57"/>
      <c r="P267" s="57"/>
      <c r="Q267" s="57"/>
      <c r="R267" s="57"/>
      <c r="S267" s="157"/>
    </row>
    <row r="268" spans="1:19" x14ac:dyDescent="0.25">
      <c r="A268" s="64"/>
      <c r="B268" s="66"/>
      <c r="C268" s="85"/>
      <c r="D268" s="65"/>
      <c r="E268" s="66"/>
      <c r="F268" s="67"/>
      <c r="G268" s="53"/>
      <c r="H268" s="53"/>
      <c r="I268" s="53"/>
      <c r="J268" s="54" t="str">
        <f t="shared" si="7"/>
        <v/>
      </c>
      <c r="K268" s="54" t="str">
        <f t="shared" si="8"/>
        <v/>
      </c>
      <c r="L268" s="54"/>
      <c r="M268" s="54"/>
      <c r="N268" s="54"/>
      <c r="O268" s="57"/>
      <c r="P268" s="57"/>
      <c r="Q268" s="57"/>
      <c r="R268" s="57"/>
      <c r="S268" s="157"/>
    </row>
    <row r="269" spans="1:19" x14ac:dyDescent="0.25">
      <c r="A269" s="64"/>
      <c r="B269" s="66"/>
      <c r="C269" s="86"/>
      <c r="D269" s="68"/>
      <c r="E269" s="66"/>
      <c r="F269" s="67"/>
      <c r="G269" s="53"/>
      <c r="H269" s="53"/>
      <c r="I269" s="53"/>
      <c r="J269" s="54" t="str">
        <f t="shared" si="7"/>
        <v/>
      </c>
      <c r="K269" s="54" t="str">
        <f t="shared" si="8"/>
        <v/>
      </c>
      <c r="L269" s="54"/>
      <c r="M269" s="54"/>
      <c r="N269" s="54"/>
      <c r="O269" s="57"/>
      <c r="P269" s="57"/>
      <c r="Q269" s="57"/>
      <c r="R269" s="57"/>
      <c r="S269" s="157"/>
    </row>
    <row r="270" spans="1:19" x14ac:dyDescent="0.25">
      <c r="A270" s="64"/>
      <c r="B270" s="66"/>
      <c r="C270" s="85"/>
      <c r="D270" s="65"/>
      <c r="E270" s="66"/>
      <c r="F270" s="67"/>
      <c r="G270" s="53"/>
      <c r="H270" s="53"/>
      <c r="I270" s="53"/>
      <c r="J270" s="54" t="str">
        <f t="shared" si="7"/>
        <v/>
      </c>
      <c r="K270" s="54" t="str">
        <f t="shared" si="8"/>
        <v/>
      </c>
      <c r="L270" s="54"/>
      <c r="M270" s="54"/>
      <c r="N270" s="54"/>
      <c r="O270" s="57"/>
      <c r="P270" s="57"/>
      <c r="Q270" s="57"/>
      <c r="R270" s="57"/>
      <c r="S270" s="157"/>
    </row>
    <row r="271" spans="1:19" x14ac:dyDescent="0.25">
      <c r="A271" s="64"/>
      <c r="B271" s="66"/>
      <c r="C271" s="85"/>
      <c r="D271" s="65"/>
      <c r="E271" s="66"/>
      <c r="F271" s="67"/>
      <c r="G271" s="53"/>
      <c r="H271" s="53"/>
      <c r="I271" s="53"/>
      <c r="J271" s="54" t="str">
        <f t="shared" si="7"/>
        <v/>
      </c>
      <c r="K271" s="54" t="str">
        <f t="shared" si="8"/>
        <v/>
      </c>
      <c r="L271" s="54"/>
      <c r="M271" s="54"/>
      <c r="N271" s="54"/>
      <c r="O271" s="57"/>
      <c r="P271" s="57"/>
      <c r="Q271" s="57"/>
      <c r="R271" s="57"/>
      <c r="S271" s="157"/>
    </row>
    <row r="272" spans="1:19" x14ac:dyDescent="0.25">
      <c r="A272" s="64"/>
      <c r="B272" s="66"/>
      <c r="C272" s="85"/>
      <c r="D272" s="65"/>
      <c r="E272" s="66"/>
      <c r="F272" s="67"/>
      <c r="G272" s="53"/>
      <c r="H272" s="53"/>
      <c r="I272" s="53"/>
      <c r="J272" s="54" t="str">
        <f t="shared" si="7"/>
        <v/>
      </c>
      <c r="K272" s="54" t="str">
        <f t="shared" si="8"/>
        <v/>
      </c>
      <c r="L272" s="54"/>
      <c r="M272" s="54"/>
      <c r="N272" s="54"/>
      <c r="O272" s="57"/>
      <c r="P272" s="57"/>
      <c r="Q272" s="57"/>
      <c r="R272" s="57"/>
      <c r="S272" s="157"/>
    </row>
    <row r="273" spans="1:19" x14ac:dyDescent="0.25">
      <c r="A273" s="64"/>
      <c r="B273" s="66"/>
      <c r="C273" s="85"/>
      <c r="D273" s="65"/>
      <c r="E273" s="66"/>
      <c r="F273" s="67"/>
      <c r="G273" s="53"/>
      <c r="H273" s="53"/>
      <c r="I273" s="53"/>
      <c r="J273" s="54" t="str">
        <f t="shared" si="7"/>
        <v/>
      </c>
      <c r="K273" s="54" t="str">
        <f t="shared" si="8"/>
        <v/>
      </c>
      <c r="L273" s="54"/>
      <c r="M273" s="54"/>
      <c r="N273" s="54"/>
      <c r="O273" s="57"/>
      <c r="P273" s="57"/>
      <c r="Q273" s="57"/>
      <c r="R273" s="57"/>
      <c r="S273" s="157"/>
    </row>
    <row r="274" spans="1:19" x14ac:dyDescent="0.25">
      <c r="A274" s="64"/>
      <c r="B274" s="66"/>
      <c r="C274" s="85"/>
      <c r="D274" s="65"/>
      <c r="E274" s="66"/>
      <c r="F274" s="67"/>
      <c r="G274" s="53"/>
      <c r="H274" s="53"/>
      <c r="I274" s="53"/>
      <c r="J274" s="54" t="str">
        <f t="shared" si="7"/>
        <v/>
      </c>
      <c r="K274" s="54" t="str">
        <f t="shared" si="8"/>
        <v/>
      </c>
      <c r="L274" s="54"/>
      <c r="M274" s="54"/>
      <c r="N274" s="54"/>
      <c r="O274" s="57"/>
      <c r="P274" s="57"/>
      <c r="Q274" s="57"/>
      <c r="R274" s="57"/>
      <c r="S274" s="157"/>
    </row>
    <row r="275" spans="1:19" x14ac:dyDescent="0.25">
      <c r="A275" s="64"/>
      <c r="B275" s="66"/>
      <c r="C275" s="86"/>
      <c r="D275" s="68"/>
      <c r="E275" s="66"/>
      <c r="F275" s="67"/>
      <c r="G275" s="53"/>
      <c r="H275" s="53"/>
      <c r="I275" s="53"/>
      <c r="J275" s="54" t="str">
        <f t="shared" si="7"/>
        <v/>
      </c>
      <c r="K275" s="54" t="str">
        <f t="shared" si="8"/>
        <v/>
      </c>
      <c r="L275" s="54"/>
      <c r="M275" s="54"/>
      <c r="N275" s="54"/>
      <c r="O275" s="57"/>
      <c r="P275" s="57"/>
      <c r="Q275" s="57"/>
      <c r="R275" s="57"/>
      <c r="S275" s="157"/>
    </row>
    <row r="276" spans="1:19" x14ac:dyDescent="0.25">
      <c r="A276" s="64"/>
      <c r="B276" s="66"/>
      <c r="C276" s="86"/>
      <c r="D276" s="68"/>
      <c r="E276" s="66"/>
      <c r="F276" s="67"/>
      <c r="G276" s="53"/>
      <c r="H276" s="53"/>
      <c r="I276" s="53"/>
      <c r="J276" s="54" t="str">
        <f t="shared" ref="J276:J330" si="9">IF(G276="","",J275-G276)</f>
        <v/>
      </c>
      <c r="K276" s="54" t="str">
        <f t="shared" ref="K276:K330" si="10">IF(G276="","",K275+G276)</f>
        <v/>
      </c>
      <c r="L276" s="54"/>
      <c r="M276" s="54"/>
      <c r="N276" s="54"/>
      <c r="O276" s="57"/>
      <c r="P276" s="57"/>
      <c r="Q276" s="57"/>
      <c r="R276" s="57"/>
      <c r="S276" s="157"/>
    </row>
    <row r="277" spans="1:19" x14ac:dyDescent="0.25">
      <c r="A277" s="64"/>
      <c r="B277" s="66"/>
      <c r="C277" s="86"/>
      <c r="D277" s="68"/>
      <c r="E277" s="66"/>
      <c r="F277" s="67"/>
      <c r="G277" s="53"/>
      <c r="H277" s="53"/>
      <c r="I277" s="53"/>
      <c r="J277" s="54" t="str">
        <f t="shared" si="9"/>
        <v/>
      </c>
      <c r="K277" s="54" t="str">
        <f t="shared" si="10"/>
        <v/>
      </c>
      <c r="L277" s="54"/>
      <c r="M277" s="54"/>
      <c r="N277" s="54"/>
      <c r="O277" s="57"/>
      <c r="P277" s="57"/>
      <c r="Q277" s="57"/>
      <c r="R277" s="57"/>
      <c r="S277" s="157"/>
    </row>
    <row r="278" spans="1:19" x14ac:dyDescent="0.25">
      <c r="A278" s="64"/>
      <c r="B278" s="66"/>
      <c r="C278" s="86"/>
      <c r="D278" s="68"/>
      <c r="E278" s="66"/>
      <c r="F278" s="67"/>
      <c r="G278" s="53"/>
      <c r="H278" s="53"/>
      <c r="I278" s="53"/>
      <c r="J278" s="54" t="str">
        <f t="shared" si="9"/>
        <v/>
      </c>
      <c r="K278" s="54" t="str">
        <f t="shared" si="10"/>
        <v/>
      </c>
      <c r="L278" s="54"/>
      <c r="M278" s="54"/>
      <c r="N278" s="54"/>
      <c r="O278" s="57"/>
      <c r="P278" s="57"/>
      <c r="Q278" s="57"/>
      <c r="R278" s="57"/>
      <c r="S278" s="157"/>
    </row>
    <row r="279" spans="1:19" x14ac:dyDescent="0.25">
      <c r="A279" s="64"/>
      <c r="B279" s="66"/>
      <c r="C279" s="85"/>
      <c r="D279" s="65"/>
      <c r="E279" s="66"/>
      <c r="F279" s="67"/>
      <c r="G279" s="53"/>
      <c r="H279" s="53"/>
      <c r="I279" s="53"/>
      <c r="J279" s="54" t="str">
        <f t="shared" si="9"/>
        <v/>
      </c>
      <c r="K279" s="54" t="str">
        <f t="shared" si="10"/>
        <v/>
      </c>
      <c r="L279" s="54"/>
      <c r="M279" s="54"/>
      <c r="N279" s="54"/>
      <c r="O279" s="57"/>
      <c r="P279" s="57"/>
      <c r="Q279" s="57"/>
      <c r="R279" s="57"/>
      <c r="S279" s="157"/>
    </row>
    <row r="280" spans="1:19" x14ac:dyDescent="0.25">
      <c r="A280" s="64"/>
      <c r="B280" s="66"/>
      <c r="C280" s="85"/>
      <c r="D280" s="65"/>
      <c r="E280" s="66"/>
      <c r="F280" s="67"/>
      <c r="G280" s="53"/>
      <c r="H280" s="53"/>
      <c r="I280" s="53"/>
      <c r="J280" s="54" t="str">
        <f t="shared" si="9"/>
        <v/>
      </c>
      <c r="K280" s="54" t="str">
        <f t="shared" si="10"/>
        <v/>
      </c>
      <c r="L280" s="54"/>
      <c r="M280" s="54"/>
      <c r="N280" s="54"/>
      <c r="O280" s="57"/>
      <c r="P280" s="57"/>
      <c r="Q280" s="57"/>
      <c r="R280" s="57"/>
      <c r="S280" s="157"/>
    </row>
    <row r="281" spans="1:19" x14ac:dyDescent="0.25">
      <c r="A281" s="64"/>
      <c r="B281" s="66"/>
      <c r="C281" s="85"/>
      <c r="D281" s="65"/>
      <c r="E281" s="66"/>
      <c r="F281" s="67"/>
      <c r="G281" s="53"/>
      <c r="H281" s="53"/>
      <c r="I281" s="53"/>
      <c r="J281" s="54" t="str">
        <f t="shared" si="9"/>
        <v/>
      </c>
      <c r="K281" s="54" t="str">
        <f t="shared" si="10"/>
        <v/>
      </c>
      <c r="L281" s="54"/>
      <c r="M281" s="54"/>
      <c r="N281" s="54"/>
      <c r="O281" s="57"/>
      <c r="P281" s="57"/>
      <c r="Q281" s="57"/>
      <c r="R281" s="57"/>
      <c r="S281" s="157"/>
    </row>
    <row r="282" spans="1:19" x14ac:dyDescent="0.25">
      <c r="A282" s="64"/>
      <c r="B282" s="66"/>
      <c r="C282" s="85"/>
      <c r="D282" s="65"/>
      <c r="E282" s="66"/>
      <c r="F282" s="67"/>
      <c r="G282" s="53"/>
      <c r="H282" s="53"/>
      <c r="I282" s="53"/>
      <c r="J282" s="54" t="str">
        <f t="shared" si="9"/>
        <v/>
      </c>
      <c r="K282" s="54" t="str">
        <f t="shared" si="10"/>
        <v/>
      </c>
      <c r="L282" s="54"/>
      <c r="M282" s="54"/>
      <c r="N282" s="54"/>
      <c r="O282" s="57"/>
      <c r="P282" s="57"/>
      <c r="Q282" s="57"/>
      <c r="R282" s="57"/>
      <c r="S282" s="157"/>
    </row>
    <row r="283" spans="1:19" x14ac:dyDescent="0.25">
      <c r="A283" s="64"/>
      <c r="B283" s="66"/>
      <c r="C283" s="85"/>
      <c r="D283" s="65"/>
      <c r="E283" s="66"/>
      <c r="F283" s="67"/>
      <c r="G283" s="53"/>
      <c r="H283" s="53"/>
      <c r="I283" s="53"/>
      <c r="J283" s="54" t="str">
        <f t="shared" si="9"/>
        <v/>
      </c>
      <c r="K283" s="54" t="str">
        <f t="shared" si="10"/>
        <v/>
      </c>
      <c r="L283" s="54"/>
      <c r="M283" s="54"/>
      <c r="N283" s="54"/>
      <c r="O283" s="57"/>
      <c r="P283" s="57"/>
      <c r="Q283" s="57"/>
      <c r="R283" s="57"/>
      <c r="S283" s="157"/>
    </row>
    <row r="284" spans="1:19" x14ac:dyDescent="0.25">
      <c r="A284" s="64"/>
      <c r="B284" s="66"/>
      <c r="C284" s="85"/>
      <c r="D284" s="65"/>
      <c r="E284" s="66"/>
      <c r="F284" s="67"/>
      <c r="G284" s="53"/>
      <c r="H284" s="53"/>
      <c r="I284" s="53"/>
      <c r="J284" s="54" t="str">
        <f t="shared" si="9"/>
        <v/>
      </c>
      <c r="K284" s="54" t="str">
        <f t="shared" si="10"/>
        <v/>
      </c>
      <c r="L284" s="54"/>
      <c r="M284" s="54"/>
      <c r="N284" s="54"/>
      <c r="O284" s="57"/>
      <c r="P284" s="57"/>
      <c r="Q284" s="57"/>
      <c r="R284" s="57"/>
      <c r="S284" s="157"/>
    </row>
    <row r="285" spans="1:19" x14ac:dyDescent="0.25">
      <c r="A285" s="64"/>
      <c r="B285" s="66"/>
      <c r="C285" s="85"/>
      <c r="D285" s="65"/>
      <c r="E285" s="66"/>
      <c r="F285" s="67"/>
      <c r="G285" s="53"/>
      <c r="H285" s="53"/>
      <c r="I285" s="53"/>
      <c r="J285" s="54" t="str">
        <f t="shared" si="9"/>
        <v/>
      </c>
      <c r="K285" s="54" t="str">
        <f t="shared" si="10"/>
        <v/>
      </c>
      <c r="L285" s="54"/>
      <c r="M285" s="54"/>
      <c r="N285" s="54"/>
      <c r="O285" s="57"/>
      <c r="P285" s="57"/>
      <c r="Q285" s="57"/>
      <c r="R285" s="57"/>
      <c r="S285" s="157"/>
    </row>
    <row r="286" spans="1:19" x14ac:dyDescent="0.25">
      <c r="A286" s="64"/>
      <c r="B286" s="66"/>
      <c r="C286" s="85"/>
      <c r="D286" s="65"/>
      <c r="E286" s="66"/>
      <c r="F286" s="67"/>
      <c r="G286" s="53"/>
      <c r="H286" s="53"/>
      <c r="I286" s="53"/>
      <c r="J286" s="54" t="str">
        <f t="shared" si="9"/>
        <v/>
      </c>
      <c r="K286" s="54" t="str">
        <f t="shared" si="10"/>
        <v/>
      </c>
      <c r="L286" s="54"/>
      <c r="M286" s="54"/>
      <c r="N286" s="54"/>
      <c r="O286" s="57"/>
      <c r="P286" s="57"/>
      <c r="Q286" s="57"/>
      <c r="R286" s="57"/>
      <c r="S286" s="157"/>
    </row>
    <row r="287" spans="1:19" x14ac:dyDescent="0.25">
      <c r="A287" s="64"/>
      <c r="B287" s="66"/>
      <c r="C287" s="86"/>
      <c r="D287" s="68"/>
      <c r="E287" s="66"/>
      <c r="F287" s="67"/>
      <c r="G287" s="53"/>
      <c r="H287" s="53"/>
      <c r="I287" s="53"/>
      <c r="J287" s="54" t="str">
        <f t="shared" si="9"/>
        <v/>
      </c>
      <c r="K287" s="54" t="str">
        <f t="shared" si="10"/>
        <v/>
      </c>
      <c r="L287" s="54"/>
      <c r="M287" s="54"/>
      <c r="N287" s="54"/>
      <c r="O287" s="57"/>
      <c r="P287" s="57"/>
      <c r="Q287" s="57"/>
      <c r="R287" s="57"/>
      <c r="S287" s="157"/>
    </row>
    <row r="288" spans="1:19" x14ac:dyDescent="0.25">
      <c r="A288" s="64"/>
      <c r="B288" s="66"/>
      <c r="C288" s="86"/>
      <c r="D288" s="68"/>
      <c r="E288" s="66"/>
      <c r="F288" s="67"/>
      <c r="G288" s="53"/>
      <c r="H288" s="53"/>
      <c r="I288" s="53"/>
      <c r="J288" s="54" t="str">
        <f t="shared" si="9"/>
        <v/>
      </c>
      <c r="K288" s="54" t="str">
        <f t="shared" si="10"/>
        <v/>
      </c>
      <c r="L288" s="54"/>
      <c r="M288" s="54"/>
      <c r="N288" s="54"/>
      <c r="O288" s="57"/>
      <c r="P288" s="57"/>
      <c r="Q288" s="57"/>
      <c r="R288" s="57"/>
      <c r="S288" s="157"/>
    </row>
    <row r="289" spans="1:19" x14ac:dyDescent="0.25">
      <c r="A289" s="64"/>
      <c r="B289" s="66"/>
      <c r="C289" s="85"/>
      <c r="D289" s="65"/>
      <c r="E289" s="66"/>
      <c r="F289" s="67"/>
      <c r="G289" s="53"/>
      <c r="H289" s="53"/>
      <c r="I289" s="53"/>
      <c r="J289" s="54" t="str">
        <f t="shared" si="9"/>
        <v/>
      </c>
      <c r="K289" s="54" t="str">
        <f t="shared" si="10"/>
        <v/>
      </c>
      <c r="L289" s="54"/>
      <c r="M289" s="54"/>
      <c r="N289" s="54"/>
      <c r="O289" s="57"/>
      <c r="P289" s="57"/>
      <c r="Q289" s="57"/>
      <c r="R289" s="57"/>
      <c r="S289" s="157"/>
    </row>
    <row r="290" spans="1:19" x14ac:dyDescent="0.25">
      <c r="A290" s="64"/>
      <c r="B290" s="66"/>
      <c r="C290" s="85"/>
      <c r="D290" s="65"/>
      <c r="E290" s="66"/>
      <c r="F290" s="67"/>
      <c r="G290" s="53"/>
      <c r="H290" s="53"/>
      <c r="I290" s="53"/>
      <c r="J290" s="54" t="str">
        <f t="shared" si="9"/>
        <v/>
      </c>
      <c r="K290" s="54" t="str">
        <f t="shared" si="10"/>
        <v/>
      </c>
      <c r="L290" s="54"/>
      <c r="M290" s="54"/>
      <c r="N290" s="54"/>
      <c r="O290" s="57"/>
      <c r="P290" s="57"/>
      <c r="Q290" s="57"/>
      <c r="R290" s="57"/>
      <c r="S290" s="157"/>
    </row>
    <row r="291" spans="1:19" x14ac:dyDescent="0.25">
      <c r="A291" s="64"/>
      <c r="B291" s="66"/>
      <c r="C291" s="85"/>
      <c r="D291" s="65"/>
      <c r="E291" s="66"/>
      <c r="F291" s="67"/>
      <c r="G291" s="53"/>
      <c r="H291" s="53"/>
      <c r="I291" s="53"/>
      <c r="J291" s="54" t="str">
        <f t="shared" si="9"/>
        <v/>
      </c>
      <c r="K291" s="54" t="str">
        <f t="shared" si="10"/>
        <v/>
      </c>
      <c r="L291" s="54"/>
      <c r="M291" s="54"/>
      <c r="N291" s="54"/>
      <c r="O291" s="57"/>
      <c r="P291" s="57"/>
      <c r="Q291" s="57"/>
      <c r="R291" s="57"/>
      <c r="S291" s="157"/>
    </row>
    <row r="292" spans="1:19" x14ac:dyDescent="0.25">
      <c r="A292" s="64"/>
      <c r="B292" s="66"/>
      <c r="C292" s="86"/>
      <c r="D292" s="68"/>
      <c r="E292" s="66"/>
      <c r="F292" s="67"/>
      <c r="G292" s="53"/>
      <c r="H292" s="53"/>
      <c r="I292" s="53"/>
      <c r="J292" s="54" t="str">
        <f t="shared" si="9"/>
        <v/>
      </c>
      <c r="K292" s="54" t="str">
        <f t="shared" si="10"/>
        <v/>
      </c>
      <c r="L292" s="54"/>
      <c r="M292" s="54"/>
      <c r="N292" s="54"/>
      <c r="O292" s="57"/>
      <c r="P292" s="57"/>
      <c r="Q292" s="57"/>
      <c r="R292" s="57"/>
      <c r="S292" s="157"/>
    </row>
    <row r="293" spans="1:19" x14ac:dyDescent="0.25">
      <c r="A293" s="64"/>
      <c r="B293" s="66"/>
      <c r="C293" s="85"/>
      <c r="D293" s="65"/>
      <c r="E293" s="66"/>
      <c r="F293" s="67"/>
      <c r="G293" s="53"/>
      <c r="H293" s="53"/>
      <c r="I293" s="53"/>
      <c r="J293" s="54" t="str">
        <f t="shared" si="9"/>
        <v/>
      </c>
      <c r="K293" s="54" t="str">
        <f t="shared" si="10"/>
        <v/>
      </c>
      <c r="L293" s="54"/>
      <c r="M293" s="54"/>
      <c r="N293" s="54"/>
      <c r="O293" s="57"/>
      <c r="P293" s="57"/>
      <c r="Q293" s="57"/>
      <c r="R293" s="57"/>
      <c r="S293" s="157"/>
    </row>
    <row r="294" spans="1:19" x14ac:dyDescent="0.25">
      <c r="A294" s="64"/>
      <c r="B294" s="66"/>
      <c r="C294" s="86"/>
      <c r="D294" s="68"/>
      <c r="E294" s="66"/>
      <c r="F294" s="67"/>
      <c r="G294" s="53"/>
      <c r="H294" s="53"/>
      <c r="I294" s="53"/>
      <c r="J294" s="54" t="str">
        <f t="shared" si="9"/>
        <v/>
      </c>
      <c r="K294" s="54" t="str">
        <f t="shared" si="10"/>
        <v/>
      </c>
      <c r="L294" s="54"/>
      <c r="M294" s="54"/>
      <c r="N294" s="54"/>
      <c r="O294" s="57"/>
      <c r="P294" s="57"/>
      <c r="Q294" s="57"/>
      <c r="R294" s="57"/>
      <c r="S294" s="157"/>
    </row>
    <row r="295" spans="1:19" x14ac:dyDescent="0.25">
      <c r="A295" s="64"/>
      <c r="B295" s="66"/>
      <c r="C295" s="86"/>
      <c r="D295" s="68"/>
      <c r="E295" s="66"/>
      <c r="F295" s="67"/>
      <c r="G295" s="53"/>
      <c r="H295" s="53"/>
      <c r="I295" s="53"/>
      <c r="J295" s="54" t="str">
        <f t="shared" si="9"/>
        <v/>
      </c>
      <c r="K295" s="54" t="str">
        <f t="shared" si="10"/>
        <v/>
      </c>
      <c r="L295" s="54"/>
      <c r="M295" s="54"/>
      <c r="N295" s="54"/>
      <c r="O295" s="57"/>
      <c r="P295" s="57"/>
      <c r="Q295" s="57"/>
      <c r="R295" s="57"/>
      <c r="S295" s="157"/>
    </row>
    <row r="296" spans="1:19" x14ac:dyDescent="0.25">
      <c r="A296" s="64"/>
      <c r="B296" s="66"/>
      <c r="C296" s="86"/>
      <c r="D296" s="68"/>
      <c r="E296" s="66"/>
      <c r="F296" s="67"/>
      <c r="G296" s="53"/>
      <c r="H296" s="53"/>
      <c r="I296" s="53"/>
      <c r="J296" s="54" t="str">
        <f t="shared" si="9"/>
        <v/>
      </c>
      <c r="K296" s="54" t="str">
        <f t="shared" si="10"/>
        <v/>
      </c>
      <c r="L296" s="54"/>
      <c r="M296" s="54"/>
      <c r="N296" s="54"/>
      <c r="O296" s="57"/>
      <c r="P296" s="57"/>
      <c r="Q296" s="57"/>
      <c r="R296" s="57"/>
      <c r="S296" s="157"/>
    </row>
    <row r="297" spans="1:19" x14ac:dyDescent="0.25">
      <c r="A297" s="64"/>
      <c r="B297" s="66"/>
      <c r="C297" s="86"/>
      <c r="D297" s="68"/>
      <c r="E297" s="66"/>
      <c r="F297" s="67"/>
      <c r="G297" s="53"/>
      <c r="H297" s="53"/>
      <c r="I297" s="53"/>
      <c r="J297" s="54" t="str">
        <f t="shared" si="9"/>
        <v/>
      </c>
      <c r="K297" s="54" t="str">
        <f t="shared" si="10"/>
        <v/>
      </c>
      <c r="L297" s="54"/>
      <c r="M297" s="54"/>
      <c r="N297" s="54"/>
      <c r="O297" s="57"/>
      <c r="P297" s="57"/>
      <c r="Q297" s="57"/>
      <c r="R297" s="57"/>
      <c r="S297" s="157"/>
    </row>
    <row r="298" spans="1:19" x14ac:dyDescent="0.25">
      <c r="A298" s="64"/>
      <c r="B298" s="66"/>
      <c r="C298" s="86"/>
      <c r="D298" s="68"/>
      <c r="E298" s="66"/>
      <c r="F298" s="67"/>
      <c r="G298" s="53"/>
      <c r="H298" s="53"/>
      <c r="I298" s="53"/>
      <c r="J298" s="54" t="str">
        <f t="shared" si="9"/>
        <v/>
      </c>
      <c r="K298" s="54" t="str">
        <f t="shared" si="10"/>
        <v/>
      </c>
      <c r="L298" s="54"/>
      <c r="M298" s="54"/>
      <c r="N298" s="54"/>
      <c r="O298" s="57"/>
      <c r="P298" s="57"/>
      <c r="Q298" s="57"/>
      <c r="R298" s="57"/>
      <c r="S298" s="157"/>
    </row>
    <row r="299" spans="1:19" x14ac:dyDescent="0.25">
      <c r="A299" s="64"/>
      <c r="B299" s="66"/>
      <c r="C299" s="86"/>
      <c r="D299" s="68"/>
      <c r="E299" s="66"/>
      <c r="F299" s="67"/>
      <c r="G299" s="53"/>
      <c r="H299" s="53"/>
      <c r="I299" s="53"/>
      <c r="J299" s="54" t="str">
        <f t="shared" si="9"/>
        <v/>
      </c>
      <c r="K299" s="54" t="str">
        <f t="shared" si="10"/>
        <v/>
      </c>
      <c r="L299" s="54"/>
      <c r="M299" s="54"/>
      <c r="N299" s="54"/>
      <c r="O299" s="57"/>
      <c r="P299" s="57"/>
      <c r="Q299" s="57"/>
      <c r="R299" s="57"/>
      <c r="S299" s="157"/>
    </row>
    <row r="300" spans="1:19" x14ac:dyDescent="0.25">
      <c r="A300" s="64"/>
      <c r="B300" s="66"/>
      <c r="C300" s="86"/>
      <c r="D300" s="68"/>
      <c r="E300" s="66"/>
      <c r="F300" s="67"/>
      <c r="G300" s="53"/>
      <c r="H300" s="53"/>
      <c r="I300" s="53"/>
      <c r="J300" s="54" t="str">
        <f t="shared" si="9"/>
        <v/>
      </c>
      <c r="K300" s="54" t="str">
        <f t="shared" si="10"/>
        <v/>
      </c>
      <c r="L300" s="54"/>
      <c r="M300" s="54"/>
      <c r="N300" s="54"/>
      <c r="O300" s="57"/>
      <c r="P300" s="57"/>
      <c r="Q300" s="57"/>
      <c r="R300" s="57"/>
      <c r="S300" s="157"/>
    </row>
    <row r="301" spans="1:19" x14ac:dyDescent="0.25">
      <c r="A301" s="64"/>
      <c r="B301" s="66"/>
      <c r="C301" s="86"/>
      <c r="D301" s="68"/>
      <c r="E301" s="66"/>
      <c r="F301" s="67"/>
      <c r="G301" s="72"/>
      <c r="H301" s="72"/>
      <c r="I301" s="72"/>
      <c r="J301" s="54" t="str">
        <f t="shared" si="9"/>
        <v/>
      </c>
      <c r="K301" s="54" t="str">
        <f t="shared" si="10"/>
        <v/>
      </c>
      <c r="L301" s="54"/>
      <c r="M301" s="54"/>
      <c r="N301" s="54"/>
      <c r="O301" s="57"/>
      <c r="P301" s="57"/>
      <c r="Q301" s="57"/>
      <c r="R301" s="57"/>
      <c r="S301" s="157"/>
    </row>
    <row r="302" spans="1:19" x14ac:dyDescent="0.25">
      <c r="A302" s="64"/>
      <c r="B302" s="66"/>
      <c r="C302" s="85"/>
      <c r="D302" s="65"/>
      <c r="E302" s="66"/>
      <c r="F302" s="67"/>
      <c r="G302" s="53"/>
      <c r="H302" s="53"/>
      <c r="I302" s="53"/>
      <c r="J302" s="54" t="str">
        <f t="shared" si="9"/>
        <v/>
      </c>
      <c r="K302" s="54" t="str">
        <f t="shared" si="10"/>
        <v/>
      </c>
      <c r="L302" s="54"/>
      <c r="M302" s="54"/>
      <c r="N302" s="54"/>
      <c r="O302" s="57"/>
      <c r="P302" s="57"/>
      <c r="Q302" s="57"/>
      <c r="R302" s="57"/>
      <c r="S302" s="157"/>
    </row>
    <row r="303" spans="1:19" x14ac:dyDescent="0.25">
      <c r="A303" s="64"/>
      <c r="B303" s="66"/>
      <c r="C303" s="85"/>
      <c r="D303" s="65"/>
      <c r="E303" s="66"/>
      <c r="F303" s="67"/>
      <c r="G303" s="53"/>
      <c r="H303" s="53"/>
      <c r="I303" s="53"/>
      <c r="J303" s="54" t="str">
        <f t="shared" si="9"/>
        <v/>
      </c>
      <c r="K303" s="54" t="str">
        <f t="shared" si="10"/>
        <v/>
      </c>
      <c r="L303" s="54"/>
      <c r="M303" s="54"/>
      <c r="N303" s="54"/>
      <c r="O303" s="57"/>
      <c r="P303" s="57"/>
      <c r="Q303" s="57"/>
      <c r="R303" s="57"/>
      <c r="S303" s="157"/>
    </row>
    <row r="304" spans="1:19" x14ac:dyDescent="0.25">
      <c r="A304" s="64"/>
      <c r="B304" s="66"/>
      <c r="C304" s="85"/>
      <c r="D304" s="65"/>
      <c r="E304" s="66"/>
      <c r="F304" s="67"/>
      <c r="G304" s="53"/>
      <c r="H304" s="53"/>
      <c r="I304" s="53"/>
      <c r="J304" s="54" t="str">
        <f t="shared" si="9"/>
        <v/>
      </c>
      <c r="K304" s="54" t="str">
        <f t="shared" si="10"/>
        <v/>
      </c>
      <c r="L304" s="54"/>
      <c r="M304" s="54"/>
      <c r="N304" s="54"/>
      <c r="O304" s="57"/>
      <c r="P304" s="57"/>
      <c r="Q304" s="57"/>
      <c r="R304" s="57"/>
      <c r="S304" s="157"/>
    </row>
    <row r="305" spans="1:19" x14ac:dyDescent="0.25">
      <c r="A305" s="64"/>
      <c r="B305" s="66"/>
      <c r="C305" s="85"/>
      <c r="D305" s="65"/>
      <c r="E305" s="66"/>
      <c r="F305" s="67"/>
      <c r="G305" s="53"/>
      <c r="H305" s="53"/>
      <c r="I305" s="53"/>
      <c r="J305" s="54" t="str">
        <f t="shared" si="9"/>
        <v/>
      </c>
      <c r="K305" s="54" t="str">
        <f t="shared" si="10"/>
        <v/>
      </c>
      <c r="L305" s="54"/>
      <c r="M305" s="54"/>
      <c r="N305" s="54"/>
      <c r="O305" s="57"/>
      <c r="P305" s="57"/>
      <c r="Q305" s="57"/>
      <c r="R305" s="57"/>
      <c r="S305" s="157"/>
    </row>
    <row r="306" spans="1:19" x14ac:dyDescent="0.25">
      <c r="A306" s="64"/>
      <c r="B306" s="66"/>
      <c r="C306" s="85"/>
      <c r="D306" s="65"/>
      <c r="E306" s="66"/>
      <c r="F306" s="67"/>
      <c r="G306" s="53"/>
      <c r="H306" s="53"/>
      <c r="I306" s="53"/>
      <c r="J306" s="54" t="str">
        <f t="shared" si="9"/>
        <v/>
      </c>
      <c r="K306" s="54" t="str">
        <f t="shared" si="10"/>
        <v/>
      </c>
      <c r="L306" s="54"/>
      <c r="M306" s="54"/>
      <c r="N306" s="54"/>
      <c r="O306" s="57"/>
      <c r="P306" s="57"/>
      <c r="Q306" s="57"/>
      <c r="R306" s="57"/>
      <c r="S306" s="157"/>
    </row>
    <row r="307" spans="1:19" x14ac:dyDescent="0.25">
      <c r="A307" s="64"/>
      <c r="B307" s="66"/>
      <c r="C307" s="85"/>
      <c r="D307" s="65"/>
      <c r="E307" s="66"/>
      <c r="F307" s="67"/>
      <c r="G307" s="53"/>
      <c r="H307" s="53"/>
      <c r="I307" s="53"/>
      <c r="J307" s="54" t="str">
        <f t="shared" si="9"/>
        <v/>
      </c>
      <c r="K307" s="54" t="str">
        <f t="shared" si="10"/>
        <v/>
      </c>
      <c r="L307" s="54"/>
      <c r="M307" s="54"/>
      <c r="N307" s="54"/>
      <c r="O307" s="57"/>
      <c r="P307" s="57"/>
      <c r="Q307" s="57"/>
      <c r="R307" s="57"/>
      <c r="S307" s="157"/>
    </row>
    <row r="308" spans="1:19" x14ac:dyDescent="0.25">
      <c r="A308" s="64"/>
      <c r="B308" s="73"/>
      <c r="C308" s="85"/>
      <c r="D308" s="65"/>
      <c r="E308" s="66"/>
      <c r="F308" s="67"/>
      <c r="G308" s="53"/>
      <c r="H308" s="53"/>
      <c r="I308" s="53"/>
      <c r="J308" s="54" t="str">
        <f t="shared" si="9"/>
        <v/>
      </c>
      <c r="K308" s="54" t="str">
        <f t="shared" si="10"/>
        <v/>
      </c>
      <c r="L308" s="54"/>
      <c r="M308" s="54"/>
      <c r="N308" s="54"/>
      <c r="O308" s="57"/>
      <c r="P308" s="57"/>
      <c r="Q308" s="57"/>
      <c r="R308" s="57"/>
      <c r="S308" s="157"/>
    </row>
    <row r="309" spans="1:19" x14ac:dyDescent="0.25">
      <c r="A309" s="64"/>
      <c r="B309" s="73"/>
      <c r="C309" s="85"/>
      <c r="D309" s="65"/>
      <c r="E309" s="66"/>
      <c r="F309" s="67"/>
      <c r="G309" s="53"/>
      <c r="H309" s="53"/>
      <c r="I309" s="53"/>
      <c r="J309" s="54" t="str">
        <f t="shared" si="9"/>
        <v/>
      </c>
      <c r="K309" s="54" t="str">
        <f t="shared" si="10"/>
        <v/>
      </c>
      <c r="L309" s="54"/>
      <c r="M309" s="54"/>
      <c r="N309" s="54"/>
      <c r="O309" s="57"/>
      <c r="P309" s="57"/>
      <c r="Q309" s="57"/>
      <c r="R309" s="57"/>
      <c r="S309" s="157"/>
    </row>
    <row r="310" spans="1:19" x14ac:dyDescent="0.25">
      <c r="A310" s="64"/>
      <c r="B310" s="73"/>
      <c r="C310" s="85"/>
      <c r="D310" s="65"/>
      <c r="E310" s="66"/>
      <c r="F310" s="67"/>
      <c r="G310" s="53"/>
      <c r="H310" s="53"/>
      <c r="I310" s="53"/>
      <c r="J310" s="54" t="str">
        <f t="shared" si="9"/>
        <v/>
      </c>
      <c r="K310" s="54" t="str">
        <f t="shared" si="10"/>
        <v/>
      </c>
      <c r="L310" s="54"/>
      <c r="M310" s="54"/>
      <c r="N310" s="54"/>
      <c r="O310" s="57"/>
      <c r="P310" s="57"/>
      <c r="Q310" s="57"/>
      <c r="R310" s="57"/>
      <c r="S310" s="157"/>
    </row>
    <row r="311" spans="1:19" x14ac:dyDescent="0.25">
      <c r="A311" s="64"/>
      <c r="B311" s="73"/>
      <c r="C311" s="85"/>
      <c r="D311" s="65"/>
      <c r="E311" s="66"/>
      <c r="F311" s="67"/>
      <c r="G311" s="53"/>
      <c r="H311" s="53"/>
      <c r="I311" s="53"/>
      <c r="J311" s="54" t="str">
        <f t="shared" si="9"/>
        <v/>
      </c>
      <c r="K311" s="54" t="str">
        <f t="shared" si="10"/>
        <v/>
      </c>
      <c r="L311" s="54"/>
      <c r="M311" s="54"/>
      <c r="N311" s="54"/>
      <c r="O311" s="57"/>
      <c r="P311" s="57"/>
      <c r="Q311" s="57"/>
      <c r="R311" s="57"/>
      <c r="S311" s="157"/>
    </row>
    <row r="312" spans="1:19" x14ac:dyDescent="0.25">
      <c r="A312" s="64"/>
      <c r="B312" s="73"/>
      <c r="C312" s="85"/>
      <c r="D312" s="65"/>
      <c r="E312" s="66"/>
      <c r="F312" s="67"/>
      <c r="G312" s="53"/>
      <c r="H312" s="53"/>
      <c r="I312" s="53"/>
      <c r="J312" s="54" t="str">
        <f t="shared" si="9"/>
        <v/>
      </c>
      <c r="K312" s="54" t="str">
        <f t="shared" si="10"/>
        <v/>
      </c>
      <c r="L312" s="54"/>
      <c r="M312" s="54"/>
      <c r="N312" s="54"/>
      <c r="O312" s="57"/>
      <c r="P312" s="57"/>
      <c r="Q312" s="57"/>
      <c r="R312" s="57"/>
      <c r="S312" s="157"/>
    </row>
    <row r="313" spans="1:19" x14ac:dyDescent="0.25">
      <c r="A313" s="64"/>
      <c r="B313" s="73"/>
      <c r="C313" s="85"/>
      <c r="D313" s="65"/>
      <c r="E313" s="66"/>
      <c r="F313" s="67"/>
      <c r="G313" s="53"/>
      <c r="H313" s="53"/>
      <c r="I313" s="53"/>
      <c r="J313" s="54" t="str">
        <f t="shared" si="9"/>
        <v/>
      </c>
      <c r="K313" s="54" t="str">
        <f t="shared" si="10"/>
        <v/>
      </c>
      <c r="L313" s="54"/>
      <c r="M313" s="54"/>
      <c r="N313" s="54"/>
      <c r="O313" s="57"/>
      <c r="P313" s="57"/>
      <c r="Q313" s="57"/>
      <c r="R313" s="57"/>
      <c r="S313" s="157"/>
    </row>
    <row r="314" spans="1:19" x14ac:dyDescent="0.25">
      <c r="A314" s="64"/>
      <c r="B314" s="73"/>
      <c r="C314" s="85"/>
      <c r="D314" s="65"/>
      <c r="E314" s="66"/>
      <c r="F314" s="67"/>
      <c r="G314" s="53"/>
      <c r="H314" s="53"/>
      <c r="I314" s="53"/>
      <c r="J314" s="54" t="str">
        <f t="shared" si="9"/>
        <v/>
      </c>
      <c r="K314" s="54" t="str">
        <f t="shared" si="10"/>
        <v/>
      </c>
      <c r="L314" s="54"/>
      <c r="M314" s="54"/>
      <c r="N314" s="54"/>
      <c r="O314" s="57"/>
      <c r="P314" s="57"/>
      <c r="Q314" s="57"/>
      <c r="R314" s="57"/>
      <c r="S314" s="157"/>
    </row>
    <row r="315" spans="1:19" x14ac:dyDescent="0.25">
      <c r="A315" s="64"/>
      <c r="B315" s="73"/>
      <c r="C315" s="86"/>
      <c r="D315" s="68"/>
      <c r="E315" s="66"/>
      <c r="F315" s="67"/>
      <c r="G315" s="53"/>
      <c r="H315" s="53"/>
      <c r="I315" s="53"/>
      <c r="J315" s="54" t="str">
        <f t="shared" si="9"/>
        <v/>
      </c>
      <c r="K315" s="54" t="str">
        <f t="shared" si="10"/>
        <v/>
      </c>
      <c r="L315" s="54"/>
      <c r="M315" s="54"/>
      <c r="N315" s="54"/>
      <c r="O315" s="57"/>
      <c r="P315" s="57"/>
      <c r="Q315" s="57"/>
      <c r="R315" s="57"/>
      <c r="S315" s="157"/>
    </row>
    <row r="316" spans="1:19" x14ac:dyDescent="0.25">
      <c r="A316" s="64"/>
      <c r="B316" s="73"/>
      <c r="C316" s="86"/>
      <c r="D316" s="68"/>
      <c r="E316" s="66"/>
      <c r="F316" s="67"/>
      <c r="G316" s="53"/>
      <c r="H316" s="53"/>
      <c r="I316" s="53"/>
      <c r="J316" s="54" t="str">
        <f t="shared" si="9"/>
        <v/>
      </c>
      <c r="K316" s="54" t="str">
        <f t="shared" si="10"/>
        <v/>
      </c>
      <c r="L316" s="54"/>
      <c r="M316" s="54"/>
      <c r="N316" s="54"/>
      <c r="O316" s="57"/>
      <c r="P316" s="57"/>
      <c r="Q316" s="57"/>
      <c r="R316" s="57"/>
      <c r="S316" s="157"/>
    </row>
    <row r="317" spans="1:19" x14ac:dyDescent="0.25">
      <c r="A317" s="64"/>
      <c r="B317" s="73"/>
      <c r="C317" s="85"/>
      <c r="D317" s="65"/>
      <c r="E317" s="66"/>
      <c r="F317" s="67"/>
      <c r="G317" s="53"/>
      <c r="H317" s="53"/>
      <c r="I317" s="53"/>
      <c r="J317" s="54" t="str">
        <f t="shared" si="9"/>
        <v/>
      </c>
      <c r="K317" s="54" t="str">
        <f t="shared" si="10"/>
        <v/>
      </c>
      <c r="L317" s="54"/>
      <c r="M317" s="54"/>
      <c r="N317" s="54"/>
      <c r="O317" s="57"/>
      <c r="P317" s="57"/>
      <c r="Q317" s="57"/>
      <c r="R317" s="57"/>
      <c r="S317" s="157"/>
    </row>
    <row r="318" spans="1:19" x14ac:dyDescent="0.25">
      <c r="A318" s="64"/>
      <c r="B318" s="73"/>
      <c r="C318" s="86"/>
      <c r="D318" s="68"/>
      <c r="E318" s="66"/>
      <c r="F318" s="67"/>
      <c r="G318" s="53"/>
      <c r="H318" s="53"/>
      <c r="I318" s="53"/>
      <c r="J318" s="54" t="str">
        <f t="shared" si="9"/>
        <v/>
      </c>
      <c r="K318" s="54" t="str">
        <f t="shared" si="10"/>
        <v/>
      </c>
      <c r="L318" s="54"/>
      <c r="M318" s="54"/>
      <c r="N318" s="54"/>
      <c r="O318" s="57"/>
      <c r="P318" s="57"/>
      <c r="Q318" s="57"/>
      <c r="R318" s="57"/>
      <c r="S318" s="157"/>
    </row>
    <row r="319" spans="1:19" x14ac:dyDescent="0.25">
      <c r="A319" s="64"/>
      <c r="B319" s="73"/>
      <c r="C319" s="85"/>
      <c r="D319" s="65"/>
      <c r="E319" s="66"/>
      <c r="F319" s="67"/>
      <c r="G319" s="53"/>
      <c r="H319" s="53"/>
      <c r="I319" s="53"/>
      <c r="J319" s="54" t="str">
        <f t="shared" si="9"/>
        <v/>
      </c>
      <c r="K319" s="54" t="str">
        <f t="shared" si="10"/>
        <v/>
      </c>
      <c r="L319" s="54"/>
      <c r="M319" s="54"/>
      <c r="N319" s="54"/>
      <c r="O319" s="57"/>
      <c r="P319" s="57"/>
      <c r="Q319" s="57"/>
      <c r="R319" s="57"/>
      <c r="S319" s="157"/>
    </row>
    <row r="320" spans="1:19" x14ac:dyDescent="0.25">
      <c r="A320" s="64"/>
      <c r="B320" s="73"/>
      <c r="C320" s="86"/>
      <c r="D320" s="68"/>
      <c r="E320" s="66"/>
      <c r="F320" s="67"/>
      <c r="G320" s="53"/>
      <c r="H320" s="53"/>
      <c r="I320" s="53"/>
      <c r="J320" s="54" t="str">
        <f t="shared" si="9"/>
        <v/>
      </c>
      <c r="K320" s="54" t="str">
        <f t="shared" si="10"/>
        <v/>
      </c>
      <c r="L320" s="54"/>
      <c r="M320" s="54"/>
      <c r="N320" s="54"/>
      <c r="O320" s="57"/>
      <c r="P320" s="57"/>
      <c r="Q320" s="57"/>
      <c r="R320" s="57"/>
      <c r="S320" s="157"/>
    </row>
    <row r="321" spans="1:19" x14ac:dyDescent="0.25">
      <c r="A321" s="64"/>
      <c r="B321" s="73"/>
      <c r="C321" s="86"/>
      <c r="D321" s="68"/>
      <c r="E321" s="66"/>
      <c r="F321" s="67"/>
      <c r="G321" s="53"/>
      <c r="H321" s="53"/>
      <c r="I321" s="53"/>
      <c r="J321" s="54" t="str">
        <f t="shared" si="9"/>
        <v/>
      </c>
      <c r="K321" s="54" t="str">
        <f t="shared" si="10"/>
        <v/>
      </c>
      <c r="L321" s="54"/>
      <c r="M321" s="54"/>
      <c r="N321" s="54"/>
      <c r="O321" s="57"/>
      <c r="P321" s="57"/>
      <c r="Q321" s="57"/>
      <c r="R321" s="57"/>
      <c r="S321" s="157"/>
    </row>
    <row r="322" spans="1:19" x14ac:dyDescent="0.25">
      <c r="A322" s="64"/>
      <c r="B322" s="73"/>
      <c r="C322" s="85"/>
      <c r="D322" s="65"/>
      <c r="E322" s="66"/>
      <c r="F322" s="67"/>
      <c r="G322" s="53"/>
      <c r="H322" s="53"/>
      <c r="I322" s="53"/>
      <c r="J322" s="54" t="str">
        <f t="shared" si="9"/>
        <v/>
      </c>
      <c r="K322" s="54" t="str">
        <f t="shared" si="10"/>
        <v/>
      </c>
      <c r="L322" s="54"/>
      <c r="M322" s="54"/>
      <c r="N322" s="54"/>
      <c r="O322" s="57"/>
      <c r="P322" s="57"/>
      <c r="Q322" s="57"/>
      <c r="R322" s="57"/>
      <c r="S322" s="157"/>
    </row>
    <row r="323" spans="1:19" x14ac:dyDescent="0.25">
      <c r="A323" s="64"/>
      <c r="B323" s="73"/>
      <c r="C323" s="86"/>
      <c r="D323" s="68"/>
      <c r="E323" s="66"/>
      <c r="F323" s="67"/>
      <c r="G323" s="53"/>
      <c r="H323" s="53"/>
      <c r="I323" s="53"/>
      <c r="J323" s="54" t="str">
        <f t="shared" si="9"/>
        <v/>
      </c>
      <c r="K323" s="54" t="str">
        <f t="shared" si="10"/>
        <v/>
      </c>
      <c r="L323" s="54"/>
      <c r="M323" s="54"/>
      <c r="N323" s="54"/>
      <c r="O323" s="57"/>
      <c r="P323" s="57"/>
      <c r="Q323" s="57"/>
      <c r="R323" s="57"/>
      <c r="S323" s="157"/>
    </row>
    <row r="324" spans="1:19" x14ac:dyDescent="0.25">
      <c r="A324" s="64"/>
      <c r="B324" s="73"/>
      <c r="C324" s="85"/>
      <c r="D324" s="65"/>
      <c r="E324" s="66"/>
      <c r="F324" s="67"/>
      <c r="G324" s="53"/>
      <c r="H324" s="53"/>
      <c r="I324" s="53"/>
      <c r="J324" s="54" t="str">
        <f t="shared" si="9"/>
        <v/>
      </c>
      <c r="K324" s="54" t="str">
        <f t="shared" si="10"/>
        <v/>
      </c>
      <c r="L324" s="54"/>
      <c r="M324" s="54"/>
      <c r="N324" s="54"/>
      <c r="O324" s="57"/>
      <c r="P324" s="57"/>
      <c r="Q324" s="57"/>
      <c r="R324" s="57"/>
      <c r="S324" s="157"/>
    </row>
    <row r="325" spans="1:19" x14ac:dyDescent="0.25">
      <c r="A325" s="64"/>
      <c r="B325" s="73"/>
      <c r="C325" s="85"/>
      <c r="D325" s="65"/>
      <c r="E325" s="66"/>
      <c r="F325" s="67"/>
      <c r="G325" s="53"/>
      <c r="H325" s="53"/>
      <c r="I325" s="53"/>
      <c r="J325" s="54" t="str">
        <f t="shared" si="9"/>
        <v/>
      </c>
      <c r="K325" s="54" t="str">
        <f t="shared" si="10"/>
        <v/>
      </c>
      <c r="L325" s="54"/>
      <c r="M325" s="54"/>
      <c r="N325" s="54"/>
      <c r="O325" s="57"/>
      <c r="P325" s="57"/>
      <c r="Q325" s="57"/>
      <c r="R325" s="57"/>
      <c r="S325" s="157"/>
    </row>
    <row r="326" spans="1:19" x14ac:dyDescent="0.25">
      <c r="A326" s="64"/>
      <c r="B326" s="73"/>
      <c r="C326" s="85"/>
      <c r="D326" s="65"/>
      <c r="E326" s="66"/>
      <c r="F326" s="67"/>
      <c r="G326" s="53"/>
      <c r="H326" s="53"/>
      <c r="I326" s="53"/>
      <c r="J326" s="54" t="str">
        <f t="shared" si="9"/>
        <v/>
      </c>
      <c r="K326" s="54" t="str">
        <f t="shared" si="10"/>
        <v/>
      </c>
      <c r="L326" s="54"/>
      <c r="M326" s="54"/>
      <c r="N326" s="54"/>
      <c r="O326" s="57"/>
      <c r="P326" s="57"/>
      <c r="Q326" s="57"/>
      <c r="R326" s="57"/>
      <c r="S326" s="157"/>
    </row>
    <row r="327" spans="1:19" x14ac:dyDescent="0.25">
      <c r="A327" s="64"/>
      <c r="B327" s="73"/>
      <c r="C327" s="85"/>
      <c r="D327" s="65"/>
      <c r="E327" s="66"/>
      <c r="F327" s="67"/>
      <c r="G327" s="53"/>
      <c r="H327" s="53"/>
      <c r="I327" s="53"/>
      <c r="J327" s="54" t="str">
        <f t="shared" si="9"/>
        <v/>
      </c>
      <c r="K327" s="54" t="str">
        <f t="shared" si="10"/>
        <v/>
      </c>
      <c r="L327" s="54"/>
      <c r="M327" s="54"/>
      <c r="N327" s="54"/>
      <c r="O327" s="57"/>
      <c r="P327" s="57"/>
      <c r="Q327" s="57"/>
      <c r="R327" s="57"/>
      <c r="S327" s="157"/>
    </row>
    <row r="328" spans="1:19" x14ac:dyDescent="0.25">
      <c r="A328" s="64"/>
      <c r="B328" s="73"/>
      <c r="C328" s="85"/>
      <c r="D328" s="65"/>
      <c r="E328" s="66"/>
      <c r="F328" s="67"/>
      <c r="G328" s="53"/>
      <c r="H328" s="53"/>
      <c r="I328" s="53"/>
      <c r="J328" s="54" t="str">
        <f t="shared" si="9"/>
        <v/>
      </c>
      <c r="K328" s="54" t="str">
        <f t="shared" si="10"/>
        <v/>
      </c>
      <c r="L328" s="54"/>
      <c r="M328" s="54"/>
      <c r="N328" s="54"/>
      <c r="O328" s="57"/>
      <c r="P328" s="57"/>
      <c r="Q328" s="57"/>
      <c r="R328" s="57"/>
      <c r="S328" s="157"/>
    </row>
    <row r="329" spans="1:19" x14ac:dyDescent="0.25">
      <c r="A329" s="64"/>
      <c r="B329" s="73"/>
      <c r="C329" s="86"/>
      <c r="D329" s="68"/>
      <c r="E329" s="66"/>
      <c r="F329" s="67"/>
      <c r="G329" s="53"/>
      <c r="H329" s="53"/>
      <c r="I329" s="53"/>
      <c r="J329" s="54" t="str">
        <f t="shared" si="9"/>
        <v/>
      </c>
      <c r="K329" s="54" t="str">
        <f t="shared" si="10"/>
        <v/>
      </c>
      <c r="L329" s="54"/>
      <c r="M329" s="54"/>
      <c r="N329" s="54"/>
      <c r="O329" s="57"/>
      <c r="P329" s="57"/>
      <c r="Q329" s="57"/>
      <c r="R329" s="57"/>
      <c r="S329" s="157"/>
    </row>
    <row r="330" spans="1:19" x14ac:dyDescent="0.25">
      <c r="A330" s="64"/>
      <c r="B330" s="73"/>
      <c r="C330" s="86"/>
      <c r="D330" s="68"/>
      <c r="E330" s="66"/>
      <c r="F330" s="67"/>
      <c r="G330" s="53"/>
      <c r="H330" s="53"/>
      <c r="I330" s="53"/>
      <c r="J330" s="54" t="str">
        <f t="shared" si="9"/>
        <v/>
      </c>
      <c r="K330" s="54" t="str">
        <f t="shared" si="10"/>
        <v/>
      </c>
      <c r="L330" s="54"/>
      <c r="M330" s="54"/>
      <c r="N330" s="54"/>
      <c r="O330" s="57"/>
      <c r="P330" s="57"/>
      <c r="Q330" s="57"/>
      <c r="R330" s="57"/>
      <c r="S330" s="157"/>
    </row>
    <row r="331" spans="1:19" x14ac:dyDescent="0.25">
      <c r="A331" s="64"/>
      <c r="B331" s="73"/>
      <c r="C331" s="86"/>
      <c r="D331" s="68"/>
      <c r="E331" s="73"/>
      <c r="F331" s="74"/>
      <c r="G331" s="53"/>
      <c r="H331" s="53"/>
      <c r="I331" s="53"/>
      <c r="J331" s="54"/>
      <c r="K331" s="54"/>
      <c r="L331" s="54"/>
      <c r="M331" s="54"/>
      <c r="N331" s="54"/>
      <c r="O331" s="57"/>
      <c r="P331" s="57"/>
      <c r="Q331" s="57"/>
      <c r="R331" s="57"/>
      <c r="S331" s="157"/>
    </row>
    <row r="332" spans="1:19" x14ac:dyDescent="0.25">
      <c r="A332" s="64"/>
      <c r="B332" s="73"/>
      <c r="C332" s="86"/>
      <c r="D332" s="68"/>
      <c r="E332" s="73"/>
      <c r="F332" s="74"/>
      <c r="G332" s="53"/>
      <c r="H332" s="53"/>
      <c r="I332" s="53"/>
      <c r="J332" s="54"/>
      <c r="K332" s="54"/>
      <c r="L332" s="54"/>
      <c r="M332" s="54"/>
      <c r="N332" s="54"/>
      <c r="O332" s="57"/>
      <c r="P332" s="57"/>
      <c r="Q332" s="57"/>
      <c r="R332" s="57"/>
      <c r="S332" s="157"/>
    </row>
    <row r="333" spans="1:19" x14ac:dyDescent="0.25">
      <c r="A333" s="64"/>
      <c r="B333" s="73"/>
      <c r="C333" s="86"/>
      <c r="D333" s="68"/>
      <c r="E333" s="73"/>
      <c r="F333" s="74"/>
      <c r="G333" s="53"/>
      <c r="H333" s="53"/>
      <c r="I333" s="53"/>
      <c r="J333" s="54"/>
      <c r="K333" s="54"/>
      <c r="L333" s="54"/>
      <c r="M333" s="54"/>
      <c r="N333" s="54"/>
      <c r="O333" s="57"/>
      <c r="P333" s="57"/>
      <c r="Q333" s="57"/>
      <c r="R333" s="57"/>
      <c r="S333" s="157"/>
    </row>
    <row r="334" spans="1:19" x14ac:dyDescent="0.25">
      <c r="A334" s="64"/>
      <c r="B334" s="73"/>
      <c r="C334" s="86"/>
      <c r="D334" s="68"/>
      <c r="E334" s="73"/>
      <c r="F334" s="74"/>
      <c r="G334" s="53"/>
      <c r="H334" s="53"/>
      <c r="I334" s="53"/>
      <c r="J334" s="54"/>
      <c r="K334" s="54"/>
      <c r="L334" s="54"/>
      <c r="M334" s="54"/>
      <c r="N334" s="54"/>
      <c r="O334" s="57"/>
      <c r="P334" s="57"/>
      <c r="Q334" s="57"/>
      <c r="R334" s="57"/>
      <c r="S334" s="157"/>
    </row>
    <row r="335" spans="1:19" x14ac:dyDescent="0.25">
      <c r="A335" s="64"/>
      <c r="B335" s="73"/>
      <c r="C335" s="86"/>
      <c r="D335" s="68"/>
      <c r="E335" s="73"/>
      <c r="F335" s="74"/>
      <c r="G335" s="53"/>
      <c r="H335" s="53"/>
      <c r="I335" s="53"/>
      <c r="J335" s="54"/>
      <c r="K335" s="54"/>
      <c r="L335" s="54"/>
      <c r="M335" s="54"/>
      <c r="N335" s="54"/>
      <c r="O335" s="57"/>
      <c r="P335" s="57"/>
      <c r="Q335" s="57"/>
      <c r="R335" s="57"/>
      <c r="S335" s="157"/>
    </row>
    <row r="336" spans="1:19" x14ac:dyDescent="0.25">
      <c r="A336" s="64"/>
      <c r="B336" s="73"/>
      <c r="C336" s="86"/>
      <c r="D336" s="68"/>
      <c r="E336" s="73"/>
      <c r="F336" s="74"/>
      <c r="G336" s="53"/>
      <c r="H336" s="53"/>
      <c r="I336" s="53"/>
      <c r="J336" s="54"/>
      <c r="K336" s="54"/>
      <c r="L336" s="54"/>
      <c r="M336" s="54"/>
      <c r="N336" s="54"/>
      <c r="O336" s="57"/>
      <c r="P336" s="57"/>
      <c r="Q336" s="57"/>
      <c r="R336" s="57"/>
      <c r="S336" s="157"/>
    </row>
    <row r="337" spans="1:19" ht="15.75" thickBot="1" x14ac:dyDescent="0.3">
      <c r="A337" s="75"/>
      <c r="B337" s="77"/>
      <c r="C337" s="88"/>
      <c r="D337" s="76"/>
      <c r="E337" s="77"/>
      <c r="F337" s="78"/>
      <c r="G337" s="79"/>
      <c r="H337" s="79"/>
      <c r="I337" s="79"/>
      <c r="J337" s="80"/>
      <c r="K337" s="80"/>
      <c r="L337" s="80"/>
      <c r="M337" s="80"/>
      <c r="N337" s="80"/>
      <c r="O337" s="81"/>
      <c r="P337" s="81"/>
      <c r="Q337" s="81"/>
      <c r="R337" s="81"/>
      <c r="S337" s="158"/>
    </row>
    <row r="338" spans="1:19" x14ac:dyDescent="0.25">
      <c r="A338" s="39"/>
      <c r="B338" s="41"/>
      <c r="C338" s="89"/>
      <c r="D338" s="40"/>
      <c r="E338" s="41"/>
      <c r="F338" s="42"/>
      <c r="G338" s="43"/>
      <c r="H338" s="43"/>
      <c r="I338" s="43"/>
      <c r="J338" s="44" t="str">
        <f t="shared" ref="J338:J395" si="11">IF(G338="","",J337-G338)</f>
        <v/>
      </c>
      <c r="K338" s="45" t="str">
        <f t="shared" ref="K338:K395" si="12">IF(G338="","",K337+G338)</f>
        <v/>
      </c>
      <c r="L338" s="44"/>
      <c r="M338" s="44"/>
      <c r="N338" s="44"/>
      <c r="O338" s="46"/>
      <c r="P338" s="46"/>
      <c r="Q338" s="46"/>
      <c r="R338" s="46"/>
      <c r="S338" s="159"/>
    </row>
    <row r="339" spans="1:19" x14ac:dyDescent="0.25">
      <c r="A339" s="20"/>
      <c r="B339" s="27"/>
      <c r="C339" s="90"/>
      <c r="D339" s="24"/>
      <c r="E339" s="27"/>
      <c r="F339" s="28"/>
      <c r="G339" s="19"/>
      <c r="H339" s="19"/>
      <c r="I339" s="19"/>
      <c r="J339" s="15" t="str">
        <f t="shared" si="11"/>
        <v/>
      </c>
      <c r="K339" s="16" t="str">
        <f t="shared" si="12"/>
        <v/>
      </c>
      <c r="L339" s="15"/>
      <c r="M339" s="15"/>
      <c r="N339" s="15"/>
      <c r="O339" s="17"/>
      <c r="P339" s="17"/>
      <c r="Q339" s="17"/>
      <c r="R339" s="17"/>
      <c r="S339" s="160"/>
    </row>
    <row r="340" spans="1:19" x14ac:dyDescent="0.25">
      <c r="A340" s="20"/>
      <c r="B340" s="27"/>
      <c r="C340" s="91"/>
      <c r="D340" s="21"/>
      <c r="E340" s="22"/>
      <c r="F340" s="23"/>
      <c r="G340" s="19"/>
      <c r="H340" s="19"/>
      <c r="I340" s="19"/>
      <c r="J340" s="15" t="str">
        <f t="shared" si="11"/>
        <v/>
      </c>
      <c r="K340" s="16" t="str">
        <f t="shared" si="12"/>
        <v/>
      </c>
      <c r="L340" s="15"/>
      <c r="M340" s="15"/>
      <c r="N340" s="15"/>
      <c r="O340" s="17"/>
      <c r="P340" s="17"/>
      <c r="Q340" s="17"/>
      <c r="R340" s="17"/>
      <c r="S340" s="160"/>
    </row>
    <row r="341" spans="1:19" x14ac:dyDescent="0.25">
      <c r="A341" s="20"/>
      <c r="B341" s="27"/>
      <c r="C341" s="90"/>
      <c r="D341" s="24"/>
      <c r="E341" s="22"/>
      <c r="F341" s="23"/>
      <c r="G341" s="19"/>
      <c r="H341" s="19"/>
      <c r="I341" s="19"/>
      <c r="J341" s="15" t="str">
        <f t="shared" si="11"/>
        <v/>
      </c>
      <c r="K341" s="16" t="str">
        <f t="shared" si="12"/>
        <v/>
      </c>
      <c r="L341" s="15"/>
      <c r="M341" s="15"/>
      <c r="N341" s="15"/>
      <c r="O341" s="17"/>
      <c r="P341" s="17"/>
      <c r="Q341" s="17"/>
      <c r="R341" s="17"/>
      <c r="S341" s="160"/>
    </row>
    <row r="342" spans="1:19" x14ac:dyDescent="0.25">
      <c r="A342" s="20"/>
      <c r="B342" s="27"/>
      <c r="C342" s="91"/>
      <c r="D342" s="21"/>
      <c r="E342" s="27"/>
      <c r="F342" s="28"/>
      <c r="G342" s="19"/>
      <c r="H342" s="19"/>
      <c r="I342" s="19"/>
      <c r="J342" s="15" t="str">
        <f t="shared" si="11"/>
        <v/>
      </c>
      <c r="K342" s="16" t="str">
        <f t="shared" si="12"/>
        <v/>
      </c>
      <c r="L342" s="15"/>
      <c r="M342" s="15"/>
      <c r="N342" s="15"/>
      <c r="O342" s="17"/>
      <c r="P342" s="17"/>
      <c r="Q342" s="17"/>
      <c r="R342" s="17"/>
      <c r="S342" s="160"/>
    </row>
    <row r="343" spans="1:19" x14ac:dyDescent="0.25">
      <c r="A343" s="20"/>
      <c r="B343" s="27"/>
      <c r="C343" s="90"/>
      <c r="D343" s="24"/>
      <c r="E343" s="27"/>
      <c r="F343" s="28"/>
      <c r="G343" s="19"/>
      <c r="H343" s="19"/>
      <c r="I343" s="19"/>
      <c r="J343" s="15" t="str">
        <f t="shared" si="11"/>
        <v/>
      </c>
      <c r="K343" s="16" t="str">
        <f t="shared" si="12"/>
        <v/>
      </c>
      <c r="L343" s="15"/>
      <c r="M343" s="15"/>
      <c r="N343" s="15"/>
      <c r="O343" s="17"/>
      <c r="P343" s="17"/>
      <c r="Q343" s="17"/>
      <c r="R343" s="17"/>
      <c r="S343" s="160"/>
    </row>
    <row r="344" spans="1:19" x14ac:dyDescent="0.25">
      <c r="A344" s="20"/>
      <c r="B344" s="27"/>
      <c r="C344" s="90"/>
      <c r="D344" s="24"/>
      <c r="E344" s="27"/>
      <c r="F344" s="28"/>
      <c r="G344" s="19"/>
      <c r="H344" s="19"/>
      <c r="I344" s="19"/>
      <c r="J344" s="15" t="str">
        <f t="shared" si="11"/>
        <v/>
      </c>
      <c r="K344" s="16" t="str">
        <f t="shared" si="12"/>
        <v/>
      </c>
      <c r="L344" s="15"/>
      <c r="M344" s="15"/>
      <c r="N344" s="15"/>
      <c r="O344" s="17"/>
      <c r="P344" s="17"/>
      <c r="Q344" s="17"/>
      <c r="R344" s="17"/>
      <c r="S344" s="160"/>
    </row>
    <row r="345" spans="1:19" x14ac:dyDescent="0.25">
      <c r="A345" s="20"/>
      <c r="B345" s="27"/>
      <c r="C345" s="90"/>
      <c r="D345" s="24"/>
      <c r="E345" s="22"/>
      <c r="F345" s="23"/>
      <c r="G345" s="19"/>
      <c r="H345" s="19"/>
      <c r="I345" s="19"/>
      <c r="J345" s="15" t="str">
        <f t="shared" si="11"/>
        <v/>
      </c>
      <c r="K345" s="16" t="str">
        <f t="shared" si="12"/>
        <v/>
      </c>
      <c r="L345" s="15"/>
      <c r="M345" s="15"/>
      <c r="N345" s="15"/>
      <c r="O345" s="17"/>
      <c r="P345" s="17"/>
      <c r="Q345" s="17"/>
      <c r="R345" s="17"/>
      <c r="S345" s="160"/>
    </row>
    <row r="346" spans="1:19" x14ac:dyDescent="0.25">
      <c r="A346" s="20"/>
      <c r="B346" s="27"/>
      <c r="C346" s="91"/>
      <c r="D346" s="21"/>
      <c r="E346" s="27"/>
      <c r="F346" s="28"/>
      <c r="G346" s="19"/>
      <c r="H346" s="19"/>
      <c r="I346" s="19"/>
      <c r="J346" s="15" t="str">
        <f t="shared" si="11"/>
        <v/>
      </c>
      <c r="K346" s="16" t="str">
        <f t="shared" si="12"/>
        <v/>
      </c>
      <c r="L346" s="15"/>
      <c r="M346" s="15"/>
      <c r="N346" s="15"/>
      <c r="O346" s="17"/>
      <c r="P346" s="17"/>
      <c r="Q346" s="17"/>
      <c r="R346" s="17"/>
      <c r="S346" s="160"/>
    </row>
    <row r="347" spans="1:19" x14ac:dyDescent="0.25">
      <c r="A347" s="20"/>
      <c r="B347" s="27"/>
      <c r="C347" s="91"/>
      <c r="D347" s="21"/>
      <c r="E347" s="22"/>
      <c r="F347" s="23"/>
      <c r="G347" s="19"/>
      <c r="H347" s="19"/>
      <c r="I347" s="19"/>
      <c r="J347" s="15" t="str">
        <f t="shared" si="11"/>
        <v/>
      </c>
      <c r="K347" s="16" t="str">
        <f t="shared" si="12"/>
        <v/>
      </c>
      <c r="L347" s="15"/>
      <c r="M347" s="15"/>
      <c r="N347" s="15"/>
      <c r="O347" s="17"/>
      <c r="P347" s="17"/>
      <c r="Q347" s="17"/>
      <c r="R347" s="17"/>
      <c r="S347" s="160"/>
    </row>
    <row r="348" spans="1:19" x14ac:dyDescent="0.25">
      <c r="A348" s="20"/>
      <c r="B348" s="27"/>
      <c r="C348" s="91"/>
      <c r="D348" s="21"/>
      <c r="E348" s="22"/>
      <c r="F348" s="23"/>
      <c r="G348" s="19"/>
      <c r="H348" s="19"/>
      <c r="I348" s="19"/>
      <c r="J348" s="15" t="str">
        <f t="shared" si="11"/>
        <v/>
      </c>
      <c r="K348" s="16" t="str">
        <f t="shared" si="12"/>
        <v/>
      </c>
      <c r="L348" s="15"/>
      <c r="M348" s="15"/>
      <c r="N348" s="15"/>
      <c r="O348" s="17"/>
      <c r="P348" s="17"/>
      <c r="Q348" s="17"/>
      <c r="R348" s="17"/>
      <c r="S348" s="160"/>
    </row>
    <row r="349" spans="1:19" x14ac:dyDescent="0.25">
      <c r="A349" s="20"/>
      <c r="B349" s="27"/>
      <c r="C349" s="91"/>
      <c r="D349" s="21"/>
      <c r="E349" s="22"/>
      <c r="F349" s="23"/>
      <c r="G349" s="19"/>
      <c r="H349" s="19"/>
      <c r="I349" s="19"/>
      <c r="J349" s="15" t="str">
        <f t="shared" si="11"/>
        <v/>
      </c>
      <c r="K349" s="16" t="str">
        <f t="shared" si="12"/>
        <v/>
      </c>
      <c r="L349" s="15"/>
      <c r="M349" s="15"/>
      <c r="N349" s="15"/>
      <c r="O349" s="17"/>
      <c r="P349" s="17"/>
      <c r="Q349" s="17"/>
      <c r="R349" s="17"/>
      <c r="S349" s="160"/>
    </row>
    <row r="350" spans="1:19" x14ac:dyDescent="0.25">
      <c r="A350" s="20"/>
      <c r="B350" s="27"/>
      <c r="C350" s="91"/>
      <c r="D350" s="21"/>
      <c r="E350" s="22"/>
      <c r="F350" s="23"/>
      <c r="G350" s="19"/>
      <c r="H350" s="19"/>
      <c r="I350" s="19"/>
      <c r="J350" s="15" t="str">
        <f t="shared" si="11"/>
        <v/>
      </c>
      <c r="K350" s="16" t="str">
        <f t="shared" si="12"/>
        <v/>
      </c>
      <c r="L350" s="15"/>
      <c r="M350" s="15"/>
      <c r="N350" s="15"/>
      <c r="O350" s="17"/>
      <c r="P350" s="17"/>
      <c r="Q350" s="17"/>
      <c r="R350" s="17"/>
      <c r="S350" s="160"/>
    </row>
    <row r="351" spans="1:19" x14ac:dyDescent="0.25">
      <c r="A351" s="20"/>
      <c r="B351" s="27"/>
      <c r="C351" s="91"/>
      <c r="D351" s="21"/>
      <c r="E351" s="22"/>
      <c r="F351" s="23"/>
      <c r="G351" s="19"/>
      <c r="H351" s="19"/>
      <c r="I351" s="19"/>
      <c r="J351" s="15" t="str">
        <f t="shared" si="11"/>
        <v/>
      </c>
      <c r="K351" s="16" t="str">
        <f t="shared" si="12"/>
        <v/>
      </c>
      <c r="L351" s="15"/>
      <c r="M351" s="15"/>
      <c r="N351" s="15"/>
      <c r="O351" s="17"/>
      <c r="P351" s="17"/>
      <c r="Q351" s="17"/>
      <c r="R351" s="17"/>
      <c r="S351" s="160"/>
    </row>
    <row r="352" spans="1:19" x14ac:dyDescent="0.25">
      <c r="A352" s="20"/>
      <c r="B352" s="27"/>
      <c r="C352" s="91"/>
      <c r="D352" s="21"/>
      <c r="E352" s="22"/>
      <c r="F352" s="23"/>
      <c r="G352" s="19"/>
      <c r="H352" s="19"/>
      <c r="I352" s="19"/>
      <c r="J352" s="15" t="str">
        <f t="shared" si="11"/>
        <v/>
      </c>
      <c r="K352" s="16" t="str">
        <f t="shared" si="12"/>
        <v/>
      </c>
      <c r="L352" s="15"/>
      <c r="M352" s="15"/>
      <c r="N352" s="15"/>
      <c r="O352" s="17"/>
      <c r="P352" s="17"/>
      <c r="Q352" s="17"/>
      <c r="R352" s="17"/>
      <c r="S352" s="160"/>
    </row>
    <row r="353" spans="1:19" x14ac:dyDescent="0.25">
      <c r="A353" s="20"/>
      <c r="B353" s="27"/>
      <c r="C353" s="91"/>
      <c r="D353" s="21"/>
      <c r="E353" s="22"/>
      <c r="F353" s="23"/>
      <c r="G353" s="19"/>
      <c r="H353" s="19"/>
      <c r="I353" s="19"/>
      <c r="J353" s="15" t="str">
        <f t="shared" si="11"/>
        <v/>
      </c>
      <c r="K353" s="16" t="str">
        <f t="shared" si="12"/>
        <v/>
      </c>
      <c r="L353" s="15"/>
      <c r="M353" s="15"/>
      <c r="N353" s="15"/>
      <c r="O353" s="17"/>
      <c r="P353" s="17"/>
      <c r="Q353" s="17"/>
      <c r="R353" s="17"/>
      <c r="S353" s="160"/>
    </row>
    <row r="354" spans="1:19" x14ac:dyDescent="0.25">
      <c r="A354" s="20"/>
      <c r="B354" s="27"/>
      <c r="C354" s="91"/>
      <c r="D354" s="21"/>
      <c r="E354" s="22"/>
      <c r="F354" s="23"/>
      <c r="G354" s="19"/>
      <c r="H354" s="19"/>
      <c r="I354" s="19"/>
      <c r="J354" s="15" t="str">
        <f t="shared" si="11"/>
        <v/>
      </c>
      <c r="K354" s="16" t="str">
        <f t="shared" si="12"/>
        <v/>
      </c>
      <c r="L354" s="15"/>
      <c r="M354" s="15"/>
      <c r="N354" s="15"/>
      <c r="O354" s="17"/>
      <c r="P354" s="17"/>
      <c r="Q354" s="17"/>
      <c r="R354" s="17"/>
      <c r="S354" s="160"/>
    </row>
    <row r="355" spans="1:19" x14ac:dyDescent="0.25">
      <c r="A355" s="20"/>
      <c r="B355" s="27"/>
      <c r="C355" s="91"/>
      <c r="D355" s="21"/>
      <c r="E355" s="22"/>
      <c r="F355" s="23"/>
      <c r="G355" s="19"/>
      <c r="H355" s="19"/>
      <c r="I355" s="19"/>
      <c r="J355" s="15" t="str">
        <f t="shared" si="11"/>
        <v/>
      </c>
      <c r="K355" s="16" t="str">
        <f t="shared" si="12"/>
        <v/>
      </c>
      <c r="L355" s="15"/>
      <c r="M355" s="15"/>
      <c r="N355" s="15"/>
      <c r="O355" s="17"/>
      <c r="P355" s="17"/>
      <c r="Q355" s="17"/>
      <c r="R355" s="17"/>
      <c r="S355" s="160"/>
    </row>
    <row r="356" spans="1:19" x14ac:dyDescent="0.25">
      <c r="A356" s="20"/>
      <c r="B356" s="27"/>
      <c r="C356" s="91"/>
      <c r="D356" s="21"/>
      <c r="E356" s="25"/>
      <c r="F356" s="26"/>
      <c r="G356" s="19"/>
      <c r="H356" s="19"/>
      <c r="I356" s="19"/>
      <c r="J356" s="15" t="str">
        <f t="shared" si="11"/>
        <v/>
      </c>
      <c r="K356" s="16" t="str">
        <f t="shared" si="12"/>
        <v/>
      </c>
      <c r="L356" s="15"/>
      <c r="M356" s="15"/>
      <c r="N356" s="15"/>
      <c r="O356" s="17"/>
      <c r="P356" s="17"/>
      <c r="Q356" s="17"/>
      <c r="R356" s="17"/>
      <c r="S356" s="160"/>
    </row>
    <row r="357" spans="1:19" x14ac:dyDescent="0.25">
      <c r="A357" s="20"/>
      <c r="B357" s="27"/>
      <c r="C357" s="91"/>
      <c r="D357" s="21"/>
      <c r="E357" s="25"/>
      <c r="F357" s="26"/>
      <c r="G357" s="19"/>
      <c r="H357" s="19"/>
      <c r="I357" s="19"/>
      <c r="J357" s="15" t="str">
        <f t="shared" si="11"/>
        <v/>
      </c>
      <c r="K357" s="16" t="str">
        <f t="shared" si="12"/>
        <v/>
      </c>
      <c r="L357" s="15"/>
      <c r="M357" s="15"/>
      <c r="N357" s="15"/>
      <c r="O357" s="17"/>
      <c r="P357" s="17"/>
      <c r="Q357" s="17"/>
      <c r="R357" s="17"/>
      <c r="S357" s="160"/>
    </row>
    <row r="358" spans="1:19" x14ac:dyDescent="0.25">
      <c r="A358" s="20"/>
      <c r="B358" s="27"/>
      <c r="C358" s="91"/>
      <c r="D358" s="21"/>
      <c r="E358" s="22"/>
      <c r="F358" s="23"/>
      <c r="G358" s="19"/>
      <c r="H358" s="19"/>
      <c r="I358" s="19"/>
      <c r="J358" s="15" t="str">
        <f t="shared" si="11"/>
        <v/>
      </c>
      <c r="K358" s="16" t="str">
        <f t="shared" si="12"/>
        <v/>
      </c>
      <c r="L358" s="15"/>
      <c r="M358" s="15"/>
      <c r="N358" s="15"/>
      <c r="O358" s="17"/>
      <c r="P358" s="17"/>
      <c r="Q358" s="17"/>
      <c r="R358" s="17"/>
      <c r="S358" s="160"/>
    </row>
    <row r="359" spans="1:19" x14ac:dyDescent="0.25">
      <c r="A359" s="20"/>
      <c r="B359" s="27"/>
      <c r="C359" s="91"/>
      <c r="D359" s="21"/>
      <c r="E359" s="25"/>
      <c r="F359" s="26"/>
      <c r="G359" s="19"/>
      <c r="H359" s="19"/>
      <c r="I359" s="19"/>
      <c r="J359" s="15" t="str">
        <f t="shared" si="11"/>
        <v/>
      </c>
      <c r="K359" s="16" t="str">
        <f t="shared" si="12"/>
        <v/>
      </c>
      <c r="L359" s="15"/>
      <c r="M359" s="15"/>
      <c r="N359" s="15"/>
      <c r="O359" s="17"/>
      <c r="P359" s="17"/>
      <c r="Q359" s="17"/>
      <c r="R359" s="17"/>
      <c r="S359" s="160"/>
    </row>
    <row r="360" spans="1:19" x14ac:dyDescent="0.25">
      <c r="A360" s="20"/>
      <c r="B360" s="27"/>
      <c r="C360" s="91"/>
      <c r="D360" s="21"/>
      <c r="E360" s="25"/>
      <c r="F360" s="26"/>
      <c r="G360" s="19"/>
      <c r="H360" s="19"/>
      <c r="I360" s="19"/>
      <c r="J360" s="15" t="str">
        <f t="shared" si="11"/>
        <v/>
      </c>
      <c r="K360" s="16" t="str">
        <f t="shared" si="12"/>
        <v/>
      </c>
      <c r="L360" s="15"/>
      <c r="M360" s="15"/>
      <c r="N360" s="15"/>
      <c r="O360" s="17"/>
      <c r="P360" s="17"/>
      <c r="Q360" s="17"/>
      <c r="R360" s="17"/>
      <c r="S360" s="160"/>
    </row>
    <row r="361" spans="1:19" x14ac:dyDescent="0.25">
      <c r="A361" s="29"/>
      <c r="B361" s="27"/>
      <c r="C361" s="92"/>
      <c r="D361" s="30"/>
      <c r="E361" s="25"/>
      <c r="F361" s="26"/>
      <c r="G361" s="31"/>
      <c r="H361" s="31"/>
      <c r="I361" s="31"/>
      <c r="J361" s="32" t="str">
        <f t="shared" si="11"/>
        <v/>
      </c>
      <c r="K361" s="33" t="str">
        <f t="shared" si="12"/>
        <v/>
      </c>
      <c r="L361" s="32"/>
      <c r="M361" s="32"/>
      <c r="N361" s="32"/>
      <c r="O361" s="17"/>
      <c r="P361" s="17"/>
      <c r="Q361" s="17"/>
      <c r="R361" s="17"/>
      <c r="S361" s="160"/>
    </row>
    <row r="362" spans="1:19" x14ac:dyDescent="0.25">
      <c r="A362" s="29"/>
      <c r="B362" s="27"/>
      <c r="C362" s="92"/>
      <c r="D362" s="30"/>
      <c r="E362" s="25"/>
      <c r="F362" s="26"/>
      <c r="G362" s="19"/>
      <c r="H362" s="19"/>
      <c r="I362" s="19"/>
      <c r="J362" s="15" t="str">
        <f t="shared" si="11"/>
        <v/>
      </c>
      <c r="K362" s="16" t="str">
        <f t="shared" si="12"/>
        <v/>
      </c>
      <c r="L362" s="15"/>
      <c r="M362" s="15"/>
      <c r="N362" s="15"/>
      <c r="O362" s="17"/>
      <c r="P362" s="17"/>
      <c r="Q362" s="17"/>
      <c r="R362" s="17"/>
      <c r="S362" s="160"/>
    </row>
    <row r="363" spans="1:19" x14ac:dyDescent="0.25">
      <c r="A363" s="20"/>
      <c r="B363" s="27"/>
      <c r="C363" s="92"/>
      <c r="D363" s="30"/>
      <c r="E363" s="25"/>
      <c r="F363" s="26"/>
      <c r="G363" s="19"/>
      <c r="H363" s="19"/>
      <c r="I363" s="19"/>
      <c r="J363" s="15" t="str">
        <f t="shared" si="11"/>
        <v/>
      </c>
      <c r="K363" s="16" t="str">
        <f t="shared" si="12"/>
        <v/>
      </c>
      <c r="L363" s="15"/>
      <c r="M363" s="15"/>
      <c r="N363" s="15"/>
      <c r="O363" s="17"/>
      <c r="P363" s="17"/>
      <c r="Q363" s="17"/>
      <c r="R363" s="17"/>
      <c r="S363" s="160"/>
    </row>
    <row r="364" spans="1:19" x14ac:dyDescent="0.25">
      <c r="A364" s="20"/>
      <c r="B364" s="27"/>
      <c r="C364" s="92"/>
      <c r="D364" s="30"/>
      <c r="E364" s="25"/>
      <c r="F364" s="26"/>
      <c r="G364" s="19"/>
      <c r="H364" s="19"/>
      <c r="I364" s="19"/>
      <c r="J364" s="15" t="str">
        <f t="shared" si="11"/>
        <v/>
      </c>
      <c r="K364" s="16" t="str">
        <f t="shared" si="12"/>
        <v/>
      </c>
      <c r="L364" s="15"/>
      <c r="M364" s="15"/>
      <c r="N364" s="15"/>
      <c r="O364" s="17"/>
      <c r="P364" s="17"/>
      <c r="Q364" s="17"/>
      <c r="R364" s="17"/>
      <c r="S364" s="160"/>
    </row>
    <row r="365" spans="1:19" x14ac:dyDescent="0.25">
      <c r="A365" s="20"/>
      <c r="B365" s="27"/>
      <c r="C365" s="92"/>
      <c r="D365" s="30"/>
      <c r="E365" s="25"/>
      <c r="F365" s="26"/>
      <c r="G365" s="19"/>
      <c r="H365" s="19"/>
      <c r="I365" s="19"/>
      <c r="J365" s="15" t="str">
        <f t="shared" si="11"/>
        <v/>
      </c>
      <c r="K365" s="16" t="str">
        <f t="shared" si="12"/>
        <v/>
      </c>
      <c r="L365" s="15"/>
      <c r="M365" s="15"/>
      <c r="N365" s="15"/>
      <c r="O365" s="17"/>
      <c r="P365" s="17"/>
      <c r="Q365" s="17"/>
      <c r="R365" s="17"/>
      <c r="S365" s="160"/>
    </row>
    <row r="366" spans="1:19" x14ac:dyDescent="0.25">
      <c r="A366" s="20"/>
      <c r="B366" s="27"/>
      <c r="C366" s="90"/>
      <c r="D366" s="24"/>
      <c r="E366" s="25"/>
      <c r="F366" s="26"/>
      <c r="G366" s="19"/>
      <c r="H366" s="19"/>
      <c r="I366" s="19"/>
      <c r="J366" s="15" t="str">
        <f t="shared" si="11"/>
        <v/>
      </c>
      <c r="K366" s="16" t="str">
        <f t="shared" si="12"/>
        <v/>
      </c>
      <c r="L366" s="15"/>
      <c r="M366" s="15"/>
      <c r="N366" s="15"/>
      <c r="O366" s="17"/>
      <c r="P366" s="17"/>
      <c r="Q366" s="17"/>
      <c r="R366" s="17"/>
      <c r="S366" s="160"/>
    </row>
    <row r="367" spans="1:19" x14ac:dyDescent="0.25">
      <c r="A367" s="20"/>
      <c r="B367" s="27"/>
      <c r="C367" s="91"/>
      <c r="D367" s="21"/>
      <c r="E367" s="25"/>
      <c r="F367" s="26"/>
      <c r="G367" s="19"/>
      <c r="H367" s="19"/>
      <c r="I367" s="19"/>
      <c r="J367" s="15" t="str">
        <f t="shared" si="11"/>
        <v/>
      </c>
      <c r="K367" s="16" t="str">
        <f t="shared" si="12"/>
        <v/>
      </c>
      <c r="L367" s="15"/>
      <c r="M367" s="15"/>
      <c r="N367" s="15"/>
      <c r="O367" s="17"/>
      <c r="P367" s="17"/>
      <c r="Q367" s="17"/>
      <c r="R367" s="17"/>
      <c r="S367" s="160"/>
    </row>
    <row r="368" spans="1:19" x14ac:dyDescent="0.25">
      <c r="A368" s="20"/>
      <c r="B368" s="27"/>
      <c r="C368" s="91"/>
      <c r="D368" s="21"/>
      <c r="E368" s="22"/>
      <c r="F368" s="23"/>
      <c r="G368" s="19"/>
      <c r="H368" s="19"/>
      <c r="I368" s="19"/>
      <c r="J368" s="15" t="str">
        <f t="shared" si="11"/>
        <v/>
      </c>
      <c r="K368" s="16" t="str">
        <f t="shared" si="12"/>
        <v/>
      </c>
      <c r="L368" s="15"/>
      <c r="M368" s="15"/>
      <c r="N368" s="15"/>
      <c r="O368" s="17"/>
      <c r="P368" s="17"/>
      <c r="Q368" s="17"/>
      <c r="R368" s="17"/>
      <c r="S368" s="160"/>
    </row>
    <row r="369" spans="1:19" x14ac:dyDescent="0.25">
      <c r="A369" s="20"/>
      <c r="B369" s="27"/>
      <c r="C369" s="91"/>
      <c r="D369" s="21"/>
      <c r="E369" s="22"/>
      <c r="F369" s="23"/>
      <c r="G369" s="19"/>
      <c r="H369" s="19"/>
      <c r="I369" s="19"/>
      <c r="J369" s="15" t="str">
        <f t="shared" si="11"/>
        <v/>
      </c>
      <c r="K369" s="16" t="str">
        <f t="shared" si="12"/>
        <v/>
      </c>
      <c r="L369" s="15"/>
      <c r="M369" s="15"/>
      <c r="N369" s="15"/>
      <c r="O369" s="17"/>
      <c r="P369" s="17"/>
      <c r="Q369" s="17"/>
      <c r="R369" s="17"/>
      <c r="S369" s="160"/>
    </row>
    <row r="370" spans="1:19" x14ac:dyDescent="0.25">
      <c r="A370" s="20"/>
      <c r="B370" s="27"/>
      <c r="C370" s="91"/>
      <c r="D370" s="21"/>
      <c r="E370" s="22"/>
      <c r="F370" s="23"/>
      <c r="G370" s="19"/>
      <c r="H370" s="19"/>
      <c r="I370" s="19"/>
      <c r="J370" s="15" t="str">
        <f t="shared" si="11"/>
        <v/>
      </c>
      <c r="K370" s="16" t="str">
        <f t="shared" si="12"/>
        <v/>
      </c>
      <c r="L370" s="15"/>
      <c r="M370" s="15"/>
      <c r="N370" s="15"/>
      <c r="O370" s="17"/>
      <c r="P370" s="17"/>
      <c r="Q370" s="17"/>
      <c r="R370" s="17"/>
      <c r="S370" s="160"/>
    </row>
    <row r="371" spans="1:19" x14ac:dyDescent="0.25">
      <c r="A371" s="20"/>
      <c r="B371" s="27"/>
      <c r="C371" s="90"/>
      <c r="D371" s="24"/>
      <c r="E371" s="27"/>
      <c r="F371" s="28"/>
      <c r="G371" s="19"/>
      <c r="H371" s="19"/>
      <c r="I371" s="19"/>
      <c r="J371" s="15" t="str">
        <f t="shared" si="11"/>
        <v/>
      </c>
      <c r="K371" s="16" t="str">
        <f t="shared" si="12"/>
        <v/>
      </c>
      <c r="L371" s="15"/>
      <c r="M371" s="15"/>
      <c r="N371" s="15"/>
      <c r="O371" s="17"/>
      <c r="P371" s="17"/>
      <c r="Q371" s="17"/>
      <c r="R371" s="17"/>
      <c r="S371" s="160"/>
    </row>
    <row r="372" spans="1:19" x14ac:dyDescent="0.25">
      <c r="A372" s="20"/>
      <c r="B372" s="27"/>
      <c r="C372" s="90"/>
      <c r="D372" s="24"/>
      <c r="E372" s="22"/>
      <c r="F372" s="23"/>
      <c r="G372" s="19"/>
      <c r="H372" s="19"/>
      <c r="I372" s="19"/>
      <c r="J372" s="15" t="str">
        <f t="shared" si="11"/>
        <v/>
      </c>
      <c r="K372" s="16" t="str">
        <f t="shared" si="12"/>
        <v/>
      </c>
      <c r="L372" s="15"/>
      <c r="M372" s="15"/>
      <c r="N372" s="15"/>
      <c r="O372" s="17"/>
      <c r="P372" s="17"/>
      <c r="Q372" s="17"/>
      <c r="R372" s="17"/>
      <c r="S372" s="160"/>
    </row>
    <row r="373" spans="1:19" x14ac:dyDescent="0.25">
      <c r="A373" s="20"/>
      <c r="B373" s="27"/>
      <c r="C373" s="90"/>
      <c r="D373" s="24"/>
      <c r="E373" s="22"/>
      <c r="F373" s="23"/>
      <c r="G373" s="19"/>
      <c r="H373" s="19"/>
      <c r="I373" s="19"/>
      <c r="J373" s="15" t="str">
        <f t="shared" si="11"/>
        <v/>
      </c>
      <c r="K373" s="16" t="str">
        <f t="shared" si="12"/>
        <v/>
      </c>
      <c r="L373" s="15"/>
      <c r="M373" s="15"/>
      <c r="N373" s="15"/>
      <c r="O373" s="17"/>
      <c r="P373" s="17"/>
      <c r="Q373" s="17"/>
      <c r="R373" s="17"/>
      <c r="S373" s="160"/>
    </row>
    <row r="374" spans="1:19" x14ac:dyDescent="0.25">
      <c r="A374" s="20"/>
      <c r="B374" s="27"/>
      <c r="C374" s="91"/>
      <c r="D374" s="21"/>
      <c r="E374" s="27"/>
      <c r="F374" s="28"/>
      <c r="G374" s="19"/>
      <c r="H374" s="19"/>
      <c r="I374" s="19"/>
      <c r="J374" s="15" t="str">
        <f t="shared" si="11"/>
        <v/>
      </c>
      <c r="K374" s="16" t="str">
        <f t="shared" si="12"/>
        <v/>
      </c>
      <c r="L374" s="15"/>
      <c r="M374" s="15"/>
      <c r="N374" s="15"/>
      <c r="O374" s="17"/>
      <c r="P374" s="17"/>
      <c r="Q374" s="17"/>
      <c r="R374" s="17"/>
      <c r="S374" s="160"/>
    </row>
    <row r="375" spans="1:19" x14ac:dyDescent="0.25">
      <c r="A375" s="20"/>
      <c r="B375" s="27"/>
      <c r="C375" s="90"/>
      <c r="D375" s="24"/>
      <c r="E375" s="27"/>
      <c r="F375" s="28"/>
      <c r="G375" s="19"/>
      <c r="H375" s="19"/>
      <c r="I375" s="19"/>
      <c r="J375" s="15" t="str">
        <f t="shared" si="11"/>
        <v/>
      </c>
      <c r="K375" s="16" t="str">
        <f t="shared" si="12"/>
        <v/>
      </c>
      <c r="L375" s="15"/>
      <c r="M375" s="15"/>
      <c r="N375" s="15"/>
      <c r="O375" s="17"/>
      <c r="P375" s="17"/>
      <c r="Q375" s="17"/>
      <c r="R375" s="17"/>
      <c r="S375" s="160"/>
    </row>
    <row r="376" spans="1:19" x14ac:dyDescent="0.25">
      <c r="A376" s="20"/>
      <c r="B376" s="27"/>
      <c r="C376" s="91"/>
      <c r="D376" s="21"/>
      <c r="E376" s="27"/>
      <c r="F376" s="28"/>
      <c r="G376" s="19"/>
      <c r="H376" s="19"/>
      <c r="I376" s="19"/>
      <c r="J376" s="15" t="str">
        <f t="shared" si="11"/>
        <v/>
      </c>
      <c r="K376" s="16" t="str">
        <f t="shared" si="12"/>
        <v/>
      </c>
      <c r="L376" s="15"/>
      <c r="M376" s="15"/>
      <c r="N376" s="15"/>
      <c r="O376" s="17"/>
      <c r="P376" s="17"/>
      <c r="Q376" s="17"/>
      <c r="R376" s="17"/>
      <c r="S376" s="160"/>
    </row>
    <row r="377" spans="1:19" x14ac:dyDescent="0.25">
      <c r="A377" s="20"/>
      <c r="B377" s="27"/>
      <c r="C377" s="91"/>
      <c r="D377" s="21"/>
      <c r="E377" s="25"/>
      <c r="F377" s="26"/>
      <c r="G377" s="19"/>
      <c r="H377" s="19"/>
      <c r="I377" s="19"/>
      <c r="J377" s="15" t="str">
        <f t="shared" si="11"/>
        <v/>
      </c>
      <c r="K377" s="16" t="str">
        <f t="shared" si="12"/>
        <v/>
      </c>
      <c r="L377" s="15"/>
      <c r="M377" s="15"/>
      <c r="N377" s="15"/>
      <c r="O377" s="17"/>
      <c r="P377" s="17"/>
      <c r="Q377" s="17"/>
      <c r="R377" s="17"/>
      <c r="S377" s="160"/>
    </row>
    <row r="378" spans="1:19" x14ac:dyDescent="0.25">
      <c r="A378" s="20"/>
      <c r="B378" s="27"/>
      <c r="C378" s="91"/>
      <c r="D378" s="21"/>
      <c r="E378" s="22"/>
      <c r="F378" s="23"/>
      <c r="G378" s="19"/>
      <c r="H378" s="19"/>
      <c r="I378" s="19"/>
      <c r="J378" s="15" t="str">
        <f t="shared" si="11"/>
        <v/>
      </c>
      <c r="K378" s="16" t="str">
        <f t="shared" si="12"/>
        <v/>
      </c>
      <c r="L378" s="15"/>
      <c r="M378" s="15"/>
      <c r="N378" s="15"/>
      <c r="O378" s="17"/>
      <c r="P378" s="17"/>
      <c r="Q378" s="17"/>
      <c r="R378" s="17"/>
      <c r="S378" s="160"/>
    </row>
    <row r="379" spans="1:19" x14ac:dyDescent="0.25">
      <c r="A379" s="20"/>
      <c r="B379" s="27"/>
      <c r="C379" s="91"/>
      <c r="D379" s="21"/>
      <c r="E379" s="27"/>
      <c r="F379" s="28"/>
      <c r="G379" s="19"/>
      <c r="H379" s="19"/>
      <c r="I379" s="19"/>
      <c r="J379" s="15" t="str">
        <f t="shared" si="11"/>
        <v/>
      </c>
      <c r="K379" s="16" t="str">
        <f t="shared" si="12"/>
        <v/>
      </c>
      <c r="L379" s="15"/>
      <c r="M379" s="15"/>
      <c r="N379" s="15"/>
      <c r="O379" s="17"/>
      <c r="P379" s="17"/>
      <c r="Q379" s="17"/>
      <c r="R379" s="17"/>
      <c r="S379" s="160"/>
    </row>
    <row r="380" spans="1:19" x14ac:dyDescent="0.25">
      <c r="A380" s="20"/>
      <c r="B380" s="27"/>
      <c r="C380" s="91"/>
      <c r="D380" s="21"/>
      <c r="E380" s="25"/>
      <c r="F380" s="26"/>
      <c r="G380" s="19"/>
      <c r="H380" s="19"/>
      <c r="I380" s="19"/>
      <c r="J380" s="15" t="str">
        <f t="shared" si="11"/>
        <v/>
      </c>
      <c r="K380" s="16" t="str">
        <f t="shared" si="12"/>
        <v/>
      </c>
      <c r="L380" s="15"/>
      <c r="M380" s="15"/>
      <c r="N380" s="15"/>
      <c r="O380" s="17"/>
      <c r="P380" s="17"/>
      <c r="Q380" s="17"/>
      <c r="R380" s="17"/>
      <c r="S380" s="160"/>
    </row>
    <row r="381" spans="1:19" x14ac:dyDescent="0.25">
      <c r="A381" s="20"/>
      <c r="B381" s="27"/>
      <c r="C381" s="91"/>
      <c r="D381" s="21"/>
      <c r="E381" s="27"/>
      <c r="F381" s="28"/>
      <c r="G381" s="19"/>
      <c r="H381" s="19"/>
      <c r="I381" s="19"/>
      <c r="J381" s="15" t="str">
        <f t="shared" si="11"/>
        <v/>
      </c>
      <c r="K381" s="16" t="str">
        <f t="shared" si="12"/>
        <v/>
      </c>
      <c r="L381" s="15"/>
      <c r="M381" s="15"/>
      <c r="N381" s="15"/>
      <c r="O381" s="17"/>
      <c r="P381" s="17"/>
      <c r="Q381" s="17"/>
      <c r="R381" s="17"/>
      <c r="S381" s="160"/>
    </row>
    <row r="382" spans="1:19" x14ac:dyDescent="0.25">
      <c r="A382" s="20"/>
      <c r="B382" s="27"/>
      <c r="C382" s="91"/>
      <c r="D382" s="21"/>
      <c r="E382" s="25"/>
      <c r="F382" s="26"/>
      <c r="G382" s="19"/>
      <c r="H382" s="19"/>
      <c r="I382" s="19"/>
      <c r="J382" s="15" t="str">
        <f t="shared" si="11"/>
        <v/>
      </c>
      <c r="K382" s="16" t="str">
        <f t="shared" si="12"/>
        <v/>
      </c>
      <c r="L382" s="15"/>
      <c r="M382" s="15"/>
      <c r="N382" s="15"/>
      <c r="O382" s="17"/>
      <c r="P382" s="17"/>
      <c r="Q382" s="17"/>
      <c r="R382" s="17"/>
      <c r="S382" s="160"/>
    </row>
    <row r="383" spans="1:19" x14ac:dyDescent="0.25">
      <c r="A383" s="20"/>
      <c r="B383" s="27"/>
      <c r="C383" s="91"/>
      <c r="D383" s="21"/>
      <c r="E383" s="27"/>
      <c r="F383" s="28"/>
      <c r="G383" s="19"/>
      <c r="H383" s="19"/>
      <c r="I383" s="19"/>
      <c r="J383" s="15" t="str">
        <f t="shared" si="11"/>
        <v/>
      </c>
      <c r="K383" s="16" t="str">
        <f t="shared" si="12"/>
        <v/>
      </c>
      <c r="L383" s="15"/>
      <c r="M383" s="15"/>
      <c r="N383" s="15"/>
      <c r="O383" s="17"/>
      <c r="P383" s="17"/>
      <c r="Q383" s="17"/>
      <c r="R383" s="17"/>
      <c r="S383" s="160"/>
    </row>
    <row r="384" spans="1:19" x14ac:dyDescent="0.25">
      <c r="A384" s="20"/>
      <c r="B384" s="27"/>
      <c r="C384" s="91"/>
      <c r="D384" s="21"/>
      <c r="E384" s="22"/>
      <c r="F384" s="23"/>
      <c r="G384" s="19"/>
      <c r="H384" s="19"/>
      <c r="I384" s="19"/>
      <c r="J384" s="15" t="str">
        <f t="shared" si="11"/>
        <v/>
      </c>
      <c r="K384" s="16" t="str">
        <f t="shared" si="12"/>
        <v/>
      </c>
      <c r="L384" s="15"/>
      <c r="M384" s="15"/>
      <c r="N384" s="15"/>
      <c r="O384" s="17"/>
      <c r="P384" s="17"/>
      <c r="Q384" s="17"/>
      <c r="R384" s="17"/>
      <c r="S384" s="160"/>
    </row>
    <row r="385" spans="1:19" x14ac:dyDescent="0.25">
      <c r="A385" s="20"/>
      <c r="B385" s="27"/>
      <c r="C385" s="90"/>
      <c r="D385" s="24"/>
      <c r="E385" s="22"/>
      <c r="F385" s="23"/>
      <c r="G385" s="19"/>
      <c r="H385" s="19"/>
      <c r="I385" s="19"/>
      <c r="J385" s="15" t="str">
        <f t="shared" si="11"/>
        <v/>
      </c>
      <c r="K385" s="16" t="str">
        <f t="shared" si="12"/>
        <v/>
      </c>
      <c r="L385" s="15"/>
      <c r="M385" s="15"/>
      <c r="N385" s="15"/>
      <c r="O385" s="17"/>
      <c r="P385" s="17"/>
      <c r="Q385" s="17"/>
      <c r="R385" s="17"/>
      <c r="S385" s="160"/>
    </row>
    <row r="386" spans="1:19" x14ac:dyDescent="0.25">
      <c r="A386" s="20"/>
      <c r="B386" s="139"/>
      <c r="C386" s="90"/>
      <c r="D386" s="24"/>
      <c r="E386" s="22"/>
      <c r="F386" s="23"/>
      <c r="G386" s="19"/>
      <c r="H386" s="19"/>
      <c r="I386" s="19"/>
      <c r="J386" s="15" t="str">
        <f t="shared" si="11"/>
        <v/>
      </c>
      <c r="K386" s="16" t="str">
        <f t="shared" si="12"/>
        <v/>
      </c>
      <c r="L386" s="15"/>
      <c r="M386" s="15"/>
      <c r="N386" s="15"/>
      <c r="O386" s="17"/>
      <c r="P386" s="17"/>
      <c r="Q386" s="17"/>
      <c r="R386" s="17"/>
      <c r="S386" s="160"/>
    </row>
    <row r="387" spans="1:19" x14ac:dyDescent="0.25">
      <c r="A387" s="20"/>
      <c r="B387" s="27"/>
      <c r="C387" s="90"/>
      <c r="D387" s="24"/>
      <c r="E387" s="22"/>
      <c r="F387" s="23"/>
      <c r="G387" s="19"/>
      <c r="H387" s="19"/>
      <c r="I387" s="19"/>
      <c r="J387" s="15" t="str">
        <f t="shared" si="11"/>
        <v/>
      </c>
      <c r="K387" s="16" t="str">
        <f t="shared" si="12"/>
        <v/>
      </c>
      <c r="L387" s="15"/>
      <c r="M387" s="15"/>
      <c r="N387" s="15"/>
      <c r="O387" s="17"/>
      <c r="P387" s="17"/>
      <c r="Q387" s="17"/>
      <c r="R387" s="17"/>
      <c r="S387" s="160"/>
    </row>
    <row r="388" spans="1:19" x14ac:dyDescent="0.25">
      <c r="A388" s="20"/>
      <c r="B388" s="27"/>
      <c r="C388" s="91"/>
      <c r="D388" s="21"/>
      <c r="E388" s="22"/>
      <c r="F388" s="23"/>
      <c r="G388" s="19"/>
      <c r="H388" s="19"/>
      <c r="I388" s="19"/>
      <c r="J388" s="15" t="str">
        <f t="shared" si="11"/>
        <v/>
      </c>
      <c r="K388" s="16" t="str">
        <f t="shared" si="12"/>
        <v/>
      </c>
      <c r="L388" s="15"/>
      <c r="M388" s="15"/>
      <c r="N388" s="15"/>
      <c r="O388" s="17"/>
      <c r="P388" s="17"/>
      <c r="Q388" s="17"/>
      <c r="R388" s="17"/>
      <c r="S388" s="160"/>
    </row>
    <row r="389" spans="1:19" x14ac:dyDescent="0.25">
      <c r="A389" s="20"/>
      <c r="B389" s="27"/>
      <c r="C389" s="90"/>
      <c r="D389" s="24"/>
      <c r="E389" s="27"/>
      <c r="F389" s="28"/>
      <c r="G389" s="19"/>
      <c r="H389" s="19"/>
      <c r="I389" s="19"/>
      <c r="J389" s="15" t="str">
        <f t="shared" si="11"/>
        <v/>
      </c>
      <c r="K389" s="16" t="str">
        <f t="shared" si="12"/>
        <v/>
      </c>
      <c r="L389" s="15"/>
      <c r="M389" s="15"/>
      <c r="N389" s="15"/>
      <c r="O389" s="17"/>
      <c r="P389" s="17"/>
      <c r="Q389" s="17"/>
      <c r="R389" s="17"/>
      <c r="S389" s="160"/>
    </row>
    <row r="390" spans="1:19" x14ac:dyDescent="0.25">
      <c r="A390" s="20"/>
      <c r="B390" s="27"/>
      <c r="C390" s="90"/>
      <c r="D390" s="24"/>
      <c r="E390" s="27"/>
      <c r="F390" s="28"/>
      <c r="G390" s="19"/>
      <c r="H390" s="19"/>
      <c r="I390" s="19"/>
      <c r="J390" s="15" t="str">
        <f t="shared" si="11"/>
        <v/>
      </c>
      <c r="K390" s="16" t="str">
        <f t="shared" si="12"/>
        <v/>
      </c>
      <c r="L390" s="15"/>
      <c r="M390" s="15"/>
      <c r="N390" s="15"/>
      <c r="O390" s="17"/>
      <c r="P390" s="17"/>
      <c r="Q390" s="17"/>
      <c r="R390" s="17"/>
      <c r="S390" s="160"/>
    </row>
    <row r="391" spans="1:19" x14ac:dyDescent="0.25">
      <c r="A391" s="20"/>
      <c r="B391" s="27"/>
      <c r="C391" s="90"/>
      <c r="D391" s="24"/>
      <c r="E391" s="27"/>
      <c r="F391" s="28"/>
      <c r="G391" s="19"/>
      <c r="H391" s="19"/>
      <c r="I391" s="19"/>
      <c r="J391" s="15" t="str">
        <f t="shared" si="11"/>
        <v/>
      </c>
      <c r="K391" s="16" t="str">
        <f t="shared" si="12"/>
        <v/>
      </c>
      <c r="L391" s="15"/>
      <c r="M391" s="15"/>
      <c r="N391" s="15"/>
      <c r="O391" s="17"/>
      <c r="P391" s="17"/>
      <c r="Q391" s="17"/>
      <c r="R391" s="17"/>
      <c r="S391" s="160"/>
    </row>
    <row r="392" spans="1:19" x14ac:dyDescent="0.25">
      <c r="A392" s="20"/>
      <c r="B392" s="27"/>
      <c r="C392" s="90"/>
      <c r="D392" s="24"/>
      <c r="E392" s="27"/>
      <c r="F392" s="28"/>
      <c r="G392" s="19"/>
      <c r="H392" s="19"/>
      <c r="I392" s="19"/>
      <c r="J392" s="15" t="str">
        <f t="shared" si="11"/>
        <v/>
      </c>
      <c r="K392" s="16" t="str">
        <f t="shared" si="12"/>
        <v/>
      </c>
      <c r="L392" s="15"/>
      <c r="M392" s="15"/>
      <c r="N392" s="15"/>
      <c r="O392" s="17"/>
      <c r="P392" s="17"/>
      <c r="Q392" s="17"/>
      <c r="R392" s="17"/>
      <c r="S392" s="160"/>
    </row>
    <row r="393" spans="1:19" x14ac:dyDescent="0.25">
      <c r="A393" s="20"/>
      <c r="B393" s="27"/>
      <c r="C393" s="90"/>
      <c r="D393" s="24"/>
      <c r="E393" s="27"/>
      <c r="F393" s="28"/>
      <c r="G393" s="19"/>
      <c r="H393" s="19"/>
      <c r="I393" s="19"/>
      <c r="J393" s="15" t="str">
        <f t="shared" si="11"/>
        <v/>
      </c>
      <c r="K393" s="16" t="str">
        <f t="shared" si="12"/>
        <v/>
      </c>
      <c r="L393" s="15"/>
      <c r="M393" s="15"/>
      <c r="N393" s="15"/>
      <c r="O393" s="17"/>
      <c r="P393" s="17"/>
      <c r="Q393" s="17"/>
      <c r="R393" s="17"/>
      <c r="S393" s="160"/>
    </row>
    <row r="394" spans="1:19" x14ac:dyDescent="0.25">
      <c r="A394" s="20"/>
      <c r="B394" s="27"/>
      <c r="C394" s="90"/>
      <c r="D394" s="24"/>
      <c r="E394" s="27"/>
      <c r="F394" s="28"/>
      <c r="G394" s="19"/>
      <c r="H394" s="19"/>
      <c r="I394" s="19"/>
      <c r="J394" s="15" t="str">
        <f t="shared" si="11"/>
        <v/>
      </c>
      <c r="K394" s="16" t="str">
        <f t="shared" si="12"/>
        <v/>
      </c>
      <c r="L394" s="15"/>
      <c r="M394" s="15"/>
      <c r="N394" s="15"/>
      <c r="O394" s="17"/>
      <c r="P394" s="17"/>
      <c r="Q394" s="17"/>
      <c r="R394" s="17"/>
      <c r="S394" s="160"/>
    </row>
    <row r="395" spans="1:19" x14ac:dyDescent="0.25">
      <c r="A395" s="20"/>
      <c r="B395" s="27"/>
      <c r="C395" s="90"/>
      <c r="D395" s="24"/>
      <c r="E395" s="27"/>
      <c r="F395" s="28"/>
      <c r="G395" s="19"/>
      <c r="H395" s="19"/>
      <c r="I395" s="19"/>
      <c r="J395" s="15" t="str">
        <f t="shared" si="11"/>
        <v/>
      </c>
      <c r="K395" s="16" t="str">
        <f t="shared" si="12"/>
        <v/>
      </c>
      <c r="L395" s="15"/>
      <c r="M395" s="15"/>
      <c r="N395" s="15"/>
      <c r="O395" s="17"/>
      <c r="P395" s="17"/>
      <c r="Q395" s="17"/>
      <c r="R395" s="17"/>
      <c r="S395" s="160"/>
    </row>
  </sheetData>
  <mergeCells count="12">
    <mergeCell ref="E7:G7"/>
    <mergeCell ref="J7:K7"/>
    <mergeCell ref="J5:K6"/>
    <mergeCell ref="A1:S1"/>
    <mergeCell ref="A2:B2"/>
    <mergeCell ref="A3:B3"/>
    <mergeCell ref="C3:K3"/>
    <mergeCell ref="A4:A7"/>
    <mergeCell ref="C4:E4"/>
    <mergeCell ref="L5:L6"/>
    <mergeCell ref="M5:M6"/>
    <mergeCell ref="C2:F2"/>
  </mergeCells>
  <conditionalFormatting sqref="B5">
    <cfRule type="expression" dxfId="11" priority="9">
      <formula>$C$5&gt;0</formula>
    </cfRule>
  </conditionalFormatting>
  <conditionalFormatting sqref="E5:F5">
    <cfRule type="expression" dxfId="10" priority="11">
      <formula>$G$5&gt;0</formula>
    </cfRule>
  </conditionalFormatting>
  <conditionalFormatting sqref="J5">
    <cfRule type="expression" dxfId="9" priority="4">
      <formula>$G$5&gt;0</formula>
    </cfRule>
  </conditionalFormatting>
  <conditionalFormatting sqref="L5:N5">
    <cfRule type="expression" dxfId="8" priority="6">
      <formula>$G$5&gt;0</formula>
    </cfRule>
  </conditionalFormatting>
  <conditionalFormatting sqref="E6:F6">
    <cfRule type="expression" dxfId="7" priority="7">
      <formula>$G$5&gt;0</formula>
    </cfRule>
  </conditionalFormatting>
  <conditionalFormatting sqref="N6">
    <cfRule type="expression" dxfId="6" priority="5">
      <formula>$G$5&gt;0</formula>
    </cfRule>
  </conditionalFormatting>
  <conditionalFormatting sqref="B6:B7">
    <cfRule type="expression" dxfId="5" priority="8">
      <formula>$C$6&gt;0</formula>
    </cfRule>
  </conditionalFormatting>
  <conditionalFormatting sqref="J197:J200">
    <cfRule type="cellIs" dxfId="4" priority="3" stopIfTrue="1" operator="equal">
      <formula>0</formula>
    </cfRule>
  </conditionalFormatting>
  <conditionalFormatting sqref="K197:N200 N183:N196">
    <cfRule type="cellIs" dxfId="3" priority="2" stopIfTrue="1" operator="equal">
      <formula>0</formula>
    </cfRule>
  </conditionalFormatting>
  <conditionalFormatting sqref="J201:N395 N67:N182 J67:M196">
    <cfRule type="cellIs" dxfId="2" priority="10" stopIfTrue="1" operator="equal">
      <formula>0</formula>
    </cfRule>
  </conditionalFormatting>
  <conditionalFormatting sqref="J9:L66">
    <cfRule type="cellIs" dxfId="1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460C-DFCA-4548-88EF-2049E44F87A9}">
  <sheetPr codeName="Sheet2"/>
  <dimension ref="A1:W31"/>
  <sheetViews>
    <sheetView workbookViewId="0">
      <selection activeCell="J3" sqref="J3"/>
    </sheetView>
  </sheetViews>
  <sheetFormatPr defaultRowHeight="15" x14ac:dyDescent="0.25"/>
  <cols>
    <col min="1" max="1" width="5" style="161" customWidth="1"/>
    <col min="2" max="2" width="16.85546875" customWidth="1"/>
    <col min="3" max="3" width="16.140625" customWidth="1"/>
    <col min="4" max="4" width="14" customWidth="1"/>
    <col min="5" max="6" width="7.7109375" customWidth="1"/>
    <col min="7" max="7" width="5.28515625" customWidth="1"/>
    <col min="8" max="8" width="14.140625" customWidth="1"/>
    <col min="9" max="9" width="20.7109375" hidden="1" customWidth="1"/>
    <col min="10" max="10" width="18.5703125" customWidth="1"/>
    <col min="11" max="11" width="22" customWidth="1"/>
    <col min="12" max="12" width="12.42578125" customWidth="1"/>
  </cols>
  <sheetData>
    <row r="1" spans="1:23" x14ac:dyDescent="0.25">
      <c r="A1" s="161">
        <f>L2</f>
        <v>18</v>
      </c>
      <c r="B1" t="s">
        <v>51</v>
      </c>
      <c r="J1" t="s">
        <v>52</v>
      </c>
      <c r="L1" t="s">
        <v>53</v>
      </c>
    </row>
    <row r="2" spans="1:23" ht="30" customHeight="1" x14ac:dyDescent="0.25">
      <c r="A2" s="161">
        <f>A1+1</f>
        <v>19</v>
      </c>
      <c r="B2" s="97" t="s">
        <v>54</v>
      </c>
      <c r="C2" s="98">
        <f>K4</f>
        <v>994859574</v>
      </c>
      <c r="D2" s="180"/>
      <c r="E2" s="180"/>
      <c r="F2" s="180"/>
      <c r="G2" s="180"/>
      <c r="H2" s="180"/>
      <c r="I2" s="180"/>
      <c r="J2" s="99">
        <v>1</v>
      </c>
      <c r="L2" s="95">
        <v>18</v>
      </c>
    </row>
    <row r="3" spans="1:23" ht="17.25" customHeight="1" x14ac:dyDescent="0.25">
      <c r="B3" s="185" t="s">
        <v>71</v>
      </c>
      <c r="C3" s="185"/>
      <c r="D3" s="185"/>
      <c r="E3" s="185"/>
      <c r="F3" s="185"/>
      <c r="G3" s="185"/>
      <c r="H3" s="185"/>
      <c r="I3" s="94"/>
      <c r="J3" s="100"/>
      <c r="K3" s="101"/>
      <c r="L3" s="100"/>
      <c r="M3" s="101"/>
      <c r="N3" s="101"/>
      <c r="O3" s="101"/>
    </row>
    <row r="4" spans="1:23" ht="30" customHeight="1" x14ac:dyDescent="0.25">
      <c r="B4" s="181" t="s">
        <v>70</v>
      </c>
      <c r="C4" s="181"/>
      <c r="D4" s="181"/>
      <c r="E4" s="181"/>
      <c r="F4" s="181"/>
      <c r="G4" s="181"/>
      <c r="H4" s="181"/>
      <c r="I4" s="181"/>
      <c r="J4" s="102" t="s">
        <v>75</v>
      </c>
      <c r="K4" s="102">
        <f>_xlfn.XLOOKUP($J$2,'SOUTH Wells'!$A:$A,'SOUTH Wells'!$B:$B,"")</f>
        <v>994859574</v>
      </c>
      <c r="L4" s="101"/>
      <c r="M4" s="101"/>
      <c r="N4" s="101"/>
      <c r="O4" s="101"/>
    </row>
    <row r="5" spans="1:23" ht="29.25" customHeight="1" x14ac:dyDescent="0.25">
      <c r="B5" s="182" t="s">
        <v>55</v>
      </c>
      <c r="C5" s="182"/>
      <c r="D5" s="182"/>
      <c r="E5" s="182"/>
      <c r="F5" s="182"/>
      <c r="G5" s="183" t="str">
        <f>K5</f>
        <v>GURGALOT X-1</v>
      </c>
      <c r="H5" s="183"/>
      <c r="I5" s="183"/>
      <c r="J5" s="102" t="s">
        <v>76</v>
      </c>
      <c r="K5" s="102" t="str">
        <f>_xlfn.XLOOKUP($J$2,'SOUTH Wells'!$A:$A,'SOUTH Wells'!$E:$E,"")</f>
        <v>GURGALOT X-1</v>
      </c>
      <c r="L5" s="101"/>
      <c r="M5" s="101"/>
      <c r="N5" s="101"/>
      <c r="O5" s="101"/>
    </row>
    <row r="6" spans="1:23" x14ac:dyDescent="0.25">
      <c r="J6" s="101"/>
      <c r="K6" s="101"/>
      <c r="L6" s="101"/>
      <c r="M6" s="101"/>
      <c r="N6" s="101"/>
      <c r="O6" s="101"/>
    </row>
    <row r="7" spans="1:23" s="97" customFormat="1" ht="29.25" customHeight="1" x14ac:dyDescent="0.25">
      <c r="A7" s="162">
        <f>A2+1</f>
        <v>20</v>
      </c>
      <c r="B7" s="182" t="s">
        <v>56</v>
      </c>
      <c r="C7" s="182"/>
      <c r="D7" s="132">
        <f>J7</f>
        <v>68300</v>
      </c>
      <c r="E7" s="186" t="str" cm="1">
        <f t="array" ref="E7">DollarAmount(D7)</f>
        <v>Sixty-Eight Thousand Three Hundred Dollars and 00 Cents Only</v>
      </c>
      <c r="F7" s="187"/>
      <c r="G7" s="187"/>
      <c r="H7" s="187"/>
      <c r="I7" s="96"/>
      <c r="J7" s="103">
        <f>IFERROR(INDEX('SOUTH Wells'!$G:$G,MATCH($J$2,'SOUTH Wells'!$A:$A,0)),"")</f>
        <v>68300</v>
      </c>
      <c r="K7" s="103" t="s">
        <v>73</v>
      </c>
      <c r="L7" s="103"/>
      <c r="M7" s="103"/>
      <c r="N7" s="103"/>
      <c r="O7" s="103"/>
    </row>
    <row r="8" spans="1:23" s="97" customFormat="1" ht="29.25" customHeight="1" x14ac:dyDescent="0.25">
      <c r="A8" s="162">
        <f>A7+1</f>
        <v>21</v>
      </c>
      <c r="B8" s="182" t="s">
        <v>57</v>
      </c>
      <c r="C8" s="182"/>
      <c r="D8" s="132">
        <f>J8</f>
        <v>68300</v>
      </c>
      <c r="E8" s="188" t="str" cm="1">
        <f t="array" ref="E8">DollarAmount(D8)</f>
        <v>Sixty-Eight Thousand Three Hundred Dollars and 00 Cents Only</v>
      </c>
      <c r="F8" s="189"/>
      <c r="G8" s="189"/>
      <c r="H8" s="189"/>
      <c r="I8" s="96"/>
      <c r="J8" s="103">
        <f>IFERROR(INDEX('SOUTH Wells'!$K:$K,MATCH($J$2,'SOUTH Wells'!$A:$A,0)),"")</f>
        <v>68300</v>
      </c>
      <c r="K8" s="103" t="s">
        <v>74</v>
      </c>
      <c r="L8" s="103"/>
      <c r="M8" s="103"/>
      <c r="N8" s="103"/>
      <c r="O8" s="103"/>
    </row>
    <row r="9" spans="1:23" x14ac:dyDescent="0.25">
      <c r="A9" s="161" t="s">
        <v>29</v>
      </c>
      <c r="B9" t="s">
        <v>58</v>
      </c>
      <c r="J9" s="101"/>
      <c r="K9" s="101"/>
      <c r="L9" s="101"/>
      <c r="M9" s="101"/>
      <c r="N9" s="101"/>
      <c r="O9" s="101"/>
    </row>
    <row r="10" spans="1:23" x14ac:dyDescent="0.25">
      <c r="B10" s="184" t="s">
        <v>72</v>
      </c>
      <c r="C10" s="184"/>
      <c r="D10" s="184"/>
      <c r="E10" s="184"/>
      <c r="F10" s="184"/>
      <c r="G10" s="184"/>
      <c r="H10" s="184"/>
      <c r="I10" s="184"/>
      <c r="J10" s="101">
        <v>1</v>
      </c>
      <c r="K10" s="101"/>
      <c r="L10" s="101"/>
      <c r="M10" s="101"/>
      <c r="N10" s="101"/>
      <c r="O10" s="101"/>
    </row>
    <row r="11" spans="1:23" x14ac:dyDescent="0.25">
      <c r="J11" s="101" t="s">
        <v>59</v>
      </c>
      <c r="K11" s="101"/>
      <c r="L11" s="101"/>
      <c r="M11" s="101"/>
      <c r="N11" s="101"/>
      <c r="O11" s="101"/>
    </row>
    <row r="12" spans="1:23" x14ac:dyDescent="0.25">
      <c r="J12" s="101">
        <v>4</v>
      </c>
      <c r="K12" s="101"/>
      <c r="L12" s="101"/>
      <c r="M12" s="101"/>
      <c r="N12" s="101"/>
      <c r="O12" s="101"/>
    </row>
    <row r="13" spans="1:23" ht="30.75" customHeight="1" x14ac:dyDescent="0.25">
      <c r="A13" s="163">
        <f>A8+1</f>
        <v>22</v>
      </c>
      <c r="B13" s="180" t="s">
        <v>69</v>
      </c>
      <c r="C13" s="180"/>
      <c r="D13" s="180"/>
      <c r="E13" s="180"/>
      <c r="F13" s="180"/>
      <c r="G13" s="180"/>
      <c r="H13" s="180"/>
      <c r="J13" s="101"/>
      <c r="K13" s="101" t="e" cm="1">
        <f t="array" aca="1" ref="K13" ca="1">SpellDollars(J8)</f>
        <v>#NAME?</v>
      </c>
      <c r="L13" s="101"/>
      <c r="M13" s="101"/>
      <c r="N13" s="101"/>
      <c r="O13" s="101"/>
      <c r="W13">
        <f>63*280</f>
        <v>17640</v>
      </c>
    </row>
    <row r="14" spans="1:23" x14ac:dyDescent="0.25">
      <c r="J14" s="101"/>
      <c r="K14" s="101" t="str">
        <f>IF(J8=0,"Zero Dollars and Zero Cents",IF(INT(J8)=0,"",IF(INT(J8)&lt;10000,TEXT(INT(J8),"[$-409]###0")&amp;" Dollars","")))&amp;IF(AND(INT(J8)&gt;0,MOD(J8,1)&lt;&gt;0)," and ","")&amp;IF(MOD(J8,1)=0,IF(INT(J8)=0,"","Zero Cents"),TRIM(TEXT(MOD(J8,1)*100,"[$-409]##0")&amp;" Cents"))</f>
        <v>Zero Cents</v>
      </c>
      <c r="L14" s="101" t="s">
        <v>29</v>
      </c>
      <c r="M14" s="101"/>
      <c r="N14" s="101"/>
      <c r="O14" s="101"/>
    </row>
    <row r="15" spans="1:23" x14ac:dyDescent="0.25">
      <c r="J15" s="101"/>
      <c r="K15" s="101"/>
      <c r="L15" s="101"/>
      <c r="M15" s="101"/>
      <c r="N15" s="101"/>
      <c r="O15" s="101"/>
    </row>
    <row r="16" spans="1:23" x14ac:dyDescent="0.25">
      <c r="I16" t="s">
        <v>60</v>
      </c>
      <c r="J16" s="101"/>
      <c r="K16" s="101"/>
      <c r="L16" s="101" t="s">
        <v>61</v>
      </c>
      <c r="M16" s="101"/>
      <c r="N16" s="101"/>
      <c r="O16" s="101"/>
    </row>
    <row r="17" spans="1:15" x14ac:dyDescent="0.25">
      <c r="I17" t="s">
        <v>62</v>
      </c>
      <c r="J17" s="101"/>
      <c r="K17" s="101"/>
      <c r="L17" s="101"/>
      <c r="M17" s="101" t="s">
        <v>29</v>
      </c>
      <c r="N17" s="101"/>
      <c r="O17" s="101"/>
    </row>
    <row r="18" spans="1:15" x14ac:dyDescent="0.25">
      <c r="I18" t="s">
        <v>63</v>
      </c>
    </row>
    <row r="21" spans="1:15" x14ac:dyDescent="0.25">
      <c r="A21" s="161">
        <f>A13+1</f>
        <v>23</v>
      </c>
      <c r="B21" s="164" t="s">
        <v>64</v>
      </c>
    </row>
    <row r="25" spans="1:15" x14ac:dyDescent="0.25">
      <c r="A25" s="161">
        <f>A21+1</f>
        <v>24</v>
      </c>
      <c r="B25" s="164" t="s">
        <v>65</v>
      </c>
    </row>
    <row r="28" spans="1:15" x14ac:dyDescent="0.25">
      <c r="A28" s="161">
        <f>A25+1</f>
        <v>25</v>
      </c>
      <c r="B28" s="164" t="s">
        <v>66</v>
      </c>
    </row>
    <row r="31" spans="1:15" x14ac:dyDescent="0.25">
      <c r="A31" s="161">
        <f>A28+1</f>
        <v>26</v>
      </c>
      <c r="B31" s="164" t="s">
        <v>67</v>
      </c>
    </row>
  </sheetData>
  <mergeCells count="11">
    <mergeCell ref="B10:I10"/>
    <mergeCell ref="B3:H3"/>
    <mergeCell ref="B13:H13"/>
    <mergeCell ref="E7:H7"/>
    <mergeCell ref="E8:H8"/>
    <mergeCell ref="D2:I2"/>
    <mergeCell ref="B4:I4"/>
    <mergeCell ref="B7:C7"/>
    <mergeCell ref="B8:C8"/>
    <mergeCell ref="B5:F5"/>
    <mergeCell ref="G5:I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88F1-B645-4A3F-86EE-3D8C5FB5508A}">
  <sheetPr codeName="Sheet3"/>
  <dimension ref="A1:M216"/>
  <sheetViews>
    <sheetView workbookViewId="0">
      <selection activeCell="G65" sqref="G65"/>
    </sheetView>
  </sheetViews>
  <sheetFormatPr defaultRowHeight="15" x14ac:dyDescent="0.25"/>
  <cols>
    <col min="1" max="1" width="8" customWidth="1"/>
    <col min="2" max="2" width="17.7109375" style="129" customWidth="1"/>
    <col min="3" max="3" width="13.28515625" style="97" customWidth="1"/>
    <col min="4" max="4" width="13" customWidth="1"/>
    <col min="5" max="5" width="11.140625" style="120" customWidth="1"/>
    <col min="6" max="6" width="13.7109375" style="121" customWidth="1"/>
    <col min="7" max="7" width="14.5703125" style="121" customWidth="1"/>
    <col min="13" max="13" width="11.7109375" bestFit="1" customWidth="1"/>
  </cols>
  <sheetData>
    <row r="1" spans="1:13" ht="18.75" customHeight="1" x14ac:dyDescent="0.25">
      <c r="A1" s="104" t="s">
        <v>77</v>
      </c>
      <c r="B1" s="126"/>
      <c r="C1" s="122"/>
      <c r="D1" s="105"/>
      <c r="E1" s="105"/>
      <c r="F1" s="105"/>
      <c r="G1" s="106"/>
    </row>
    <row r="2" spans="1:13" ht="18.75" customHeight="1" x14ac:dyDescent="0.25">
      <c r="A2" s="195" t="s">
        <v>1</v>
      </c>
      <c r="B2" s="196"/>
      <c r="C2" s="197" t="s">
        <v>78</v>
      </c>
      <c r="D2" s="197"/>
      <c r="E2" s="197"/>
      <c r="F2" s="197"/>
      <c r="G2" s="198"/>
    </row>
    <row r="3" spans="1:13" ht="18.75" customHeight="1" x14ac:dyDescent="0.25">
      <c r="A3" s="193" t="s">
        <v>2</v>
      </c>
      <c r="B3" s="194"/>
      <c r="C3" s="199" t="s">
        <v>79</v>
      </c>
      <c r="D3" s="199"/>
      <c r="E3" s="199"/>
      <c r="F3" s="199"/>
      <c r="G3" s="200"/>
    </row>
    <row r="4" spans="1:13" ht="27" customHeight="1" x14ac:dyDescent="0.25">
      <c r="A4" s="191" t="s">
        <v>4</v>
      </c>
      <c r="B4" s="201" t="s">
        <v>5</v>
      </c>
      <c r="C4" s="201"/>
      <c r="D4" s="202" t="s">
        <v>82</v>
      </c>
      <c r="E4" s="202"/>
      <c r="F4" s="203" t="s">
        <v>83</v>
      </c>
      <c r="G4" s="203"/>
    </row>
    <row r="5" spans="1:13" ht="24" customHeight="1" thickBot="1" x14ac:dyDescent="0.3">
      <c r="A5" s="192"/>
      <c r="B5" s="190">
        <f>'SOUTH Wells'!C4</f>
        <v>4704544</v>
      </c>
      <c r="C5" s="190"/>
      <c r="D5" s="190">
        <f>'SOUTH Wells'!L7</f>
        <v>2141036.8249999997</v>
      </c>
      <c r="E5" s="190"/>
      <c r="F5" s="190">
        <f>'SOUTH Wells'!M7</f>
        <v>45.50997556830162</v>
      </c>
      <c r="G5" s="190"/>
    </row>
    <row r="6" spans="1:13" s="14" customFormat="1" ht="37.5" customHeight="1" x14ac:dyDescent="0.2">
      <c r="A6" s="107" t="s">
        <v>10</v>
      </c>
      <c r="B6" s="127" t="s">
        <v>11</v>
      </c>
      <c r="C6" s="123" t="s">
        <v>12</v>
      </c>
      <c r="D6" s="108" t="s">
        <v>14</v>
      </c>
      <c r="E6" s="109" t="s">
        <v>80</v>
      </c>
      <c r="F6" s="109" t="s">
        <v>81</v>
      </c>
      <c r="G6" s="110" t="s">
        <v>20</v>
      </c>
    </row>
    <row r="7" spans="1:13" ht="18.75" customHeight="1" x14ac:dyDescent="0.25">
      <c r="A7" s="111">
        <v>1</v>
      </c>
      <c r="B7" s="128">
        <f>IF(A7&gt;0,'SOUTH Wells'!B9,"")</f>
        <v>994859574</v>
      </c>
      <c r="C7" s="130">
        <f>IF(A7&gt;0,'SOUTH Wells'!C9,"")</f>
        <v>45678</v>
      </c>
      <c r="D7" s="131" t="str">
        <f>IF(A7&gt;0,'SOUTH Wells'!E9,"")</f>
        <v>GURGALOT X-1</v>
      </c>
      <c r="E7" s="113">
        <f>IF(A7&gt;0,'SOUTH Wells'!K9,"")</f>
        <v>68300</v>
      </c>
      <c r="F7" s="15">
        <f>IF(A7&gt;0,$B$5-E7,"")</f>
        <v>4636244</v>
      </c>
      <c r="G7" s="114">
        <f>E7</f>
        <v>68300</v>
      </c>
      <c r="M7" s="125"/>
    </row>
    <row r="8" spans="1:13" ht="18.75" customHeight="1" x14ac:dyDescent="0.25">
      <c r="A8" s="111">
        <v>2</v>
      </c>
      <c r="B8" s="128">
        <f>IF(A8&gt;0,'SOUTH Wells'!B10,"")</f>
        <v>994859502</v>
      </c>
      <c r="C8" s="130">
        <f>IF(A8&gt;0,'SOUTH Wells'!C10,"")</f>
        <v>45682</v>
      </c>
      <c r="D8" s="131" t="str">
        <f>IF(A8&gt;0,'SOUTH Wells'!E10,"")</f>
        <v>BARAGZAI X-1</v>
      </c>
      <c r="E8" s="113">
        <f>IF(A8&gt;0,'SOUTH Wells'!K10,"")</f>
        <v>39220</v>
      </c>
      <c r="F8" s="15">
        <f>IF(A8&gt;0,F7-E8,"")</f>
        <v>4597024</v>
      </c>
      <c r="G8" s="114">
        <f>IF(A8&gt;0,G7+E8,"")</f>
        <v>107520</v>
      </c>
    </row>
    <row r="9" spans="1:13" ht="18.75" customHeight="1" x14ac:dyDescent="0.25">
      <c r="A9" s="111">
        <v>3</v>
      </c>
      <c r="B9" s="128">
        <f>IF(A9&gt;0,'SOUTH Wells'!B11,"")</f>
        <v>994859510</v>
      </c>
      <c r="C9" s="130">
        <f>IF(A9&gt;0,'SOUTH Wells'!C11,"")</f>
        <v>45687</v>
      </c>
      <c r="D9" s="131" t="str">
        <f>IF(A9&gt;0,'SOUTH Wells'!E11,"")</f>
        <v>BARAGZAI X-1</v>
      </c>
      <c r="E9" s="113">
        <f>IF(A9&gt;0,'SOUTH Wells'!K11,"")</f>
        <v>65629</v>
      </c>
      <c r="F9" s="15">
        <f t="shared" ref="F9:F72" si="0">IF(A9&gt;0,F8-E9,"")</f>
        <v>4531395</v>
      </c>
      <c r="G9" s="114">
        <f>IF(A9&gt;0,G8+E9,"")</f>
        <v>173149</v>
      </c>
    </row>
    <row r="10" spans="1:13" ht="18.75" customHeight="1" x14ac:dyDescent="0.25">
      <c r="A10" s="111">
        <v>4</v>
      </c>
      <c r="B10" s="128">
        <f>IF(A10&gt;0,'SOUTH Wells'!B12,"")</f>
        <v>994859557</v>
      </c>
      <c r="C10" s="130">
        <f>IF(A10&gt;0,'SOUTH Wells'!C12,"")</f>
        <v>45698</v>
      </c>
      <c r="D10" s="131" t="str">
        <f>IF(A10&gt;0,'SOUTH Wells'!E12,"")</f>
        <v>BARAGZAI X-1</v>
      </c>
      <c r="E10" s="113">
        <f>IF(A10&gt;0,'SOUTH Wells'!K12,"")</f>
        <v>3500</v>
      </c>
      <c r="F10" s="15">
        <f t="shared" si="0"/>
        <v>4527895</v>
      </c>
      <c r="G10" s="114">
        <f t="shared" ref="G10:G16" si="1">IF(A10&gt;0,G9+E10,"")</f>
        <v>176649</v>
      </c>
    </row>
    <row r="11" spans="1:13" ht="18.75" customHeight="1" x14ac:dyDescent="0.25">
      <c r="A11" s="111">
        <v>5</v>
      </c>
      <c r="B11" s="128">
        <f>IF(A11&gt;0,'SOUTH Wells'!B13,"")</f>
        <v>994859735</v>
      </c>
      <c r="C11" s="130">
        <f>IF(A11&gt;0,'SOUTH Wells'!C13,"")</f>
        <v>45704</v>
      </c>
      <c r="D11" s="131" t="str">
        <f>IF(A11&gt;0,'SOUTH Wells'!E13,"")</f>
        <v>GURGALOT X-1</v>
      </c>
      <c r="E11" s="113">
        <f>IF(A11&gt;0,'SOUTH Wells'!K13,"")</f>
        <v>7600</v>
      </c>
      <c r="F11" s="15">
        <f t="shared" si="0"/>
        <v>4520295</v>
      </c>
      <c r="G11" s="114">
        <f t="shared" si="1"/>
        <v>184249</v>
      </c>
    </row>
    <row r="12" spans="1:13" ht="18.75" customHeight="1" x14ac:dyDescent="0.25">
      <c r="A12" s="111">
        <v>6</v>
      </c>
      <c r="B12" s="128">
        <f>IF(A12&gt;0,'SOUTH Wells'!B14,"")</f>
        <v>994859544</v>
      </c>
      <c r="C12" s="130">
        <f>IF(A12&gt;0,'SOUTH Wells'!C14,"")</f>
        <v>45695</v>
      </c>
      <c r="D12" s="131" t="str">
        <f>IF(A12&gt;0,'SOUTH Wells'!E14,"")</f>
        <v>Toot Deep-1</v>
      </c>
      <c r="E12" s="113">
        <f>IF(A12&gt;0,'SOUTH Wells'!K14,"")</f>
        <v>4350</v>
      </c>
      <c r="F12" s="15">
        <f t="shared" si="0"/>
        <v>4515945</v>
      </c>
      <c r="G12" s="114">
        <f t="shared" si="1"/>
        <v>188599</v>
      </c>
    </row>
    <row r="13" spans="1:13" ht="18.75" customHeight="1" x14ac:dyDescent="0.25">
      <c r="A13" s="111">
        <v>7</v>
      </c>
      <c r="B13" s="128">
        <f>IF(A13&gt;0,'SOUTH Wells'!B15,"")</f>
        <v>994859637</v>
      </c>
      <c r="C13" s="130">
        <f>IF(A13&gt;0,'SOUTH Wells'!C15,"")</f>
        <v>45708</v>
      </c>
      <c r="D13" s="131" t="str">
        <f>IF(A13&gt;0,'SOUTH Wells'!E15,"")</f>
        <v>BARAGZAI X-1</v>
      </c>
      <c r="E13" s="113">
        <f>IF(A13&gt;0,'SOUTH Wells'!K15,"")</f>
        <v>166050</v>
      </c>
      <c r="F13" s="15">
        <f t="shared" si="0"/>
        <v>4349895</v>
      </c>
      <c r="G13" s="114">
        <f t="shared" si="1"/>
        <v>354649</v>
      </c>
    </row>
    <row r="14" spans="1:13" ht="18.75" customHeight="1" x14ac:dyDescent="0.25">
      <c r="A14" s="111">
        <v>8</v>
      </c>
      <c r="B14" s="128">
        <f>IF(A14&gt;0,'SOUTH Wells'!B16,"")</f>
        <v>994859648</v>
      </c>
      <c r="C14" s="130">
        <f>IF(A14&gt;0,'SOUTH Wells'!C16,"")</f>
        <v>45730</v>
      </c>
      <c r="D14" s="131" t="str">
        <f>IF(A14&gt;0,'SOUTH Wells'!E16,"")</f>
        <v>GURGALOT X-1</v>
      </c>
      <c r="E14" s="113">
        <f>IF(A14&gt;0,'SOUTH Wells'!K16,"")</f>
        <v>8480</v>
      </c>
      <c r="F14" s="15">
        <f t="shared" si="0"/>
        <v>4341415</v>
      </c>
      <c r="G14" s="114">
        <f t="shared" si="1"/>
        <v>363129</v>
      </c>
    </row>
    <row r="15" spans="1:13" ht="18.75" customHeight="1" x14ac:dyDescent="0.25">
      <c r="A15" s="111">
        <v>9</v>
      </c>
      <c r="B15" s="128">
        <f>IF(A15&gt;0,'SOUTH Wells'!B17,"")</f>
        <v>994859676</v>
      </c>
      <c r="C15" s="130">
        <f>IF(A15&gt;0,'SOUTH Wells'!C17,"")</f>
        <v>45733</v>
      </c>
      <c r="D15" s="131" t="str">
        <f>IF(A15&gt;0,'SOUTH Wells'!E17,"")</f>
        <v>Toot Deep-1</v>
      </c>
      <c r="E15" s="113">
        <f>IF(A15&gt;0,'SOUTH Wells'!K17,"")</f>
        <v>4350</v>
      </c>
      <c r="F15" s="15">
        <f t="shared" si="0"/>
        <v>4337065</v>
      </c>
      <c r="G15" s="114">
        <f t="shared" si="1"/>
        <v>367479</v>
      </c>
    </row>
    <row r="16" spans="1:13" ht="18.75" customHeight="1" x14ac:dyDescent="0.25">
      <c r="A16" s="111">
        <v>10</v>
      </c>
      <c r="B16" s="128">
        <f>IF(A16&gt;0,'SOUTH Wells'!B18,"")</f>
        <v>994859701</v>
      </c>
      <c r="C16" s="130">
        <f>IF(A16&gt;0,'SOUTH Wells'!C18,"")</f>
        <v>45733</v>
      </c>
      <c r="D16" s="131" t="str">
        <f>IF(A16&gt;0,'SOUTH Wells'!E18,"")</f>
        <v>Toot Deep-1</v>
      </c>
      <c r="E16" s="113">
        <f>IF(A16&gt;0,'SOUTH Wells'!K18,"")</f>
        <v>4350</v>
      </c>
      <c r="F16" s="15">
        <f t="shared" si="0"/>
        <v>4332715</v>
      </c>
      <c r="G16" s="114">
        <f t="shared" si="1"/>
        <v>371829</v>
      </c>
    </row>
    <row r="17" spans="1:7" ht="18.75" customHeight="1" x14ac:dyDescent="0.25">
      <c r="A17" s="111">
        <v>11</v>
      </c>
      <c r="B17" s="128">
        <f>IF(A17&gt;0,'SOUTH Wells'!B19,"")</f>
        <v>994859699</v>
      </c>
      <c r="C17" s="130">
        <f>IF(A17&gt;0,'SOUTH Wells'!C19,"")</f>
        <v>45737</v>
      </c>
      <c r="D17" s="131" t="str">
        <f>IF(A17&gt;0,'SOUTH Wells'!E19,"")</f>
        <v>Toot Deep-1</v>
      </c>
      <c r="E17" s="113">
        <f>IF(A17&gt;0,'SOUTH Wells'!K19,"")</f>
        <v>4350</v>
      </c>
      <c r="F17" s="15">
        <f t="shared" si="0"/>
        <v>4328365</v>
      </c>
      <c r="G17" s="114">
        <f t="shared" ref="G17:G72" si="2">IF(A16&gt;0,G16+E17,"")</f>
        <v>376179</v>
      </c>
    </row>
    <row r="18" spans="1:7" ht="18.75" customHeight="1" x14ac:dyDescent="0.25">
      <c r="A18" s="111">
        <v>12</v>
      </c>
      <c r="B18" s="128">
        <f>IF(A18&gt;0,'SOUTH Wells'!B20,"")</f>
        <v>994859700</v>
      </c>
      <c r="C18" s="130" t="str">
        <f>IF(A18&gt;0,'SOUTH Wells'!C20,"")</f>
        <v>17-31 Jan-25</v>
      </c>
      <c r="D18" s="131" t="str">
        <f>IF(A18&gt;0,'SOUTH Wells'!E20,"")</f>
        <v>Toot Deep-1</v>
      </c>
      <c r="E18" s="113">
        <f>IF(A18&gt;0,'SOUTH Wells'!K20,"")</f>
        <v>4350</v>
      </c>
      <c r="F18" s="15">
        <f t="shared" si="0"/>
        <v>4324015</v>
      </c>
      <c r="G18" s="114">
        <f t="shared" si="2"/>
        <v>380529</v>
      </c>
    </row>
    <row r="19" spans="1:7" ht="18.75" customHeight="1" x14ac:dyDescent="0.25">
      <c r="A19" s="111">
        <v>13</v>
      </c>
      <c r="B19" s="128">
        <f>IF(A19&gt;0,'SOUTH Wells'!B21,"")</f>
        <v>994859698</v>
      </c>
      <c r="C19" s="130" t="str">
        <f>IF(A19&gt;0,'SOUTH Wells'!C21,"")</f>
        <v>17-31 Jan-25</v>
      </c>
      <c r="D19" s="131" t="str">
        <f>IF(A19&gt;0,'SOUTH Wells'!E21,"")</f>
        <v>GURGALOT X-1</v>
      </c>
      <c r="E19" s="113">
        <f>IF(A19&gt;0,'SOUTH Wells'!K21,"")</f>
        <v>7600</v>
      </c>
      <c r="F19" s="15">
        <f t="shared" si="0"/>
        <v>4316415</v>
      </c>
      <c r="G19" s="114">
        <f t="shared" si="2"/>
        <v>388129</v>
      </c>
    </row>
    <row r="20" spans="1:7" ht="18.75" customHeight="1" x14ac:dyDescent="0.25">
      <c r="A20" s="111">
        <v>14</v>
      </c>
      <c r="B20" s="128">
        <f>IF(A20&gt;0,'SOUTH Wells'!B22,"")</f>
        <v>994859702</v>
      </c>
      <c r="C20" s="130" t="str">
        <f>IF(A20&gt;0,'SOUTH Wells'!C22,"")</f>
        <v>01-28 Feb-25</v>
      </c>
      <c r="D20" s="131" t="str">
        <f>IF(A20&gt;0,'SOUTH Wells'!E22,"")</f>
        <v>GURGALOT X-1</v>
      </c>
      <c r="E20" s="113">
        <f>IF(A20&gt;0,'SOUTH Wells'!K22,"")</f>
        <v>80730</v>
      </c>
      <c r="F20" s="15">
        <f t="shared" si="0"/>
        <v>4235685</v>
      </c>
      <c r="G20" s="114">
        <f t="shared" si="2"/>
        <v>468859</v>
      </c>
    </row>
    <row r="21" spans="1:7" ht="18.75" customHeight="1" x14ac:dyDescent="0.25">
      <c r="A21" s="111">
        <v>15</v>
      </c>
      <c r="B21" s="128">
        <f>IF(A21&gt;0,'SOUTH Wells'!B23,"")</f>
        <v>994859638</v>
      </c>
      <c r="C21" s="130">
        <f>IF(A21&gt;0,'SOUTH Wells'!C23,"")</f>
        <v>45749</v>
      </c>
      <c r="D21" s="131" t="str">
        <f>IF(A21&gt;0,'SOUTH Wells'!E23,"")</f>
        <v>BETTANI DEEP-1</v>
      </c>
      <c r="E21" s="113">
        <f>IF(A21&gt;0,'SOUTH Wells'!K23,"")</f>
        <v>17475</v>
      </c>
      <c r="F21" s="15">
        <f t="shared" si="0"/>
        <v>4218210</v>
      </c>
      <c r="G21" s="114">
        <f t="shared" si="2"/>
        <v>486334</v>
      </c>
    </row>
    <row r="22" spans="1:7" ht="18.75" customHeight="1" x14ac:dyDescent="0.25">
      <c r="A22" s="111">
        <v>16</v>
      </c>
      <c r="B22" s="128">
        <f>IF(A22&gt;0,'SOUTH Wells'!B24,"")</f>
        <v>994859672</v>
      </c>
      <c r="C22" s="130">
        <f>IF(A22&gt;0,'SOUTH Wells'!C24,"")</f>
        <v>45754</v>
      </c>
      <c r="D22" s="131" t="str">
        <f>IF(A22&gt;0,'SOUTH Wells'!E24,"")</f>
        <v>BETTANI DEEP-1</v>
      </c>
      <c r="E22" s="113">
        <f>IF(A22&gt;0,'SOUTH Wells'!K24,"")</f>
        <v>11475</v>
      </c>
      <c r="F22" s="15">
        <f t="shared" si="0"/>
        <v>4206735</v>
      </c>
      <c r="G22" s="114">
        <f t="shared" si="2"/>
        <v>497809</v>
      </c>
    </row>
    <row r="23" spans="1:7" ht="18.75" customHeight="1" x14ac:dyDescent="0.25">
      <c r="A23" s="111">
        <v>17</v>
      </c>
      <c r="B23" s="128">
        <f>IF(A23&gt;0,'SOUTH Wells'!B25,"")</f>
        <v>994859785</v>
      </c>
      <c r="C23" s="130" t="str">
        <f>IF(A23&gt;0,'SOUTH Wells'!C25,"")</f>
        <v>1-30 Mar-25</v>
      </c>
      <c r="D23" s="131" t="str">
        <f>IF(A23&gt;0,'SOUTH Wells'!E25,"")</f>
        <v>BETTANI DEEP-1</v>
      </c>
      <c r="E23" s="113">
        <f>IF(A23&gt;0,'SOUTH Wells'!K25,"")</f>
        <v>119525</v>
      </c>
      <c r="F23" s="15">
        <f t="shared" si="0"/>
        <v>4087210</v>
      </c>
      <c r="G23" s="114">
        <f t="shared" si="2"/>
        <v>617334</v>
      </c>
    </row>
    <row r="24" spans="1:7" ht="18.75" customHeight="1" x14ac:dyDescent="0.25">
      <c r="A24" s="111">
        <v>18</v>
      </c>
      <c r="B24" s="128">
        <f>IF(A24&gt;0,'SOUTH Wells'!B26,"")</f>
        <v>994859647</v>
      </c>
      <c r="C24" s="130" t="str">
        <f>IF(A24&gt;0,'SOUTH Wells'!C26,"")</f>
        <v>1-28 Feb-25</v>
      </c>
      <c r="D24" s="131" t="str">
        <f>IF(A24&gt;0,'SOUTH Wells'!E26,"")</f>
        <v>BARAGZAI X-1</v>
      </c>
      <c r="E24" s="113">
        <f>IF(A24&gt;0,'SOUTH Wells'!K26,"")</f>
        <v>21010</v>
      </c>
      <c r="F24" s="15">
        <f t="shared" si="0"/>
        <v>4066200</v>
      </c>
      <c r="G24" s="114">
        <f t="shared" si="2"/>
        <v>638344</v>
      </c>
    </row>
    <row r="25" spans="1:7" ht="18.75" customHeight="1" x14ac:dyDescent="0.25">
      <c r="A25" s="111">
        <v>19</v>
      </c>
      <c r="B25" s="128">
        <f>IF(A25&gt;0,'SOUTH Wells'!B27,"")</f>
        <v>994859843</v>
      </c>
      <c r="C25" s="130">
        <f>IF(A25&gt;0,'SOUTH Wells'!C27,"")</f>
        <v>45774</v>
      </c>
      <c r="D25" s="131" t="str">
        <f>IF(A25&gt;0,'SOUTH Wells'!E27,"")</f>
        <v>BARAGZAI X-1</v>
      </c>
      <c r="E25" s="113">
        <f>IF(A25&gt;0,'SOUTH Wells'!K27,"")</f>
        <v>11640</v>
      </c>
      <c r="F25" s="15">
        <f t="shared" si="0"/>
        <v>4054560</v>
      </c>
      <c r="G25" s="114">
        <f t="shared" si="2"/>
        <v>649984</v>
      </c>
    </row>
    <row r="26" spans="1:7" ht="18.75" customHeight="1" x14ac:dyDescent="0.25">
      <c r="A26" s="111">
        <v>20</v>
      </c>
      <c r="B26" s="128">
        <f>IF(A26&gt;0,'SOUTH Wells'!B28,"")</f>
        <v>994859847</v>
      </c>
      <c r="C26" s="130" t="str">
        <f>IF(A26&gt;0,'SOUTH Wells'!C28,"")</f>
        <v>1-16 Mar-25</v>
      </c>
      <c r="D26" s="131" t="str">
        <f>IF(A26&gt;0,'SOUTH Wells'!E28,"")</f>
        <v>RAJIAN-09</v>
      </c>
      <c r="E26" s="113">
        <f>IF(A26&gt;0,'SOUTH Wells'!K28,"")</f>
        <v>4110</v>
      </c>
      <c r="F26" s="15">
        <f t="shared" si="0"/>
        <v>4050450</v>
      </c>
      <c r="G26" s="114">
        <f t="shared" si="2"/>
        <v>654094</v>
      </c>
    </row>
    <row r="27" spans="1:7" ht="18.75" customHeight="1" x14ac:dyDescent="0.25">
      <c r="A27" s="111">
        <v>21</v>
      </c>
      <c r="B27" s="128">
        <f>IF(A27&gt;0,'SOUTH Wells'!B29,"")</f>
        <v>994859871</v>
      </c>
      <c r="C27" s="130">
        <f>IF(A27&gt;0,'SOUTH Wells'!C29,"")</f>
        <v>45757</v>
      </c>
      <c r="D27" s="131" t="str">
        <f>IF(A27&gt;0,'SOUTH Wells'!E29,"")</f>
        <v>GURGALOT X-1</v>
      </c>
      <c r="E27" s="113">
        <f>IF(A27&gt;0,'SOUTH Wells'!K29,"")</f>
        <v>38000</v>
      </c>
      <c r="F27" s="15">
        <f t="shared" si="0"/>
        <v>4012450</v>
      </c>
      <c r="G27" s="114">
        <f t="shared" si="2"/>
        <v>692094</v>
      </c>
    </row>
    <row r="28" spans="1:7" ht="18.75" customHeight="1" x14ac:dyDescent="0.25">
      <c r="A28" s="111">
        <v>22</v>
      </c>
      <c r="B28" s="128">
        <f>IF(A28&gt;0,'SOUTH Wells'!B30,"")</f>
        <v>994859842</v>
      </c>
      <c r="C28" s="130">
        <f>IF(A28&gt;0,'SOUTH Wells'!C30,"")</f>
        <v>45786</v>
      </c>
      <c r="D28" s="131" t="str">
        <f>IF(A28&gt;0,'SOUTH Wells'!E30,"")</f>
        <v>BARAGZAI X-1</v>
      </c>
      <c r="E28" s="113">
        <f>IF(A28&gt;0,'SOUTH Wells'!K30,"")</f>
        <v>34720</v>
      </c>
      <c r="F28" s="15">
        <f t="shared" si="0"/>
        <v>3977730</v>
      </c>
      <c r="G28" s="114">
        <f t="shared" si="2"/>
        <v>726814</v>
      </c>
    </row>
    <row r="29" spans="1:7" ht="18.75" customHeight="1" x14ac:dyDescent="0.25">
      <c r="A29" s="111">
        <v>23</v>
      </c>
      <c r="B29" s="128">
        <f>IF(A29&gt;0,'SOUTH Wells'!B31,"")</f>
        <v>994859863</v>
      </c>
      <c r="C29" s="130" t="str">
        <f>IF(A29&gt;0,'SOUTH Wells'!C31,"")</f>
        <v>17-31 Jan-25</v>
      </c>
      <c r="D29" s="131" t="str">
        <f>IF(A29&gt;0,'SOUTH Wells'!E31,"")</f>
        <v>RAJIAN-02</v>
      </c>
      <c r="E29" s="113">
        <f>IF(A29&gt;0,'SOUTH Wells'!K31,"")</f>
        <v>683</v>
      </c>
      <c r="F29" s="15">
        <f t="shared" si="0"/>
        <v>3977047</v>
      </c>
      <c r="G29" s="114">
        <f t="shared" si="2"/>
        <v>727497</v>
      </c>
    </row>
    <row r="30" spans="1:7" ht="18.75" customHeight="1" x14ac:dyDescent="0.25">
      <c r="A30" s="111">
        <v>24</v>
      </c>
      <c r="B30" s="128">
        <f>IF(A30&gt;0,'SOUTH Wells'!B32,"")</f>
        <v>994859872</v>
      </c>
      <c r="C30" s="130" t="str">
        <f>IF(A30&gt;0,'SOUTH Wells'!C32,"")</f>
        <v>1-31 Mar-25</v>
      </c>
      <c r="D30" s="131" t="str">
        <f>IF(A30&gt;0,'SOUTH Wells'!E32,"")</f>
        <v>RAJIAN-09</v>
      </c>
      <c r="E30" s="113">
        <f>IF(A30&gt;0,'SOUTH Wells'!K32,"")</f>
        <v>37565</v>
      </c>
      <c r="F30" s="15">
        <f t="shared" si="0"/>
        <v>3939482</v>
      </c>
      <c r="G30" s="114">
        <f t="shared" si="2"/>
        <v>765062</v>
      </c>
    </row>
    <row r="31" spans="1:7" ht="18.75" customHeight="1" x14ac:dyDescent="0.25">
      <c r="A31" s="111">
        <v>25</v>
      </c>
      <c r="B31" s="128">
        <f>IF(A31&gt;0,'SOUTH Wells'!B33,"")</f>
        <v>994859893</v>
      </c>
      <c r="C31" s="130">
        <f>IF(A31&gt;0,'SOUTH Wells'!C33,"")</f>
        <v>45804</v>
      </c>
      <c r="D31" s="131" t="str">
        <f>IF(A31&gt;0,'SOUTH Wells'!E33,"")</f>
        <v>RAJIAN-02</v>
      </c>
      <c r="E31" s="113">
        <f>IF(A31&gt;0,'SOUTH Wells'!K33,"")</f>
        <v>4250</v>
      </c>
      <c r="F31" s="15">
        <f t="shared" si="0"/>
        <v>3935232</v>
      </c>
      <c r="G31" s="114">
        <f t="shared" si="2"/>
        <v>769312</v>
      </c>
    </row>
    <row r="32" spans="1:7" ht="18.75" customHeight="1" x14ac:dyDescent="0.25">
      <c r="A32" s="111">
        <v>26</v>
      </c>
      <c r="B32" s="128">
        <f>IF(A32&gt;0,'SOUTH Wells'!B34,"")</f>
        <v>994859894</v>
      </c>
      <c r="C32" s="130" t="str">
        <f>IF(A32&gt;0,'SOUTH Wells'!C34,"")</f>
        <v>1-28 Feb-25</v>
      </c>
      <c r="D32" s="131" t="str">
        <f>IF(A32&gt;0,'SOUTH Wells'!E34,"")</f>
        <v>RAJIAN-02</v>
      </c>
      <c r="E32" s="113">
        <f>IF(A32&gt;0,'SOUTH Wells'!K34,"")</f>
        <v>4850</v>
      </c>
      <c r="F32" s="15">
        <f t="shared" si="0"/>
        <v>3930382</v>
      </c>
      <c r="G32" s="114">
        <f t="shared" si="2"/>
        <v>774162</v>
      </c>
    </row>
    <row r="33" spans="1:7" ht="18.75" customHeight="1" x14ac:dyDescent="0.25">
      <c r="A33" s="111">
        <v>27</v>
      </c>
      <c r="B33" s="128">
        <f>IF(A33&gt;0,'SOUTH Wells'!B35,"")</f>
        <v>994859921</v>
      </c>
      <c r="C33" s="130">
        <f>IF(A33&gt;0,'SOUTH Wells'!C35,"")</f>
        <v>45825</v>
      </c>
      <c r="D33" s="131" t="str">
        <f>IF(A33&gt;0,'SOUTH Wells'!E35,"")</f>
        <v>RAJIAN-02</v>
      </c>
      <c r="E33" s="113">
        <f>IF(A33&gt;0,'SOUTH Wells'!K35,"")</f>
        <v>4490</v>
      </c>
      <c r="F33" s="15">
        <f t="shared" si="0"/>
        <v>3925892</v>
      </c>
      <c r="G33" s="114">
        <f t="shared" si="2"/>
        <v>778652</v>
      </c>
    </row>
    <row r="34" spans="1:7" ht="18.75" customHeight="1" x14ac:dyDescent="0.25">
      <c r="A34" s="111">
        <v>28</v>
      </c>
      <c r="B34" s="128">
        <f>IF(A34&gt;0,'SOUTH Wells'!B36,"")</f>
        <v>994859954</v>
      </c>
      <c r="C34" s="130">
        <f>IF(A34&gt;0,'SOUTH Wells'!C36,"")</f>
        <v>45824</v>
      </c>
      <c r="D34" s="131" t="str">
        <f>IF(A34&gt;0,'SOUTH Wells'!E36,"")</f>
        <v>GURGALOT X-1</v>
      </c>
      <c r="E34" s="113">
        <f>IF(A34&gt;0,'SOUTH Wells'!K36,"")</f>
        <v>287550</v>
      </c>
      <c r="F34" s="15">
        <f t="shared" si="0"/>
        <v>3638342</v>
      </c>
      <c r="G34" s="114">
        <f t="shared" si="2"/>
        <v>1066202</v>
      </c>
    </row>
    <row r="35" spans="1:7" ht="18.75" customHeight="1" x14ac:dyDescent="0.25">
      <c r="A35" s="111">
        <f t="shared" ref="A35:A63" si="3">$A34+1</f>
        <v>29</v>
      </c>
      <c r="B35" s="128">
        <f>IF(A35&gt;0,'SOUTH Wells'!B37,"")</f>
        <v>994860010</v>
      </c>
      <c r="C35" s="130" t="str">
        <f>IF(A35&gt;0,'SOUTH Wells'!C37,"")</f>
        <v>1-31 May-25</v>
      </c>
      <c r="D35" s="131" t="str">
        <f>IF(A35&gt;0,'SOUTH Wells'!E37,"")</f>
        <v>KAL-03</v>
      </c>
      <c r="E35" s="113">
        <f>IF(A35&gt;0,'SOUTH Wells'!K37,"")</f>
        <v>3400</v>
      </c>
      <c r="F35" s="15">
        <f t="shared" si="0"/>
        <v>3634942</v>
      </c>
      <c r="G35" s="114">
        <f t="shared" si="2"/>
        <v>1069602</v>
      </c>
    </row>
    <row r="36" spans="1:7" ht="18.75" customHeight="1" x14ac:dyDescent="0.25">
      <c r="A36" s="111">
        <f t="shared" si="3"/>
        <v>30</v>
      </c>
      <c r="B36" s="128">
        <f>IF(A36&gt;0,'SOUTH Wells'!B38,"")</f>
        <v>994860011</v>
      </c>
      <c r="C36" s="130" t="str">
        <f>IF(A36&gt;0,'SOUTH Wells'!C38,"")</f>
        <v>1-30 April-25</v>
      </c>
      <c r="D36" s="131" t="str">
        <f>IF(A36&gt;0,'SOUTH Wells'!E38,"")</f>
        <v>GURGALOT X-1</v>
      </c>
      <c r="E36" s="113">
        <f>IF(A36&gt;0,'SOUTH Wells'!K38,"")</f>
        <v>26220</v>
      </c>
      <c r="F36" s="15">
        <f t="shared" si="0"/>
        <v>3608722</v>
      </c>
      <c r="G36" s="114">
        <f t="shared" si="2"/>
        <v>1095822</v>
      </c>
    </row>
    <row r="37" spans="1:7" ht="18.75" customHeight="1" x14ac:dyDescent="0.25">
      <c r="A37" s="111">
        <f t="shared" si="3"/>
        <v>31</v>
      </c>
      <c r="B37" s="128">
        <f>IF(A37&gt;0,'SOUTH Wells'!B39,"")</f>
        <v>994860039</v>
      </c>
      <c r="C37" s="130" t="str">
        <f>IF(A37&gt;0,'SOUTH Wells'!C39,"")</f>
        <v>1-31 May-25</v>
      </c>
      <c r="D37" s="131" t="str">
        <f>IF(A37&gt;0,'SOUTH Wells'!E39,"")</f>
        <v>RAJIAN-02</v>
      </c>
      <c r="E37" s="113">
        <f>IF(A37&gt;0,'SOUTH Wells'!K39,"")</f>
        <v>5940</v>
      </c>
      <c r="F37" s="15">
        <f t="shared" si="0"/>
        <v>3602782</v>
      </c>
      <c r="G37" s="114">
        <f t="shared" si="2"/>
        <v>1101762</v>
      </c>
    </row>
    <row r="38" spans="1:7" ht="18.75" customHeight="1" x14ac:dyDescent="0.25">
      <c r="A38" s="111">
        <f t="shared" si="3"/>
        <v>32</v>
      </c>
      <c r="B38" s="128">
        <f>IF(A38&gt;0,'SOUTH Wells'!B40,"")</f>
        <v>994860040</v>
      </c>
      <c r="C38" s="130" t="str">
        <f>IF(A38&gt;0,'SOUTH Wells'!C40,"")</f>
        <v>23-30 June-25</v>
      </c>
      <c r="D38" s="131" t="str">
        <f>IF(A38&gt;0,'SOUTH Wells'!E40,"")</f>
        <v>RAJIAN-02</v>
      </c>
      <c r="E38" s="113">
        <f>IF(A38&gt;0,'SOUTH Wells'!K40,"")</f>
        <v>10150</v>
      </c>
      <c r="F38" s="15">
        <f t="shared" si="0"/>
        <v>3592632</v>
      </c>
      <c r="G38" s="114">
        <f t="shared" si="2"/>
        <v>1111912</v>
      </c>
    </row>
    <row r="39" spans="1:7" ht="18.75" customHeight="1" x14ac:dyDescent="0.25">
      <c r="A39" s="111">
        <f t="shared" si="3"/>
        <v>33</v>
      </c>
      <c r="B39" s="128">
        <f>IF(A39&gt;0,'SOUTH Wells'!B41,"")</f>
        <v>994860195</v>
      </c>
      <c r="C39" s="130" t="str">
        <f>IF(A39&gt;0,'SOUTH Wells'!C41,"")</f>
        <v>29-30 June-25</v>
      </c>
      <c r="D39" s="131" t="str">
        <f>IF(A39&gt;0,'SOUTH Wells'!E41,"")</f>
        <v>BARAGZAI X-1</v>
      </c>
      <c r="E39" s="113">
        <f>IF(A39&gt;0,'SOUTH Wells'!K41,"")</f>
        <v>80252.5</v>
      </c>
      <c r="F39" s="15">
        <f t="shared" si="0"/>
        <v>3512379.5</v>
      </c>
      <c r="G39" s="114">
        <f t="shared" si="2"/>
        <v>1192164.5</v>
      </c>
    </row>
    <row r="40" spans="1:7" ht="18.75" customHeight="1" x14ac:dyDescent="0.25">
      <c r="A40" s="111">
        <f t="shared" si="3"/>
        <v>34</v>
      </c>
      <c r="B40" s="128">
        <f>IF(A40&gt;0,'SOUTH Wells'!B42,"")</f>
        <v>994860151</v>
      </c>
      <c r="C40" s="130">
        <f>IF(A40&gt;0,'SOUTH Wells'!C42,"")</f>
        <v>45850</v>
      </c>
      <c r="D40" s="131" t="str">
        <f>IF(A40&gt;0,'SOUTH Wells'!E42,"")</f>
        <v>RAJIAN-08</v>
      </c>
      <c r="E40" s="113">
        <f>IF(A40&gt;0,'SOUTH Wells'!K42,"")</f>
        <v>4098</v>
      </c>
      <c r="F40" s="15">
        <f t="shared" si="0"/>
        <v>3508281.5</v>
      </c>
      <c r="G40" s="114">
        <f t="shared" si="2"/>
        <v>1196262.5</v>
      </c>
    </row>
    <row r="41" spans="1:7" ht="18.75" customHeight="1" x14ac:dyDescent="0.25">
      <c r="A41" s="111">
        <f t="shared" si="3"/>
        <v>35</v>
      </c>
      <c r="B41" s="128">
        <f>IF(A41&gt;0,'SOUTH Wells'!B43,"")</f>
        <v>994860152</v>
      </c>
      <c r="C41" s="130">
        <f>IF(A41&gt;0,'SOUTH Wells'!C43,"")</f>
        <v>45840</v>
      </c>
      <c r="D41" s="131" t="str">
        <f>IF(A41&gt;0,'SOUTH Wells'!E43,"")</f>
        <v>GURGALOT X-1</v>
      </c>
      <c r="E41" s="113">
        <f>IF(A41&gt;0,'SOUTH Wells'!K43,"")</f>
        <v>107060</v>
      </c>
      <c r="F41" s="15">
        <f t="shared" si="0"/>
        <v>3401221.5</v>
      </c>
      <c r="G41" s="114">
        <f t="shared" si="2"/>
        <v>1303322.5</v>
      </c>
    </row>
    <row r="42" spans="1:7" ht="18.75" customHeight="1" x14ac:dyDescent="0.25">
      <c r="A42" s="111">
        <f t="shared" si="3"/>
        <v>36</v>
      </c>
      <c r="B42" s="128">
        <f>IF(A42&gt;0,'SOUTH Wells'!B44,"")</f>
        <v>994860199</v>
      </c>
      <c r="C42" s="130">
        <f>IF(A42&gt;0,'SOUTH Wells'!C44,"")</f>
        <v>45840</v>
      </c>
      <c r="D42" s="131" t="str">
        <f>IF(A42&gt;0,'SOUTH Wells'!E44,"")</f>
        <v>CHAK 203-1</v>
      </c>
      <c r="E42" s="113">
        <f>IF(A42&gt;0,'SOUTH Wells'!K44,"")</f>
        <v>30340</v>
      </c>
      <c r="F42" s="15">
        <f t="shared" si="0"/>
        <v>3370881.5</v>
      </c>
      <c r="G42" s="114">
        <f t="shared" si="2"/>
        <v>1333662.5</v>
      </c>
    </row>
    <row r="43" spans="1:7" ht="18.75" customHeight="1" x14ac:dyDescent="0.25">
      <c r="A43" s="111">
        <f t="shared" si="3"/>
        <v>37</v>
      </c>
      <c r="B43" s="128">
        <f>IF(A43&gt;0,'SOUTH Wells'!B45,"")</f>
        <v>994860226</v>
      </c>
      <c r="C43" s="130" t="str">
        <f>IF(A43&gt;0,'SOUTH Wells'!C45,"")</f>
        <v>25-30 June-25</v>
      </c>
      <c r="D43" s="131" t="str">
        <f>IF(A43&gt;0,'SOUTH Wells'!E45,"")</f>
        <v>CHAK 203-1</v>
      </c>
      <c r="E43" s="113">
        <f>IF(A43&gt;0,'SOUTH Wells'!K45,"")</f>
        <v>39250</v>
      </c>
      <c r="F43" s="15">
        <f t="shared" si="0"/>
        <v>3331631.5</v>
      </c>
      <c r="G43" s="114">
        <f t="shared" si="2"/>
        <v>1372912.5</v>
      </c>
    </row>
    <row r="44" spans="1:7" ht="18.75" customHeight="1" x14ac:dyDescent="0.25">
      <c r="A44" s="111">
        <f t="shared" si="3"/>
        <v>38</v>
      </c>
      <c r="B44" s="128">
        <f>IF(A44&gt;0,'SOUTH Wells'!B46,"")</f>
        <v>994860264</v>
      </c>
      <c r="C44" s="130" t="str">
        <f>IF(A44&gt;0,'SOUTH Wells'!C46,"")</f>
        <v>08-17 June-25</v>
      </c>
      <c r="D44" s="131" t="str">
        <f>IF(A44&gt;0,'SOUTH Wells'!E46,"")</f>
        <v>CHAK 203-1</v>
      </c>
      <c r="E44" s="113">
        <f>IF(A44&gt;0,'SOUTH Wells'!K46,"")</f>
        <v>4825</v>
      </c>
      <c r="F44" s="15">
        <f t="shared" si="0"/>
        <v>3326806.5</v>
      </c>
      <c r="G44" s="114">
        <f t="shared" si="2"/>
        <v>1377737.5</v>
      </c>
    </row>
    <row r="45" spans="1:7" ht="18.75" customHeight="1" x14ac:dyDescent="0.25">
      <c r="A45" s="111">
        <f t="shared" si="3"/>
        <v>39</v>
      </c>
      <c r="B45" s="128">
        <f>IF(A45&gt;0,'SOUTH Wells'!B47,"")</f>
        <v>994860265</v>
      </c>
      <c r="C45" s="130" t="str">
        <f>IF(A45&gt;0,'SOUTH Wells'!C47,"")</f>
        <v>02-13 Apr-25</v>
      </c>
      <c r="D45" s="131" t="str">
        <f>IF(A45&gt;0,'SOUTH Wells'!E47,"")</f>
        <v>CHAK 203-1</v>
      </c>
      <c r="E45" s="113">
        <f>IF(A45&gt;0,'SOUTH Wells'!K47,"")</f>
        <v>2772</v>
      </c>
      <c r="F45" s="15">
        <f t="shared" si="0"/>
        <v>3324034.5</v>
      </c>
      <c r="G45" s="114">
        <f t="shared" si="2"/>
        <v>1380509.5</v>
      </c>
    </row>
    <row r="46" spans="1:7" ht="18.75" customHeight="1" x14ac:dyDescent="0.25">
      <c r="A46" s="111">
        <f t="shared" si="3"/>
        <v>40</v>
      </c>
      <c r="B46" s="128">
        <f>IF(A46&gt;0,'SOUTH Wells'!B48,"")</f>
        <v>994860291</v>
      </c>
      <c r="C46" s="130" t="str">
        <f>IF(A46&gt;0,'SOUTH Wells'!C48,"")</f>
        <v>01-04 June-25</v>
      </c>
      <c r="D46" s="131" t="str">
        <f>IF(A46&gt;0,'SOUTH Wells'!E48,"")</f>
        <v>Humwala-1</v>
      </c>
      <c r="E46" s="113">
        <f>IF(A46&gt;0,'SOUTH Wells'!K48,"")</f>
        <v>61401.7</v>
      </c>
      <c r="F46" s="15">
        <f t="shared" si="0"/>
        <v>3262632.8</v>
      </c>
      <c r="G46" s="114">
        <f t="shared" si="2"/>
        <v>1441911.2</v>
      </c>
    </row>
    <row r="47" spans="1:7" ht="18.75" customHeight="1" x14ac:dyDescent="0.25">
      <c r="A47" s="111">
        <f t="shared" si="3"/>
        <v>41</v>
      </c>
      <c r="B47" s="128">
        <f>IF(A47&gt;0,'SOUTH Wells'!B49,"")</f>
        <v>994860292</v>
      </c>
      <c r="C47" s="130" t="str">
        <f>IF(A47&gt;0,'SOUTH Wells'!C49,"")</f>
        <v>01-17 June-25</v>
      </c>
      <c r="D47" s="131" t="str">
        <f>IF(A47&gt;0,'SOUTH Wells'!E49,"")</f>
        <v>Humwala-1</v>
      </c>
      <c r="E47" s="113">
        <f>IF(A47&gt;0,'SOUTH Wells'!K49,"")</f>
        <v>6832.4</v>
      </c>
      <c r="F47" s="15">
        <f t="shared" si="0"/>
        <v>3255800.4</v>
      </c>
      <c r="G47" s="114">
        <f t="shared" si="2"/>
        <v>1448743.5999999999</v>
      </c>
    </row>
    <row r="48" spans="1:7" ht="18.75" customHeight="1" x14ac:dyDescent="0.25">
      <c r="A48" s="111">
        <f t="shared" si="3"/>
        <v>42</v>
      </c>
      <c r="B48" s="128">
        <f>IF(A48&gt;0,'SOUTH Wells'!B50,"")</f>
        <v>994860361</v>
      </c>
      <c r="C48" s="130" t="str">
        <f>IF(A48&gt;0,'SOUTH Wells'!C50,"")</f>
        <v>01-31 July-25</v>
      </c>
      <c r="D48" s="131" t="str">
        <f>IF(A48&gt;0,'SOUTH Wells'!E50,"")</f>
        <v>Humwala-1</v>
      </c>
      <c r="E48" s="113">
        <f>IF(A48&gt;0,'SOUTH Wells'!K50,"")</f>
        <v>20497.2</v>
      </c>
      <c r="F48" s="15">
        <f t="shared" si="0"/>
        <v>3235303.1999999997</v>
      </c>
      <c r="G48" s="114">
        <f t="shared" si="2"/>
        <v>1469240.7999999998</v>
      </c>
    </row>
    <row r="49" spans="1:7" ht="18.75" customHeight="1" x14ac:dyDescent="0.25">
      <c r="A49" s="111">
        <f t="shared" si="3"/>
        <v>43</v>
      </c>
      <c r="B49" s="128">
        <f>IF(A49&gt;0,'SOUTH Wells'!B51,"")</f>
        <v>994860317</v>
      </c>
      <c r="C49" s="130" t="str">
        <f>IF(A49&gt;0,'SOUTH Wells'!C51,"")</f>
        <v>01-31 July-25</v>
      </c>
      <c r="D49" s="131" t="str">
        <f>IF(A49&gt;0,'SOUTH Wells'!E51,"")</f>
        <v>Humwala-1</v>
      </c>
      <c r="E49" s="113">
        <f>IF(A49&gt;0,'SOUTH Wells'!K51,"")</f>
        <v>69389.899999999994</v>
      </c>
      <c r="F49" s="15">
        <f t="shared" si="0"/>
        <v>3165913.3</v>
      </c>
      <c r="G49" s="114">
        <f t="shared" si="2"/>
        <v>1538630.6999999997</v>
      </c>
    </row>
    <row r="50" spans="1:7" ht="18.75" customHeight="1" x14ac:dyDescent="0.25">
      <c r="A50" s="111">
        <f t="shared" si="3"/>
        <v>44</v>
      </c>
      <c r="B50" s="128">
        <f>IF(A50&gt;0,'SOUTH Wells'!B52,"")</f>
        <v>994860146</v>
      </c>
      <c r="C50" s="130" t="str">
        <f>IF(A50&gt;0,'SOUTH Wells'!C52,"")</f>
        <v>17-31 May-25</v>
      </c>
      <c r="D50" s="131" t="str">
        <f>IF(A50&gt;0,'SOUTH Wells'!E52,"")</f>
        <v>GURGALOT X-1</v>
      </c>
      <c r="E50" s="113">
        <f>IF(A50&gt;0,'SOUTH Wells'!K52,"")</f>
        <v>52440</v>
      </c>
      <c r="F50" s="15">
        <f t="shared" si="0"/>
        <v>3113473.3</v>
      </c>
      <c r="G50" s="114">
        <f t="shared" si="2"/>
        <v>1591070.6999999997</v>
      </c>
    </row>
    <row r="51" spans="1:7" ht="18.75" customHeight="1" x14ac:dyDescent="0.25">
      <c r="A51" s="111">
        <f t="shared" si="3"/>
        <v>45</v>
      </c>
      <c r="B51" s="128">
        <f>IF(A51&gt;0,'SOUTH Wells'!B53,"")</f>
        <v>994860414</v>
      </c>
      <c r="C51" s="130" t="str">
        <f>IF(A51&gt;0,'SOUTH Wells'!C53,"")</f>
        <v>25-30 June-25</v>
      </c>
      <c r="D51" s="131" t="str">
        <f>IF(A51&gt;0,'SOUTH Wells'!E53,"")</f>
        <v>Fimkasar-4</v>
      </c>
      <c r="E51" s="113">
        <f>IF(A51&gt;0,'SOUTH Wells'!K53,"")</f>
        <v>25527.125</v>
      </c>
      <c r="F51" s="15">
        <f t="shared" si="0"/>
        <v>3087946.1749999998</v>
      </c>
      <c r="G51" s="114">
        <f t="shared" si="2"/>
        <v>1616597.8249999997</v>
      </c>
    </row>
    <row r="52" spans="1:7" ht="18.75" customHeight="1" x14ac:dyDescent="0.25">
      <c r="A52" s="111">
        <f t="shared" si="3"/>
        <v>46</v>
      </c>
      <c r="B52" s="128">
        <f>IF(A52&gt;0,'SOUTH Wells'!B54,"")</f>
        <v>994860413</v>
      </c>
      <c r="C52" s="130">
        <f>IF(A52&gt;0,'SOUTH Wells'!C54,"")</f>
        <v>45884</v>
      </c>
      <c r="D52" s="131" t="str">
        <f>IF(A52&gt;0,'SOUTH Wells'!E54,"")</f>
        <v>Humwala-1</v>
      </c>
      <c r="E52" s="113">
        <f>IF(A52&gt;0,'SOUTH Wells'!K54,"")</f>
        <v>6832.4</v>
      </c>
      <c r="F52" s="15">
        <f t="shared" si="0"/>
        <v>3081113.7749999999</v>
      </c>
      <c r="G52" s="114">
        <f t="shared" si="2"/>
        <v>1623430.2249999996</v>
      </c>
    </row>
    <row r="53" spans="1:7" ht="18.75" customHeight="1" x14ac:dyDescent="0.25">
      <c r="A53" s="111">
        <f t="shared" si="3"/>
        <v>47</v>
      </c>
      <c r="B53" s="128">
        <f>IF(A53&gt;0,'SOUTH Wells'!B55,"")</f>
        <v>994860411</v>
      </c>
      <c r="C53" s="130">
        <f>IF(A53&gt;0,'SOUTH Wells'!C55,"")</f>
        <v>45881</v>
      </c>
      <c r="D53" s="131" t="str">
        <f>IF(A53&gt;0,'SOUTH Wells'!E55,"")</f>
        <v>Fimkasar-4</v>
      </c>
      <c r="E53" s="113">
        <f>IF(A53&gt;0,'SOUTH Wells'!K55,"")</f>
        <v>4277.5</v>
      </c>
      <c r="F53" s="15">
        <f t="shared" si="0"/>
        <v>3076836.2749999999</v>
      </c>
      <c r="G53" s="114">
        <f t="shared" si="2"/>
        <v>1627707.7249999996</v>
      </c>
    </row>
    <row r="54" spans="1:7" ht="18.75" customHeight="1" x14ac:dyDescent="0.25">
      <c r="A54" s="111">
        <f t="shared" si="3"/>
        <v>48</v>
      </c>
      <c r="B54" s="128">
        <f>IF(A54&gt;0,'SOUTH Wells'!B56,"")</f>
        <v>994860415</v>
      </c>
      <c r="C54" s="130">
        <f>IF(A54&gt;0,'SOUTH Wells'!C56,"")</f>
        <v>45871</v>
      </c>
      <c r="D54" s="131" t="str">
        <f>IF(A54&gt;0,'SOUTH Wells'!E56,"")</f>
        <v xml:space="preserve">Garhi X2 </v>
      </c>
      <c r="E54" s="113">
        <f>IF(A54&gt;0,'SOUTH Wells'!K56,"")</f>
        <v>49517.5</v>
      </c>
      <c r="F54" s="15">
        <f t="shared" si="0"/>
        <v>3027318.7749999999</v>
      </c>
      <c r="G54" s="114">
        <f t="shared" si="2"/>
        <v>1677225.2249999996</v>
      </c>
    </row>
    <row r="55" spans="1:7" ht="18.75" customHeight="1" x14ac:dyDescent="0.25">
      <c r="A55" s="111">
        <f t="shared" si="3"/>
        <v>49</v>
      </c>
      <c r="B55" s="128">
        <f>IF(A55&gt;0,'SOUTH Wells'!B57,"")</f>
        <v>994860410</v>
      </c>
      <c r="C55" s="130">
        <f>IF(A55&gt;0,'SOUTH Wells'!C57,"")</f>
        <v>45873</v>
      </c>
      <c r="D55" s="131" t="str">
        <f>IF(A55&gt;0,'SOUTH Wells'!E57,"")</f>
        <v>Humwala-1</v>
      </c>
      <c r="E55" s="113">
        <f>IF(A55&gt;0,'SOUTH Wells'!K57,"")</f>
        <v>269040</v>
      </c>
      <c r="F55" s="15">
        <f t="shared" si="0"/>
        <v>2758278.7749999999</v>
      </c>
      <c r="G55" s="114">
        <f t="shared" si="2"/>
        <v>1946265.2249999996</v>
      </c>
    </row>
    <row r="56" spans="1:7" ht="18.75" customHeight="1" x14ac:dyDescent="0.25">
      <c r="A56" s="111">
        <f t="shared" si="3"/>
        <v>50</v>
      </c>
      <c r="B56" s="128">
        <f>IF(A56&gt;0,'SOUTH Wells'!B58,"")</f>
        <v>994860412</v>
      </c>
      <c r="C56" s="130">
        <f>IF(A56&gt;0,'SOUTH Wells'!C58,"")</f>
        <v>45864</v>
      </c>
      <c r="D56" s="131" t="str">
        <f>IF(A56&gt;0,'SOUTH Wells'!E58,"")</f>
        <v>Fimkasar-4</v>
      </c>
      <c r="E56" s="113">
        <f>IF(A56&gt;0,'SOUTH Wells'!K58,"")</f>
        <v>2920.5</v>
      </c>
      <c r="F56" s="15">
        <f t="shared" si="0"/>
        <v>2755358.2749999999</v>
      </c>
      <c r="G56" s="114">
        <f t="shared" si="2"/>
        <v>1949185.7249999996</v>
      </c>
    </row>
    <row r="57" spans="1:7" ht="18.75" customHeight="1" x14ac:dyDescent="0.25">
      <c r="A57" s="111">
        <f t="shared" si="3"/>
        <v>51</v>
      </c>
      <c r="B57" s="128">
        <f>IF(A57&gt;0,'SOUTH Wells'!B59,"")</f>
        <v>994860515</v>
      </c>
      <c r="C57" s="130">
        <f>IF(A57&gt;0,'SOUTH Wells'!C59,"")</f>
        <v>45890</v>
      </c>
      <c r="D57" s="131" t="str">
        <f>IF(A57&gt;0,'SOUTH Wells'!E59,"")</f>
        <v>Kal-4</v>
      </c>
      <c r="E57" s="113">
        <f>IF(A57&gt;0,'SOUTH Wells'!K59,"")</f>
        <v>22197.5</v>
      </c>
      <c r="F57" s="15">
        <f t="shared" si="0"/>
        <v>2733160.7749999999</v>
      </c>
      <c r="G57" s="114">
        <f t="shared" si="2"/>
        <v>1971383.2249999996</v>
      </c>
    </row>
    <row r="58" spans="1:7" ht="18.75" customHeight="1" x14ac:dyDescent="0.25">
      <c r="A58" s="111">
        <f t="shared" si="3"/>
        <v>52</v>
      </c>
      <c r="B58" s="128">
        <f>IF(A58&gt;0,'SOUTH Wells'!B60,"")</f>
        <v>994860514</v>
      </c>
      <c r="C58" s="130" t="str">
        <f>IF(A58&gt;0,'SOUTH Wells'!C60,"")</f>
        <v>1-30 Apr-25</v>
      </c>
      <c r="D58" s="131" t="str">
        <f>IF(A58&gt;0,'SOUTH Wells'!E60,"")</f>
        <v>Humwala-1</v>
      </c>
      <c r="E58" s="113">
        <f>IF(A58&gt;0,'SOUTH Wells'!K60,"")</f>
        <v>37642</v>
      </c>
      <c r="F58" s="15">
        <f t="shared" si="0"/>
        <v>2695518.7749999999</v>
      </c>
      <c r="G58" s="114">
        <f t="shared" si="2"/>
        <v>2009025.2249999996</v>
      </c>
    </row>
    <row r="59" spans="1:7" ht="18.75" customHeight="1" x14ac:dyDescent="0.25">
      <c r="A59" s="111">
        <f t="shared" si="3"/>
        <v>53</v>
      </c>
      <c r="B59" s="128">
        <f>IF(A59&gt;0,'SOUTH Wells'!B61,"")</f>
        <v>994860513</v>
      </c>
      <c r="C59" s="130" t="str">
        <f>IF(A59&gt;0,'SOUTH Wells'!C61,"")</f>
        <v>1-31 July-25</v>
      </c>
      <c r="D59" s="131" t="str">
        <f>IF(A59&gt;0,'SOUTH Wells'!E61,"")</f>
        <v xml:space="preserve">Garhi X2 </v>
      </c>
      <c r="E59" s="113">
        <f>IF(A59&gt;0,'SOUTH Wells'!K61,"")</f>
        <v>5416.2</v>
      </c>
      <c r="F59" s="15">
        <f t="shared" si="0"/>
        <v>2690102.5749999997</v>
      </c>
      <c r="G59" s="114">
        <f t="shared" si="2"/>
        <v>2014441.4249999996</v>
      </c>
    </row>
    <row r="60" spans="1:7" ht="18.75" customHeight="1" x14ac:dyDescent="0.25">
      <c r="A60" s="111">
        <f t="shared" si="3"/>
        <v>54</v>
      </c>
      <c r="B60" s="128">
        <f>IF(A60&gt;0,'SOUTH Wells'!B62,"")</f>
        <v>994860516</v>
      </c>
      <c r="C60" s="130" t="str">
        <f>IF(A60&gt;0,'SOUTH Wells'!C62,"")</f>
        <v>27-30 June-25</v>
      </c>
      <c r="D60" s="131" t="str">
        <f>IF(A60&gt;0,'SOUTH Wells'!E62,"")</f>
        <v>Kal-4</v>
      </c>
      <c r="E60" s="113">
        <f>IF(A60&gt;0,'SOUTH Wells'!K62,"")</f>
        <v>41600</v>
      </c>
      <c r="F60" s="15">
        <f t="shared" si="0"/>
        <v>2648502.5749999997</v>
      </c>
      <c r="G60" s="114">
        <f t="shared" si="2"/>
        <v>2056041.4249999996</v>
      </c>
    </row>
    <row r="61" spans="1:7" ht="18.75" customHeight="1" x14ac:dyDescent="0.25">
      <c r="A61" s="111">
        <f t="shared" si="3"/>
        <v>55</v>
      </c>
      <c r="B61" s="128">
        <f>IF(A61&gt;0,'SOUTH Wells'!B63,"")</f>
        <v>994860593</v>
      </c>
      <c r="C61" s="130">
        <f>IF(A61&gt;0,'SOUTH Wells'!C63,"")</f>
        <v>45919</v>
      </c>
      <c r="D61" s="131" t="str">
        <f>IF(A61&gt;0,'SOUTH Wells'!E63,"")</f>
        <v>Kal-4</v>
      </c>
      <c r="E61" s="113">
        <f>IF(A61&gt;0,'SOUTH Wells'!K63,"")</f>
        <v>68646.5</v>
      </c>
      <c r="F61" s="15">
        <f t="shared" si="0"/>
        <v>2579856.0749999997</v>
      </c>
      <c r="G61" s="114">
        <f t="shared" si="2"/>
        <v>2124687.9249999998</v>
      </c>
    </row>
    <row r="62" spans="1:7" ht="18.75" customHeight="1" x14ac:dyDescent="0.25">
      <c r="A62" s="111">
        <f t="shared" si="3"/>
        <v>56</v>
      </c>
      <c r="B62" s="128">
        <f>IF(A62&gt;0,'SOUTH Wells'!B64,"")</f>
        <v>994860594</v>
      </c>
      <c r="C62" s="130">
        <f>IF(A62&gt;0,'SOUTH Wells'!C64,"")</f>
        <v>45907</v>
      </c>
      <c r="D62" s="131" t="str">
        <f>IF(A62&gt;0,'SOUTH Wells'!E64,"")</f>
        <v>Humwala-1</v>
      </c>
      <c r="E62" s="113">
        <f>IF(A62&gt;0,'SOUTH Wells'!K64,"")</f>
        <v>6696.5</v>
      </c>
      <c r="F62" s="15">
        <f t="shared" si="0"/>
        <v>2573159.5749999997</v>
      </c>
      <c r="G62" s="114">
        <f t="shared" si="2"/>
        <v>2131384.4249999998</v>
      </c>
    </row>
    <row r="63" spans="1:7" ht="18.75" customHeight="1" x14ac:dyDescent="0.25">
      <c r="A63" s="111">
        <f t="shared" si="3"/>
        <v>57</v>
      </c>
      <c r="B63" s="128">
        <f>IF(A63&gt;0,'SOUTH Wells'!B65,"")</f>
        <v>994860595</v>
      </c>
      <c r="C63" s="130" t="str">
        <f>IF(A63&gt;0,'SOUTH Wells'!C65,"")</f>
        <v>1-31 Aug-25</v>
      </c>
      <c r="D63" s="131" t="str">
        <f>IF(A63&gt;0,'SOUTH Wells'!E65,"")</f>
        <v>Humwala-1</v>
      </c>
      <c r="E63" s="113">
        <f>IF(A63&gt;0,'SOUTH Wells'!K65,"")</f>
        <v>9652.4</v>
      </c>
      <c r="F63" s="15">
        <f t="shared" si="0"/>
        <v>2563507.1749999998</v>
      </c>
      <c r="G63" s="114">
        <f t="shared" si="2"/>
        <v>2141036.8249999997</v>
      </c>
    </row>
    <row r="64" spans="1:7" ht="18.75" customHeight="1" x14ac:dyDescent="0.25">
      <c r="A64" s="111">
        <v>58</v>
      </c>
      <c r="B64" s="128">
        <f>IF(A64&gt;0,'SOUTH Wells'!B66,"")</f>
        <v>0</v>
      </c>
      <c r="C64" s="130">
        <f>IF(A64&gt;0,'SOUTH Wells'!C66,"")</f>
        <v>0</v>
      </c>
      <c r="D64" s="131">
        <f>IF(A64&gt;0,'SOUTH Wells'!E66,"")</f>
        <v>0</v>
      </c>
      <c r="E64" s="113">
        <f>IF(A64&gt;0,'SOUTH Wells'!K66,"")</f>
        <v>0</v>
      </c>
      <c r="F64" s="15">
        <f t="shared" si="0"/>
        <v>2563507.1749999998</v>
      </c>
      <c r="G64" s="114">
        <f t="shared" si="2"/>
        <v>2141036.8249999997</v>
      </c>
    </row>
    <row r="65" spans="1:7" ht="18.75" customHeight="1" x14ac:dyDescent="0.25">
      <c r="A65" s="111"/>
      <c r="B65" s="128" t="str">
        <f>IF(A65&gt;0,'SOUTH Wells'!B67,"")</f>
        <v/>
      </c>
      <c r="C65" s="130" t="str">
        <f>IF(A65&gt;0,'SOUTH Wells'!C67,"")</f>
        <v/>
      </c>
      <c r="D65" s="131" t="str">
        <f>IF(A65&gt;0,'SOUTH Wells'!E67,"")</f>
        <v/>
      </c>
      <c r="E65" s="113" t="str">
        <f>IF(A65&gt;0,'SOUTH Wells'!K67,"")</f>
        <v/>
      </c>
      <c r="F65" s="15" t="str">
        <f t="shared" si="0"/>
        <v/>
      </c>
      <c r="G65" s="114" t="e">
        <f t="shared" si="2"/>
        <v>#VALUE!</v>
      </c>
    </row>
    <row r="66" spans="1:7" ht="18.75" customHeight="1" x14ac:dyDescent="0.25">
      <c r="A66" s="111"/>
      <c r="B66" s="128" t="str">
        <f>IF(A66&gt;0,'SOUTH Wells'!B68,"")</f>
        <v/>
      </c>
      <c r="C66" s="130" t="str">
        <f>IF(A66&gt;0,'SOUTH Wells'!C68,"")</f>
        <v/>
      </c>
      <c r="D66" s="131" t="str">
        <f>IF(A66&gt;0,'SOUTH Wells'!E68,"")</f>
        <v/>
      </c>
      <c r="E66" s="113" t="str">
        <f>IF(A66&gt;0,'SOUTH Wells'!K68,"")</f>
        <v/>
      </c>
      <c r="F66" s="15" t="str">
        <f t="shared" si="0"/>
        <v/>
      </c>
      <c r="G66" s="114" t="str">
        <f t="shared" si="2"/>
        <v/>
      </c>
    </row>
    <row r="67" spans="1:7" ht="18.75" customHeight="1" x14ac:dyDescent="0.25">
      <c r="A67" s="111"/>
      <c r="B67" s="128" t="str">
        <f>IF(A67&gt;0,'SOUTH Wells'!B69,"")</f>
        <v/>
      </c>
      <c r="C67" s="130" t="str">
        <f>IF(A67&gt;0,'SOUTH Wells'!C69,"")</f>
        <v/>
      </c>
      <c r="D67" s="131" t="str">
        <f>IF(A67&gt;0,'SOUTH Wells'!E69,"")</f>
        <v/>
      </c>
      <c r="E67" s="113" t="str">
        <f>IF(A67&gt;0,'SOUTH Wells'!K69,"")</f>
        <v/>
      </c>
      <c r="F67" s="15" t="str">
        <f t="shared" si="0"/>
        <v/>
      </c>
      <c r="G67" s="114" t="str">
        <f t="shared" si="2"/>
        <v/>
      </c>
    </row>
    <row r="68" spans="1:7" ht="18.75" customHeight="1" x14ac:dyDescent="0.25">
      <c r="A68" s="111"/>
      <c r="B68" s="128" t="str">
        <f>IF(A68&gt;0,'SOUTH Wells'!B70,"")</f>
        <v/>
      </c>
      <c r="C68" s="130" t="str">
        <f>IF(A68&gt;0,'SOUTH Wells'!C70,"")</f>
        <v/>
      </c>
      <c r="D68" s="131" t="str">
        <f>IF(A68&gt;0,'SOUTH Wells'!E70,"")</f>
        <v/>
      </c>
      <c r="E68" s="113" t="str">
        <f>IF(A68&gt;0,'SOUTH Wells'!K70,"")</f>
        <v/>
      </c>
      <c r="F68" s="15" t="str">
        <f t="shared" si="0"/>
        <v/>
      </c>
      <c r="G68" s="114" t="str">
        <f t="shared" si="2"/>
        <v/>
      </c>
    </row>
    <row r="69" spans="1:7" ht="18.75" customHeight="1" x14ac:dyDescent="0.25">
      <c r="A69" s="111"/>
      <c r="B69" s="128" t="str">
        <f>IF(A69&gt;0,'SOUTH Wells'!B71,"")</f>
        <v/>
      </c>
      <c r="C69" s="130" t="str">
        <f>IF(A69&gt;0,'SOUTH Wells'!C71,"")</f>
        <v/>
      </c>
      <c r="D69" s="131" t="str">
        <f>IF(A69&gt;0,'SOUTH Wells'!E71,"")</f>
        <v/>
      </c>
      <c r="E69" s="113" t="str">
        <f>IF(A69&gt;0,'SOUTH Wells'!K71,"")</f>
        <v/>
      </c>
      <c r="F69" s="15" t="str">
        <f t="shared" si="0"/>
        <v/>
      </c>
      <c r="G69" s="114" t="str">
        <f t="shared" si="2"/>
        <v/>
      </c>
    </row>
    <row r="70" spans="1:7" ht="18.75" customHeight="1" x14ac:dyDescent="0.25">
      <c r="A70" s="111"/>
      <c r="B70" s="128" t="str">
        <f>IF(A70&gt;0,'SOUTH Wells'!B72,"")</f>
        <v/>
      </c>
      <c r="C70" s="130" t="str">
        <f>IF(A70&gt;0,'SOUTH Wells'!C72,"")</f>
        <v/>
      </c>
      <c r="D70" s="131" t="str">
        <f>IF(A70&gt;0,'SOUTH Wells'!E72,"")</f>
        <v/>
      </c>
      <c r="E70" s="113" t="str">
        <f>IF(A70&gt;0,'SOUTH Wells'!K72,"")</f>
        <v/>
      </c>
      <c r="F70" s="15" t="str">
        <f t="shared" si="0"/>
        <v/>
      </c>
      <c r="G70" s="114" t="str">
        <f t="shared" si="2"/>
        <v/>
      </c>
    </row>
    <row r="71" spans="1:7" ht="18.75" customHeight="1" x14ac:dyDescent="0.25">
      <c r="A71" s="111"/>
      <c r="B71" s="128" t="str">
        <f>IF(A71&gt;0,'SOUTH Wells'!B73,"")</f>
        <v/>
      </c>
      <c r="C71" s="130" t="str">
        <f>IF(A71&gt;0,'SOUTH Wells'!C73,"")</f>
        <v/>
      </c>
      <c r="D71" s="131" t="str">
        <f>IF(A71&gt;0,'SOUTH Wells'!E73,"")</f>
        <v/>
      </c>
      <c r="E71" s="113" t="str">
        <f>IF(A71&gt;0,'SOUTH Wells'!K73,"")</f>
        <v/>
      </c>
      <c r="F71" s="15" t="str">
        <f t="shared" si="0"/>
        <v/>
      </c>
      <c r="G71" s="114" t="str">
        <f t="shared" si="2"/>
        <v/>
      </c>
    </row>
    <row r="72" spans="1:7" ht="18.75" customHeight="1" x14ac:dyDescent="0.25">
      <c r="A72" s="111"/>
      <c r="B72" s="128" t="str">
        <f>IF(A72&gt;0,'SOUTH Wells'!B74,"")</f>
        <v/>
      </c>
      <c r="C72" s="130" t="str">
        <f>IF(A72&gt;0,'SOUTH Wells'!C74,"")</f>
        <v/>
      </c>
      <c r="D72" s="131" t="str">
        <f>IF(A72&gt;0,'SOUTH Wells'!E74,"")</f>
        <v/>
      </c>
      <c r="E72" s="113" t="str">
        <f>IF(A72&gt;0,'SOUTH Wells'!K74,"")</f>
        <v/>
      </c>
      <c r="F72" s="15" t="str">
        <f t="shared" si="0"/>
        <v/>
      </c>
      <c r="G72" s="114" t="str">
        <f t="shared" si="2"/>
        <v/>
      </c>
    </row>
    <row r="73" spans="1:7" ht="18.75" customHeight="1" x14ac:dyDescent="0.25">
      <c r="A73" s="111"/>
      <c r="B73" s="128" t="str">
        <f>IF(A73&gt;0,'SOUTH Wells'!B75,"")</f>
        <v/>
      </c>
      <c r="C73" s="130" t="str">
        <f>IF(A73&gt;0,'SOUTH Wells'!C75,"")</f>
        <v/>
      </c>
      <c r="D73" s="131" t="str">
        <f>IF(A73&gt;0,'SOUTH Wells'!E75,"")</f>
        <v/>
      </c>
      <c r="E73" s="113" t="str">
        <f>IF(A73&gt;0,'SOUTH Wells'!K75,"")</f>
        <v/>
      </c>
      <c r="F73" s="15" t="str">
        <f t="shared" ref="F73:F136" si="4">IF(A73&gt;0,F72-E73,"")</f>
        <v/>
      </c>
      <c r="G73" s="114" t="str">
        <f t="shared" ref="G73:G136" si="5">IF(A72&gt;0,G72+E73,"")</f>
        <v/>
      </c>
    </row>
    <row r="74" spans="1:7" ht="18.75" customHeight="1" x14ac:dyDescent="0.25">
      <c r="A74" s="111"/>
      <c r="B74" s="128" t="str">
        <f>IF(A74&gt;0,'SOUTH Wells'!B76,"")</f>
        <v/>
      </c>
      <c r="C74" s="130" t="str">
        <f>IF(A74&gt;0,'SOUTH Wells'!C76,"")</f>
        <v/>
      </c>
      <c r="D74" s="131" t="str">
        <f>IF(A74&gt;0,'SOUTH Wells'!E76,"")</f>
        <v/>
      </c>
      <c r="E74" s="113" t="str">
        <f>IF(A74&gt;0,'SOUTH Wells'!K76,"")</f>
        <v/>
      </c>
      <c r="F74" s="15" t="str">
        <f t="shared" si="4"/>
        <v/>
      </c>
      <c r="G74" s="114" t="str">
        <f t="shared" si="5"/>
        <v/>
      </c>
    </row>
    <row r="75" spans="1:7" ht="18.75" customHeight="1" x14ac:dyDescent="0.25">
      <c r="A75" s="111"/>
      <c r="B75" s="128" t="str">
        <f>IF(A75&gt;0,'SOUTH Wells'!B77,"")</f>
        <v/>
      </c>
      <c r="C75" s="130" t="str">
        <f>IF(A75&gt;0,'SOUTH Wells'!C77,"")</f>
        <v/>
      </c>
      <c r="D75" s="131" t="str">
        <f>IF(A75&gt;0,'SOUTH Wells'!E77,"")</f>
        <v/>
      </c>
      <c r="E75" s="113" t="str">
        <f>IF(A75&gt;0,'SOUTH Wells'!K77,"")</f>
        <v/>
      </c>
      <c r="F75" s="15" t="str">
        <f t="shared" si="4"/>
        <v/>
      </c>
      <c r="G75" s="114" t="str">
        <f t="shared" si="5"/>
        <v/>
      </c>
    </row>
    <row r="76" spans="1:7" ht="18.75" customHeight="1" x14ac:dyDescent="0.25">
      <c r="A76" s="111"/>
      <c r="B76" s="128" t="str">
        <f>IF(A76&gt;0,'SOUTH Wells'!B78,"")</f>
        <v/>
      </c>
      <c r="C76" s="130" t="str">
        <f>IF(A76&gt;0,'SOUTH Wells'!C78,"")</f>
        <v/>
      </c>
      <c r="D76" s="131" t="str">
        <f>IF(A76&gt;0,'SOUTH Wells'!E78,"")</f>
        <v/>
      </c>
      <c r="E76" s="113" t="str">
        <f>IF(A76&gt;0,'SOUTH Wells'!K78,"")</f>
        <v/>
      </c>
      <c r="F76" s="15" t="str">
        <f t="shared" si="4"/>
        <v/>
      </c>
      <c r="G76" s="114" t="str">
        <f t="shared" si="5"/>
        <v/>
      </c>
    </row>
    <row r="77" spans="1:7" ht="18.75" customHeight="1" x14ac:dyDescent="0.25">
      <c r="A77" s="111"/>
      <c r="B77" s="128" t="str">
        <f>IF(A77&gt;0,'SOUTH Wells'!B79,"")</f>
        <v/>
      </c>
      <c r="C77" s="130" t="str">
        <f>IF(A77&gt;0,'SOUTH Wells'!C79,"")</f>
        <v/>
      </c>
      <c r="D77" s="131" t="str">
        <f>IF(A77&gt;0,'SOUTH Wells'!E79,"")</f>
        <v/>
      </c>
      <c r="E77" s="113" t="str">
        <f>IF(A77&gt;0,'SOUTH Wells'!K79,"")</f>
        <v/>
      </c>
      <c r="F77" s="15" t="str">
        <f t="shared" si="4"/>
        <v/>
      </c>
      <c r="G77" s="114" t="str">
        <f t="shared" si="5"/>
        <v/>
      </c>
    </row>
    <row r="78" spans="1:7" ht="18.75" customHeight="1" x14ac:dyDescent="0.25">
      <c r="A78" s="111"/>
      <c r="B78" s="128" t="str">
        <f>IF(A78&gt;0,'SOUTH Wells'!B80,"")</f>
        <v/>
      </c>
      <c r="C78" s="130" t="str">
        <f>IF(A78&gt;0,'SOUTH Wells'!C80,"")</f>
        <v/>
      </c>
      <c r="D78" s="131" t="str">
        <f>IF(A78&gt;0,'SOUTH Wells'!E80,"")</f>
        <v/>
      </c>
      <c r="E78" s="113" t="str">
        <f>IF(A78&gt;0,'SOUTH Wells'!K80,"")</f>
        <v/>
      </c>
      <c r="F78" s="15" t="str">
        <f t="shared" si="4"/>
        <v/>
      </c>
      <c r="G78" s="114" t="str">
        <f t="shared" si="5"/>
        <v/>
      </c>
    </row>
    <row r="79" spans="1:7" ht="18.75" customHeight="1" x14ac:dyDescent="0.25">
      <c r="A79" s="111"/>
      <c r="B79" s="128" t="str">
        <f>IF(A79&gt;0,'SOUTH Wells'!B81,"")</f>
        <v/>
      </c>
      <c r="C79" s="130" t="str">
        <f>IF(A79&gt;0,'SOUTH Wells'!C81,"")</f>
        <v/>
      </c>
      <c r="D79" s="131" t="str">
        <f>IF(A79&gt;0,'SOUTH Wells'!E81,"")</f>
        <v/>
      </c>
      <c r="E79" s="113" t="str">
        <f>IF(A79&gt;0,'SOUTH Wells'!K81,"")</f>
        <v/>
      </c>
      <c r="F79" s="15" t="str">
        <f t="shared" si="4"/>
        <v/>
      </c>
      <c r="G79" s="114" t="str">
        <f t="shared" si="5"/>
        <v/>
      </c>
    </row>
    <row r="80" spans="1:7" ht="18.75" customHeight="1" x14ac:dyDescent="0.25">
      <c r="A80" s="111"/>
      <c r="B80" s="128" t="str">
        <f>IF(A80&gt;0,'SOUTH Wells'!B82,"")</f>
        <v/>
      </c>
      <c r="C80" s="130" t="str">
        <f>IF(A80&gt;0,'SOUTH Wells'!C82,"")</f>
        <v/>
      </c>
      <c r="D80" s="131" t="str">
        <f>IF(A80&gt;0,'SOUTH Wells'!E82,"")</f>
        <v/>
      </c>
      <c r="E80" s="113" t="str">
        <f>IF(A80&gt;0,'SOUTH Wells'!K82,"")</f>
        <v/>
      </c>
      <c r="F80" s="15" t="str">
        <f t="shared" si="4"/>
        <v/>
      </c>
      <c r="G80" s="114" t="str">
        <f t="shared" si="5"/>
        <v/>
      </c>
    </row>
    <row r="81" spans="1:7" ht="18.75" customHeight="1" x14ac:dyDescent="0.25">
      <c r="A81" s="111"/>
      <c r="B81" s="128" t="str">
        <f>IF(A81&gt;0,'SOUTH Wells'!B83,"")</f>
        <v/>
      </c>
      <c r="C81" s="130" t="str">
        <f>IF(A81&gt;0,'SOUTH Wells'!C83,"")</f>
        <v/>
      </c>
      <c r="D81" s="131" t="str">
        <f>IF(A81&gt;0,'SOUTH Wells'!E83,"")</f>
        <v/>
      </c>
      <c r="E81" s="113" t="str">
        <f>IF(A81&gt;0,'SOUTH Wells'!K83,"")</f>
        <v/>
      </c>
      <c r="F81" s="15" t="str">
        <f t="shared" si="4"/>
        <v/>
      </c>
      <c r="G81" s="114" t="str">
        <f t="shared" si="5"/>
        <v/>
      </c>
    </row>
    <row r="82" spans="1:7" ht="18.75" customHeight="1" x14ac:dyDescent="0.25">
      <c r="A82" s="111"/>
      <c r="B82" s="128" t="str">
        <f>IF(A82&gt;0,'SOUTH Wells'!B84,"")</f>
        <v/>
      </c>
      <c r="C82" s="130" t="str">
        <f>IF(A82&gt;0,'SOUTH Wells'!C84,"")</f>
        <v/>
      </c>
      <c r="D82" s="131" t="str">
        <f>IF(A82&gt;0,'SOUTH Wells'!E84,"")</f>
        <v/>
      </c>
      <c r="E82" s="113" t="str">
        <f>IF(A82&gt;0,'SOUTH Wells'!K84,"")</f>
        <v/>
      </c>
      <c r="F82" s="15" t="str">
        <f t="shared" si="4"/>
        <v/>
      </c>
      <c r="G82" s="114" t="str">
        <f t="shared" si="5"/>
        <v/>
      </c>
    </row>
    <row r="83" spans="1:7" ht="18.75" customHeight="1" x14ac:dyDescent="0.25">
      <c r="A83" s="111"/>
      <c r="B83" s="128" t="str">
        <f>IF(A83&gt;0,'SOUTH Wells'!B85,"")</f>
        <v/>
      </c>
      <c r="C83" s="130" t="str">
        <f>IF(A83&gt;0,'SOUTH Wells'!C85,"")</f>
        <v/>
      </c>
      <c r="D83" s="131" t="str">
        <f>IF(A83&gt;0,'SOUTH Wells'!E85,"")</f>
        <v/>
      </c>
      <c r="E83" s="113" t="str">
        <f>IF(A83&gt;0,'SOUTH Wells'!K85,"")</f>
        <v/>
      </c>
      <c r="F83" s="15" t="str">
        <f t="shared" si="4"/>
        <v/>
      </c>
      <c r="G83" s="114" t="str">
        <f t="shared" si="5"/>
        <v/>
      </c>
    </row>
    <row r="84" spans="1:7" ht="18.75" customHeight="1" x14ac:dyDescent="0.25">
      <c r="A84" s="111"/>
      <c r="B84" s="128" t="str">
        <f>IF(A84&gt;0,'SOUTH Wells'!B86,"")</f>
        <v/>
      </c>
      <c r="C84" s="130" t="str">
        <f>IF(A84&gt;0,'SOUTH Wells'!C86,"")</f>
        <v/>
      </c>
      <c r="D84" s="131" t="str">
        <f>IF(A84&gt;0,'SOUTH Wells'!E86,"")</f>
        <v/>
      </c>
      <c r="E84" s="113" t="str">
        <f>IF(A84&gt;0,'SOUTH Wells'!K86,"")</f>
        <v/>
      </c>
      <c r="F84" s="15" t="str">
        <f t="shared" si="4"/>
        <v/>
      </c>
      <c r="G84" s="114" t="str">
        <f t="shared" si="5"/>
        <v/>
      </c>
    </row>
    <row r="85" spans="1:7" ht="18.75" customHeight="1" x14ac:dyDescent="0.25">
      <c r="A85" s="111"/>
      <c r="B85" s="128" t="str">
        <f>IF(A85&gt;0,'SOUTH Wells'!B87,"")</f>
        <v/>
      </c>
      <c r="C85" s="130" t="str">
        <f>IF(A85&gt;0,'SOUTH Wells'!C87,"")</f>
        <v/>
      </c>
      <c r="D85" s="131" t="str">
        <f>IF(A85&gt;0,'SOUTH Wells'!E87,"")</f>
        <v/>
      </c>
      <c r="E85" s="113" t="str">
        <f>IF(A85&gt;0,'SOUTH Wells'!K87,"")</f>
        <v/>
      </c>
      <c r="F85" s="15" t="str">
        <f t="shared" si="4"/>
        <v/>
      </c>
      <c r="G85" s="114" t="str">
        <f t="shared" si="5"/>
        <v/>
      </c>
    </row>
    <row r="86" spans="1:7" ht="18.75" customHeight="1" x14ac:dyDescent="0.25">
      <c r="A86" s="111"/>
      <c r="B86" s="128" t="str">
        <f>IF(A86&gt;0,'SOUTH Wells'!B88,"")</f>
        <v/>
      </c>
      <c r="C86" s="130" t="str">
        <f>IF(A86&gt;0,'SOUTH Wells'!C88,"")</f>
        <v/>
      </c>
      <c r="D86" s="131" t="str">
        <f>IF(A86&gt;0,'SOUTH Wells'!E88,"")</f>
        <v/>
      </c>
      <c r="E86" s="113" t="str">
        <f>IF(A86&gt;0,'SOUTH Wells'!K88,"")</f>
        <v/>
      </c>
      <c r="F86" s="15" t="str">
        <f t="shared" si="4"/>
        <v/>
      </c>
      <c r="G86" s="114" t="str">
        <f t="shared" si="5"/>
        <v/>
      </c>
    </row>
    <row r="87" spans="1:7" ht="18.75" customHeight="1" x14ac:dyDescent="0.25">
      <c r="A87" s="111"/>
      <c r="B87" s="128" t="str">
        <f>IF(A87&gt;0,'SOUTH Wells'!B89,"")</f>
        <v/>
      </c>
      <c r="C87" s="130" t="str">
        <f>IF(A87&gt;0,'SOUTH Wells'!C89,"")</f>
        <v/>
      </c>
      <c r="D87" s="131" t="str">
        <f>IF(A87&gt;0,'SOUTH Wells'!E89,"")</f>
        <v/>
      </c>
      <c r="E87" s="113" t="str">
        <f>IF(A87&gt;0,'SOUTH Wells'!K89,"")</f>
        <v/>
      </c>
      <c r="F87" s="15" t="str">
        <f t="shared" si="4"/>
        <v/>
      </c>
      <c r="G87" s="114" t="str">
        <f t="shared" si="5"/>
        <v/>
      </c>
    </row>
    <row r="88" spans="1:7" ht="18.75" customHeight="1" x14ac:dyDescent="0.25">
      <c r="A88" s="111"/>
      <c r="B88" s="128" t="str">
        <f>IF(A88&gt;0,'SOUTH Wells'!B90,"")</f>
        <v/>
      </c>
      <c r="C88" s="130" t="str">
        <f>IF(A88&gt;0,'SOUTH Wells'!C90,"")</f>
        <v/>
      </c>
      <c r="D88" s="131" t="str">
        <f>IF(A88&gt;0,'SOUTH Wells'!E90,"")</f>
        <v/>
      </c>
      <c r="E88" s="113" t="str">
        <f>IF(A88&gt;0,'SOUTH Wells'!K90,"")</f>
        <v/>
      </c>
      <c r="F88" s="15" t="str">
        <f t="shared" si="4"/>
        <v/>
      </c>
      <c r="G88" s="114" t="str">
        <f t="shared" si="5"/>
        <v/>
      </c>
    </row>
    <row r="89" spans="1:7" ht="18.75" customHeight="1" x14ac:dyDescent="0.25">
      <c r="A89" s="111"/>
      <c r="B89" s="128" t="str">
        <f>IF(A89&gt;0,'SOUTH Wells'!B91,"")</f>
        <v/>
      </c>
      <c r="C89" s="130" t="str">
        <f>IF(A89&gt;0,'SOUTH Wells'!C91,"")</f>
        <v/>
      </c>
      <c r="D89" s="131" t="str">
        <f>IF(A89&gt;0,'SOUTH Wells'!E91,"")</f>
        <v/>
      </c>
      <c r="E89" s="113" t="str">
        <f>IF(A89&gt;0,'SOUTH Wells'!K91,"")</f>
        <v/>
      </c>
      <c r="F89" s="15" t="str">
        <f t="shared" si="4"/>
        <v/>
      </c>
      <c r="G89" s="114" t="str">
        <f t="shared" si="5"/>
        <v/>
      </c>
    </row>
    <row r="90" spans="1:7" ht="18.75" customHeight="1" x14ac:dyDescent="0.25">
      <c r="A90" s="111"/>
      <c r="B90" s="128" t="str">
        <f>IF(A90&gt;0,'SOUTH Wells'!B92,"")</f>
        <v/>
      </c>
      <c r="C90" s="130" t="str">
        <f>IF(A90&gt;0,'SOUTH Wells'!C92,"")</f>
        <v/>
      </c>
      <c r="D90" s="131" t="str">
        <f>IF(A90&gt;0,'SOUTH Wells'!E92,"")</f>
        <v/>
      </c>
      <c r="E90" s="113" t="str">
        <f>IF(A90&gt;0,'SOUTH Wells'!K92,"")</f>
        <v/>
      </c>
      <c r="F90" s="15" t="str">
        <f t="shared" si="4"/>
        <v/>
      </c>
      <c r="G90" s="114" t="str">
        <f t="shared" si="5"/>
        <v/>
      </c>
    </row>
    <row r="91" spans="1:7" ht="18.75" customHeight="1" x14ac:dyDescent="0.25">
      <c r="A91" s="111"/>
      <c r="B91" s="128" t="str">
        <f>IF(A91&gt;0,'SOUTH Wells'!B93,"")</f>
        <v/>
      </c>
      <c r="C91" s="130" t="str">
        <f>IF(A91&gt;0,'SOUTH Wells'!C93,"")</f>
        <v/>
      </c>
      <c r="D91" s="131" t="str">
        <f>IF(A91&gt;0,'SOUTH Wells'!E93,"")</f>
        <v/>
      </c>
      <c r="E91" s="113" t="str">
        <f>IF(A91&gt;0,'SOUTH Wells'!K93,"")</f>
        <v/>
      </c>
      <c r="F91" s="15" t="str">
        <f t="shared" si="4"/>
        <v/>
      </c>
      <c r="G91" s="114" t="str">
        <f t="shared" si="5"/>
        <v/>
      </c>
    </row>
    <row r="92" spans="1:7" ht="18.75" customHeight="1" x14ac:dyDescent="0.25">
      <c r="A92" s="111"/>
      <c r="B92" s="128" t="str">
        <f>IF(A92&gt;0,'SOUTH Wells'!B94,"")</f>
        <v/>
      </c>
      <c r="C92" s="130" t="str">
        <f>IF(A92&gt;0,'SOUTH Wells'!C94,"")</f>
        <v/>
      </c>
      <c r="D92" s="131" t="str">
        <f>IF(A92&gt;0,'SOUTH Wells'!E94,"")</f>
        <v/>
      </c>
      <c r="E92" s="113" t="str">
        <f>IF(A92&gt;0,'SOUTH Wells'!K94,"")</f>
        <v/>
      </c>
      <c r="F92" s="15" t="str">
        <f t="shared" si="4"/>
        <v/>
      </c>
      <c r="G92" s="114" t="str">
        <f t="shared" si="5"/>
        <v/>
      </c>
    </row>
    <row r="93" spans="1:7" ht="18.75" customHeight="1" x14ac:dyDescent="0.25">
      <c r="A93" s="111"/>
      <c r="B93" s="128" t="str">
        <f>IF(A93&gt;0,'SOUTH Wells'!B95,"")</f>
        <v/>
      </c>
      <c r="C93" s="130" t="str">
        <f>IF(A93&gt;0,'SOUTH Wells'!C95,"")</f>
        <v/>
      </c>
      <c r="D93" s="131" t="str">
        <f>IF(A93&gt;0,'SOUTH Wells'!E95,"")</f>
        <v/>
      </c>
      <c r="E93" s="113" t="str">
        <f>IF(A93&gt;0,'SOUTH Wells'!K95,"")</f>
        <v/>
      </c>
      <c r="F93" s="15" t="str">
        <f t="shared" si="4"/>
        <v/>
      </c>
      <c r="G93" s="114" t="str">
        <f t="shared" si="5"/>
        <v/>
      </c>
    </row>
    <row r="94" spans="1:7" ht="18.75" customHeight="1" x14ac:dyDescent="0.25">
      <c r="A94" s="111"/>
      <c r="B94" s="128" t="str">
        <f>IF(A94&gt;0,'SOUTH Wells'!B96,"")</f>
        <v/>
      </c>
      <c r="C94" s="130" t="str">
        <f>IF(A94&gt;0,'SOUTH Wells'!C96,"")</f>
        <v/>
      </c>
      <c r="D94" s="131" t="str">
        <f>IF(A94&gt;0,'SOUTH Wells'!E96,"")</f>
        <v/>
      </c>
      <c r="E94" s="113" t="str">
        <f>IF(A94&gt;0,'SOUTH Wells'!K96,"")</f>
        <v/>
      </c>
      <c r="F94" s="15" t="str">
        <f t="shared" si="4"/>
        <v/>
      </c>
      <c r="G94" s="114" t="str">
        <f t="shared" si="5"/>
        <v/>
      </c>
    </row>
    <row r="95" spans="1:7" ht="18.75" customHeight="1" x14ac:dyDescent="0.25">
      <c r="A95" s="111"/>
      <c r="B95" s="128" t="str">
        <f>IF(A95&gt;0,'SOUTH Wells'!B97,"")</f>
        <v/>
      </c>
      <c r="C95" s="130" t="str">
        <f>IF(A95&gt;0,'SOUTH Wells'!C97,"")</f>
        <v/>
      </c>
      <c r="D95" s="131" t="str">
        <f>IF(A95&gt;0,'SOUTH Wells'!E97,"")</f>
        <v/>
      </c>
      <c r="E95" s="113" t="str">
        <f>IF(A95&gt;0,'SOUTH Wells'!K97,"")</f>
        <v/>
      </c>
      <c r="F95" s="15" t="str">
        <f t="shared" si="4"/>
        <v/>
      </c>
      <c r="G95" s="114" t="str">
        <f t="shared" si="5"/>
        <v/>
      </c>
    </row>
    <row r="96" spans="1:7" ht="18.75" customHeight="1" x14ac:dyDescent="0.25">
      <c r="A96" s="111"/>
      <c r="B96" s="128" t="str">
        <f>IF(A96&gt;0,'SOUTH Wells'!B98,"")</f>
        <v/>
      </c>
      <c r="C96" s="130" t="str">
        <f>IF(A96&gt;0,'SOUTH Wells'!C98,"")</f>
        <v/>
      </c>
      <c r="D96" s="131" t="str">
        <f>IF(A96&gt;0,'SOUTH Wells'!E98,"")</f>
        <v/>
      </c>
      <c r="E96" s="113" t="str">
        <f>IF(A96&gt;0,'SOUTH Wells'!K98,"")</f>
        <v/>
      </c>
      <c r="F96" s="15" t="str">
        <f t="shared" si="4"/>
        <v/>
      </c>
      <c r="G96" s="114" t="str">
        <f t="shared" si="5"/>
        <v/>
      </c>
    </row>
    <row r="97" spans="1:7" ht="18.75" customHeight="1" x14ac:dyDescent="0.25">
      <c r="A97" s="111"/>
      <c r="B97" s="128" t="str">
        <f>IF(A97&gt;0,'SOUTH Wells'!B99,"")</f>
        <v/>
      </c>
      <c r="C97" s="130" t="str">
        <f>IF(A97&gt;0,'SOUTH Wells'!C99,"")</f>
        <v/>
      </c>
      <c r="D97" s="131" t="str">
        <f>IF(A97&gt;0,'SOUTH Wells'!E99,"")</f>
        <v/>
      </c>
      <c r="E97" s="113" t="str">
        <f>IF(A97&gt;0,'SOUTH Wells'!K99,"")</f>
        <v/>
      </c>
      <c r="F97" s="15" t="str">
        <f t="shared" si="4"/>
        <v/>
      </c>
      <c r="G97" s="114" t="str">
        <f t="shared" si="5"/>
        <v/>
      </c>
    </row>
    <row r="98" spans="1:7" ht="18.75" customHeight="1" x14ac:dyDescent="0.25">
      <c r="A98" s="111"/>
      <c r="B98" s="128" t="str">
        <f>IF(A98&gt;0,'SOUTH Wells'!B100,"")</f>
        <v/>
      </c>
      <c r="C98" s="130" t="str">
        <f>IF(A98&gt;0,'SOUTH Wells'!C100,"")</f>
        <v/>
      </c>
      <c r="D98" s="131" t="str">
        <f>IF(A98&gt;0,'SOUTH Wells'!E100,"")</f>
        <v/>
      </c>
      <c r="E98" s="113" t="str">
        <f>IF(A98&gt;0,'SOUTH Wells'!K100,"")</f>
        <v/>
      </c>
      <c r="F98" s="15" t="str">
        <f t="shared" si="4"/>
        <v/>
      </c>
      <c r="G98" s="114" t="str">
        <f t="shared" si="5"/>
        <v/>
      </c>
    </row>
    <row r="99" spans="1:7" ht="18.75" customHeight="1" x14ac:dyDescent="0.25">
      <c r="A99" s="111"/>
      <c r="B99" s="128" t="str">
        <f>IF(A99&gt;0,'SOUTH Wells'!B101,"")</f>
        <v/>
      </c>
      <c r="C99" s="130" t="str">
        <f>IF(A99&gt;0,'SOUTH Wells'!C101,"")</f>
        <v/>
      </c>
      <c r="D99" s="131" t="str">
        <f>IF(A99&gt;0,'SOUTH Wells'!E101,"")</f>
        <v/>
      </c>
      <c r="E99" s="113" t="str">
        <f>IF(A99&gt;0,'SOUTH Wells'!K101,"")</f>
        <v/>
      </c>
      <c r="F99" s="15" t="str">
        <f t="shared" si="4"/>
        <v/>
      </c>
      <c r="G99" s="114" t="str">
        <f t="shared" si="5"/>
        <v/>
      </c>
    </row>
    <row r="100" spans="1:7" ht="18.75" customHeight="1" x14ac:dyDescent="0.25">
      <c r="A100" s="111"/>
      <c r="B100" s="128" t="str">
        <f>IF(A100&gt;0,'SOUTH Wells'!B102,"")</f>
        <v/>
      </c>
      <c r="C100" s="130" t="str">
        <f>IF(A100&gt;0,'SOUTH Wells'!C102,"")</f>
        <v/>
      </c>
      <c r="D100" s="131" t="str">
        <f>IF(A100&gt;0,'SOUTH Wells'!E102,"")</f>
        <v/>
      </c>
      <c r="E100" s="113" t="str">
        <f>IF(A100&gt;0,'SOUTH Wells'!K102,"")</f>
        <v/>
      </c>
      <c r="F100" s="15" t="str">
        <f t="shared" si="4"/>
        <v/>
      </c>
      <c r="G100" s="114" t="str">
        <f t="shared" si="5"/>
        <v/>
      </c>
    </row>
    <row r="101" spans="1:7" ht="18.75" customHeight="1" x14ac:dyDescent="0.25">
      <c r="A101" s="111"/>
      <c r="B101" s="128" t="str">
        <f>IF(A101&gt;0,'SOUTH Wells'!B103,"")</f>
        <v/>
      </c>
      <c r="C101" s="130" t="str">
        <f>IF(A101&gt;0,'SOUTH Wells'!C103,"")</f>
        <v/>
      </c>
      <c r="D101" s="131" t="str">
        <f>IF(A101&gt;0,'SOUTH Wells'!E103,"")</f>
        <v/>
      </c>
      <c r="E101" s="113" t="str">
        <f>IF(A101&gt;0,'SOUTH Wells'!K103,"")</f>
        <v/>
      </c>
      <c r="F101" s="15" t="str">
        <f t="shared" si="4"/>
        <v/>
      </c>
      <c r="G101" s="114" t="str">
        <f t="shared" si="5"/>
        <v/>
      </c>
    </row>
    <row r="102" spans="1:7" ht="18.75" customHeight="1" x14ac:dyDescent="0.25">
      <c r="A102" s="111"/>
      <c r="B102" s="128" t="str">
        <f>IF(A102&gt;0,'SOUTH Wells'!B104,"")</f>
        <v/>
      </c>
      <c r="C102" s="130" t="str">
        <f>IF(A102&gt;0,'SOUTH Wells'!C104,"")</f>
        <v/>
      </c>
      <c r="D102" s="131" t="str">
        <f>IF(A102&gt;0,'SOUTH Wells'!E104,"")</f>
        <v/>
      </c>
      <c r="E102" s="113" t="str">
        <f>IF(A102&gt;0,'SOUTH Wells'!K104,"")</f>
        <v/>
      </c>
      <c r="F102" s="15" t="str">
        <f t="shared" si="4"/>
        <v/>
      </c>
      <c r="G102" s="114" t="str">
        <f t="shared" si="5"/>
        <v/>
      </c>
    </row>
    <row r="103" spans="1:7" ht="18.75" customHeight="1" x14ac:dyDescent="0.25">
      <c r="A103" s="111"/>
      <c r="B103" s="128" t="str">
        <f>IF(A103&gt;0,'SOUTH Wells'!B105,"")</f>
        <v/>
      </c>
      <c r="C103" s="130" t="str">
        <f>IF(A103&gt;0,'SOUTH Wells'!C105,"")</f>
        <v/>
      </c>
      <c r="D103" s="131" t="str">
        <f>IF(A103&gt;0,'SOUTH Wells'!E105,"")</f>
        <v/>
      </c>
      <c r="E103" s="113" t="str">
        <f>IF(A103&gt;0,'SOUTH Wells'!K105,"")</f>
        <v/>
      </c>
      <c r="F103" s="15" t="str">
        <f t="shared" si="4"/>
        <v/>
      </c>
      <c r="G103" s="114" t="str">
        <f t="shared" si="5"/>
        <v/>
      </c>
    </row>
    <row r="104" spans="1:7" ht="18.75" customHeight="1" x14ac:dyDescent="0.25">
      <c r="A104" s="111"/>
      <c r="B104" s="128" t="str">
        <f>IF(A104&gt;0,'SOUTH Wells'!B106,"")</f>
        <v/>
      </c>
      <c r="C104" s="130" t="str">
        <f>IF(A104&gt;0,'SOUTH Wells'!C106,"")</f>
        <v/>
      </c>
      <c r="D104" s="131" t="str">
        <f>IF(A104&gt;0,'SOUTH Wells'!E106,"")</f>
        <v/>
      </c>
      <c r="E104" s="113" t="str">
        <f>IF(A104&gt;0,'SOUTH Wells'!K106,"")</f>
        <v/>
      </c>
      <c r="F104" s="15" t="str">
        <f t="shared" si="4"/>
        <v/>
      </c>
      <c r="G104" s="114" t="str">
        <f t="shared" si="5"/>
        <v/>
      </c>
    </row>
    <row r="105" spans="1:7" ht="18.75" customHeight="1" x14ac:dyDescent="0.25">
      <c r="A105" s="111"/>
      <c r="B105" s="128" t="str">
        <f>IF(A105&gt;0,'SOUTH Wells'!B107,"")</f>
        <v/>
      </c>
      <c r="C105" s="130" t="str">
        <f>IF(A105&gt;0,'SOUTH Wells'!C107,"")</f>
        <v/>
      </c>
      <c r="D105" s="131" t="str">
        <f>IF(A105&gt;0,'SOUTH Wells'!E107,"")</f>
        <v/>
      </c>
      <c r="E105" s="113" t="str">
        <f>IF(A105&gt;0,'SOUTH Wells'!K107,"")</f>
        <v/>
      </c>
      <c r="F105" s="15" t="str">
        <f t="shared" si="4"/>
        <v/>
      </c>
      <c r="G105" s="114" t="str">
        <f t="shared" si="5"/>
        <v/>
      </c>
    </row>
    <row r="106" spans="1:7" ht="18.75" customHeight="1" x14ac:dyDescent="0.25">
      <c r="A106" s="111"/>
      <c r="B106" s="128" t="str">
        <f>IF(A106&gt;0,'SOUTH Wells'!B108,"")</f>
        <v/>
      </c>
      <c r="C106" s="130" t="str">
        <f>IF(A106&gt;0,'SOUTH Wells'!C108,"")</f>
        <v/>
      </c>
      <c r="D106" s="131" t="str">
        <f>IF(A106&gt;0,'SOUTH Wells'!E108,"")</f>
        <v/>
      </c>
      <c r="E106" s="113" t="str">
        <f>IF(A106&gt;0,'SOUTH Wells'!K108,"")</f>
        <v/>
      </c>
      <c r="F106" s="15" t="str">
        <f t="shared" si="4"/>
        <v/>
      </c>
      <c r="G106" s="114" t="str">
        <f t="shared" si="5"/>
        <v/>
      </c>
    </row>
    <row r="107" spans="1:7" ht="18.75" customHeight="1" x14ac:dyDescent="0.25">
      <c r="A107" s="111"/>
      <c r="B107" s="128" t="str">
        <f>IF(A107&gt;0,'SOUTH Wells'!B109,"")</f>
        <v/>
      </c>
      <c r="C107" s="130" t="str">
        <f>IF(A107&gt;0,'SOUTH Wells'!C109,"")</f>
        <v/>
      </c>
      <c r="D107" s="131" t="str">
        <f>IF(A107&gt;0,'SOUTH Wells'!E109,"")</f>
        <v/>
      </c>
      <c r="E107" s="113" t="str">
        <f>IF(A107&gt;0,'SOUTH Wells'!K109,"")</f>
        <v/>
      </c>
      <c r="F107" s="15" t="str">
        <f t="shared" si="4"/>
        <v/>
      </c>
      <c r="G107" s="114" t="str">
        <f t="shared" si="5"/>
        <v/>
      </c>
    </row>
    <row r="108" spans="1:7" ht="18.75" customHeight="1" x14ac:dyDescent="0.25">
      <c r="A108" s="111"/>
      <c r="B108" s="128" t="str">
        <f>IF(A108&gt;0,'SOUTH Wells'!B110,"")</f>
        <v/>
      </c>
      <c r="C108" s="130" t="str">
        <f>IF(A108&gt;0,'SOUTH Wells'!C110,"")</f>
        <v/>
      </c>
      <c r="D108" s="131" t="str">
        <f>IF(A108&gt;0,'SOUTH Wells'!E110,"")</f>
        <v/>
      </c>
      <c r="E108" s="113" t="str">
        <f>IF(A108&gt;0,'SOUTH Wells'!K110,"")</f>
        <v/>
      </c>
      <c r="F108" s="15" t="str">
        <f t="shared" si="4"/>
        <v/>
      </c>
      <c r="G108" s="114" t="str">
        <f t="shared" si="5"/>
        <v/>
      </c>
    </row>
    <row r="109" spans="1:7" ht="18.75" customHeight="1" x14ac:dyDescent="0.25">
      <c r="A109" s="111"/>
      <c r="B109" s="128" t="str">
        <f>IF(A109&gt;0,'SOUTH Wells'!B111,"")</f>
        <v/>
      </c>
      <c r="C109" s="130" t="str">
        <f>IF(A109&gt;0,'SOUTH Wells'!C111,"")</f>
        <v/>
      </c>
      <c r="D109" s="131" t="str">
        <f>IF(A109&gt;0,'SOUTH Wells'!E111,"")</f>
        <v/>
      </c>
      <c r="E109" s="113" t="str">
        <f>IF(A109&gt;0,'SOUTH Wells'!K111,"")</f>
        <v/>
      </c>
      <c r="F109" s="15" t="str">
        <f t="shared" si="4"/>
        <v/>
      </c>
      <c r="G109" s="114" t="str">
        <f t="shared" si="5"/>
        <v/>
      </c>
    </row>
    <row r="110" spans="1:7" ht="18.75" customHeight="1" x14ac:dyDescent="0.25">
      <c r="A110" s="111"/>
      <c r="B110" s="128" t="str">
        <f>IF(A110&gt;0,'SOUTH Wells'!B112,"")</f>
        <v/>
      </c>
      <c r="C110" s="130" t="str">
        <f>IF(A110&gt;0,'SOUTH Wells'!C112,"")</f>
        <v/>
      </c>
      <c r="D110" s="131" t="str">
        <f>IF(A110&gt;0,'SOUTH Wells'!E112,"")</f>
        <v/>
      </c>
      <c r="E110" s="113" t="str">
        <f>IF(A110&gt;0,'SOUTH Wells'!K112,"")</f>
        <v/>
      </c>
      <c r="F110" s="15" t="str">
        <f t="shared" si="4"/>
        <v/>
      </c>
      <c r="G110" s="114" t="str">
        <f t="shared" si="5"/>
        <v/>
      </c>
    </row>
    <row r="111" spans="1:7" ht="18.75" customHeight="1" x14ac:dyDescent="0.25">
      <c r="A111" s="111"/>
      <c r="B111" s="128" t="str">
        <f>IF(A111&gt;0,'SOUTH Wells'!B113,"")</f>
        <v/>
      </c>
      <c r="C111" s="130" t="str">
        <f>IF(A111&gt;0,'SOUTH Wells'!C113,"")</f>
        <v/>
      </c>
      <c r="D111" s="131" t="str">
        <f>IF(A111&gt;0,'SOUTH Wells'!E113,"")</f>
        <v/>
      </c>
      <c r="E111" s="113" t="str">
        <f>IF(A111&gt;0,'SOUTH Wells'!K113,"")</f>
        <v/>
      </c>
      <c r="F111" s="15" t="str">
        <f t="shared" si="4"/>
        <v/>
      </c>
      <c r="G111" s="114" t="str">
        <f t="shared" si="5"/>
        <v/>
      </c>
    </row>
    <row r="112" spans="1:7" ht="18.75" customHeight="1" x14ac:dyDescent="0.25">
      <c r="A112" s="111"/>
      <c r="B112" s="128" t="str">
        <f>IF(A112&gt;0,'SOUTH Wells'!B114,"")</f>
        <v/>
      </c>
      <c r="C112" s="130" t="str">
        <f>IF(A112&gt;0,'SOUTH Wells'!C114,"")</f>
        <v/>
      </c>
      <c r="D112" s="131" t="str">
        <f>IF(A112&gt;0,'SOUTH Wells'!E114,"")</f>
        <v/>
      </c>
      <c r="E112" s="113" t="str">
        <f>IF(A112&gt;0,'SOUTH Wells'!K114,"")</f>
        <v/>
      </c>
      <c r="F112" s="15" t="str">
        <f t="shared" si="4"/>
        <v/>
      </c>
      <c r="G112" s="114" t="str">
        <f t="shared" si="5"/>
        <v/>
      </c>
    </row>
    <row r="113" spans="1:7" ht="18.75" customHeight="1" x14ac:dyDescent="0.25">
      <c r="A113" s="111"/>
      <c r="B113" s="128" t="str">
        <f>IF(A113&gt;0,'SOUTH Wells'!B115,"")</f>
        <v/>
      </c>
      <c r="C113" s="130" t="str">
        <f>IF(A113&gt;0,'SOUTH Wells'!C115,"")</f>
        <v/>
      </c>
      <c r="D113" s="131" t="str">
        <f>IF(A113&gt;0,'SOUTH Wells'!E115,"")</f>
        <v/>
      </c>
      <c r="E113" s="113" t="str">
        <f>IF(A113&gt;0,'SOUTH Wells'!K115,"")</f>
        <v/>
      </c>
      <c r="F113" s="15" t="str">
        <f t="shared" si="4"/>
        <v/>
      </c>
      <c r="G113" s="114" t="str">
        <f t="shared" si="5"/>
        <v/>
      </c>
    </row>
    <row r="114" spans="1:7" ht="18.75" customHeight="1" x14ac:dyDescent="0.25">
      <c r="A114" s="111"/>
      <c r="B114" s="128" t="str">
        <f>IF(A114&gt;0,'SOUTH Wells'!B116,"")</f>
        <v/>
      </c>
      <c r="C114" s="130" t="str">
        <f>IF(A114&gt;0,'SOUTH Wells'!C116,"")</f>
        <v/>
      </c>
      <c r="D114" s="131" t="str">
        <f>IF(A114&gt;0,'SOUTH Wells'!E116,"")</f>
        <v/>
      </c>
      <c r="E114" s="113" t="str">
        <f>IF(A114&gt;0,'SOUTH Wells'!K116,"")</f>
        <v/>
      </c>
      <c r="F114" s="15" t="str">
        <f t="shared" si="4"/>
        <v/>
      </c>
      <c r="G114" s="114" t="str">
        <f t="shared" si="5"/>
        <v/>
      </c>
    </row>
    <row r="115" spans="1:7" ht="18.75" customHeight="1" x14ac:dyDescent="0.25">
      <c r="A115" s="111"/>
      <c r="B115" s="128" t="str">
        <f>IF(A115&gt;0,'SOUTH Wells'!B117,"")</f>
        <v/>
      </c>
      <c r="C115" s="130" t="str">
        <f>IF(A115&gt;0,'SOUTH Wells'!C117,"")</f>
        <v/>
      </c>
      <c r="D115" s="131" t="str">
        <f>IF(A115&gt;0,'SOUTH Wells'!E117,"")</f>
        <v/>
      </c>
      <c r="E115" s="113" t="str">
        <f>IF(A115&gt;0,'SOUTH Wells'!K117,"")</f>
        <v/>
      </c>
      <c r="F115" s="15" t="str">
        <f t="shared" si="4"/>
        <v/>
      </c>
      <c r="G115" s="114" t="str">
        <f t="shared" si="5"/>
        <v/>
      </c>
    </row>
    <row r="116" spans="1:7" ht="18.75" customHeight="1" x14ac:dyDescent="0.25">
      <c r="A116" s="111"/>
      <c r="B116" s="128" t="str">
        <f>IF(A116&gt;0,'SOUTH Wells'!B118,"")</f>
        <v/>
      </c>
      <c r="C116" s="130" t="str">
        <f>IF(A116&gt;0,'SOUTH Wells'!C118,"")</f>
        <v/>
      </c>
      <c r="D116" s="131" t="str">
        <f>IF(A116&gt;0,'SOUTH Wells'!E118,"")</f>
        <v/>
      </c>
      <c r="E116" s="113" t="str">
        <f>IF(A116&gt;0,'SOUTH Wells'!K118,"")</f>
        <v/>
      </c>
      <c r="F116" s="15" t="str">
        <f t="shared" si="4"/>
        <v/>
      </c>
      <c r="G116" s="114" t="str">
        <f t="shared" si="5"/>
        <v/>
      </c>
    </row>
    <row r="117" spans="1:7" ht="18.75" customHeight="1" x14ac:dyDescent="0.25">
      <c r="A117" s="111"/>
      <c r="B117" s="128" t="str">
        <f>IF(A117&gt;0,'SOUTH Wells'!B119,"")</f>
        <v/>
      </c>
      <c r="C117" s="130" t="str">
        <f>IF(A117&gt;0,'SOUTH Wells'!C119,"")</f>
        <v/>
      </c>
      <c r="D117" s="131" t="str">
        <f>IF(A117&gt;0,'SOUTH Wells'!E119,"")</f>
        <v/>
      </c>
      <c r="E117" s="113" t="str">
        <f>IF(A117&gt;0,'SOUTH Wells'!K119,"")</f>
        <v/>
      </c>
      <c r="F117" s="15" t="str">
        <f t="shared" si="4"/>
        <v/>
      </c>
      <c r="G117" s="114" t="str">
        <f t="shared" si="5"/>
        <v/>
      </c>
    </row>
    <row r="118" spans="1:7" ht="18.75" customHeight="1" x14ac:dyDescent="0.25">
      <c r="A118" s="111"/>
      <c r="B118" s="128" t="str">
        <f>IF(A118&gt;0,'SOUTH Wells'!B120,"")</f>
        <v/>
      </c>
      <c r="C118" s="130" t="str">
        <f>IF(A118&gt;0,'SOUTH Wells'!C120,"")</f>
        <v/>
      </c>
      <c r="D118" s="131" t="str">
        <f>IF(A118&gt;0,'SOUTH Wells'!E120,"")</f>
        <v/>
      </c>
      <c r="E118" s="113" t="str">
        <f>IF(A118&gt;0,'SOUTH Wells'!K120,"")</f>
        <v/>
      </c>
      <c r="F118" s="15" t="str">
        <f t="shared" si="4"/>
        <v/>
      </c>
      <c r="G118" s="114" t="str">
        <f t="shared" si="5"/>
        <v/>
      </c>
    </row>
    <row r="119" spans="1:7" ht="18.75" customHeight="1" x14ac:dyDescent="0.25">
      <c r="A119" s="111"/>
      <c r="B119" s="128" t="str">
        <f>IF(A119&gt;0,'SOUTH Wells'!B121,"")</f>
        <v/>
      </c>
      <c r="C119" s="130" t="str">
        <f>IF(A119&gt;0,'SOUTH Wells'!C121,"")</f>
        <v/>
      </c>
      <c r="D119" s="131" t="str">
        <f>IF(A119&gt;0,'SOUTH Wells'!E121,"")</f>
        <v/>
      </c>
      <c r="E119" s="113" t="str">
        <f>IF(A119&gt;0,'SOUTH Wells'!K121,"")</f>
        <v/>
      </c>
      <c r="F119" s="15" t="str">
        <f t="shared" si="4"/>
        <v/>
      </c>
      <c r="G119" s="114" t="str">
        <f t="shared" si="5"/>
        <v/>
      </c>
    </row>
    <row r="120" spans="1:7" ht="18.75" customHeight="1" x14ac:dyDescent="0.25">
      <c r="A120" s="111"/>
      <c r="B120" s="128" t="str">
        <f>IF(A120&gt;0,'SOUTH Wells'!B122,"")</f>
        <v/>
      </c>
      <c r="C120" s="130" t="str">
        <f>IF(A120&gt;0,'SOUTH Wells'!C122,"")</f>
        <v/>
      </c>
      <c r="D120" s="131" t="str">
        <f>IF(A120&gt;0,'SOUTH Wells'!E122,"")</f>
        <v/>
      </c>
      <c r="E120" s="113" t="str">
        <f>IF(A120&gt;0,'SOUTH Wells'!K122,"")</f>
        <v/>
      </c>
      <c r="F120" s="15" t="str">
        <f t="shared" si="4"/>
        <v/>
      </c>
      <c r="G120" s="114" t="str">
        <f t="shared" si="5"/>
        <v/>
      </c>
    </row>
    <row r="121" spans="1:7" ht="18.75" customHeight="1" x14ac:dyDescent="0.25">
      <c r="A121" s="111"/>
      <c r="B121" s="128" t="str">
        <f>IF(A121&gt;0,'SOUTH Wells'!B123,"")</f>
        <v/>
      </c>
      <c r="C121" s="130" t="str">
        <f>IF(A121&gt;0,'SOUTH Wells'!C123,"")</f>
        <v/>
      </c>
      <c r="D121" s="131" t="str">
        <f>IF(A121&gt;0,'SOUTH Wells'!E123,"")</f>
        <v/>
      </c>
      <c r="E121" s="113" t="str">
        <f>IF(A121&gt;0,'SOUTH Wells'!K123,"")</f>
        <v/>
      </c>
      <c r="F121" s="15" t="str">
        <f t="shared" si="4"/>
        <v/>
      </c>
      <c r="G121" s="114" t="str">
        <f t="shared" si="5"/>
        <v/>
      </c>
    </row>
    <row r="122" spans="1:7" ht="18.75" customHeight="1" x14ac:dyDescent="0.25">
      <c r="A122" s="111"/>
      <c r="B122" s="128" t="str">
        <f>IF(A122&gt;0,'SOUTH Wells'!B124,"")</f>
        <v/>
      </c>
      <c r="C122" s="130" t="str">
        <f>IF(A122&gt;0,'SOUTH Wells'!C124,"")</f>
        <v/>
      </c>
      <c r="D122" s="131" t="str">
        <f>IF(A122&gt;0,'SOUTH Wells'!E124,"")</f>
        <v/>
      </c>
      <c r="E122" s="113" t="str">
        <f>IF(A122&gt;0,'SOUTH Wells'!K124,"")</f>
        <v/>
      </c>
      <c r="F122" s="15" t="str">
        <f t="shared" si="4"/>
        <v/>
      </c>
      <c r="G122" s="114" t="str">
        <f t="shared" si="5"/>
        <v/>
      </c>
    </row>
    <row r="123" spans="1:7" ht="18.75" customHeight="1" x14ac:dyDescent="0.25">
      <c r="A123" s="111"/>
      <c r="B123" s="128" t="str">
        <f>IF(A123&gt;0,'SOUTH Wells'!B125,"")</f>
        <v/>
      </c>
      <c r="C123" s="130" t="str">
        <f>IF(A123&gt;0,'SOUTH Wells'!C125,"")</f>
        <v/>
      </c>
      <c r="D123" s="131" t="str">
        <f>IF(A123&gt;0,'SOUTH Wells'!E125,"")</f>
        <v/>
      </c>
      <c r="E123" s="113" t="str">
        <f>IF(A123&gt;0,'SOUTH Wells'!K125,"")</f>
        <v/>
      </c>
      <c r="F123" s="15" t="str">
        <f t="shared" si="4"/>
        <v/>
      </c>
      <c r="G123" s="114" t="str">
        <f t="shared" si="5"/>
        <v/>
      </c>
    </row>
    <row r="124" spans="1:7" ht="18.75" customHeight="1" x14ac:dyDescent="0.25">
      <c r="A124" s="111"/>
      <c r="B124" s="128" t="str">
        <f>IF(A124&gt;0,'SOUTH Wells'!B126,"")</f>
        <v/>
      </c>
      <c r="C124" s="130" t="str">
        <f>IF(A124&gt;0,'SOUTH Wells'!C126,"")</f>
        <v/>
      </c>
      <c r="D124" s="131" t="str">
        <f>IF(A124&gt;0,'SOUTH Wells'!E126,"")</f>
        <v/>
      </c>
      <c r="E124" s="113" t="str">
        <f>IF(A124&gt;0,'SOUTH Wells'!K126,"")</f>
        <v/>
      </c>
      <c r="F124" s="15" t="str">
        <f t="shared" si="4"/>
        <v/>
      </c>
      <c r="G124" s="114" t="str">
        <f t="shared" si="5"/>
        <v/>
      </c>
    </row>
    <row r="125" spans="1:7" ht="18.75" customHeight="1" x14ac:dyDescent="0.25">
      <c r="A125" s="111"/>
      <c r="B125" s="128" t="str">
        <f>IF(A125&gt;0,'SOUTH Wells'!B127,"")</f>
        <v/>
      </c>
      <c r="C125" s="130" t="str">
        <f>IF(A125&gt;0,'SOUTH Wells'!C127,"")</f>
        <v/>
      </c>
      <c r="D125" s="131" t="str">
        <f>IF(A125&gt;0,'SOUTH Wells'!E127,"")</f>
        <v/>
      </c>
      <c r="E125" s="113" t="str">
        <f>IF(A125&gt;0,'SOUTH Wells'!K127,"")</f>
        <v/>
      </c>
      <c r="F125" s="15" t="str">
        <f t="shared" si="4"/>
        <v/>
      </c>
      <c r="G125" s="114" t="str">
        <f t="shared" si="5"/>
        <v/>
      </c>
    </row>
    <row r="126" spans="1:7" ht="18.75" customHeight="1" x14ac:dyDescent="0.25">
      <c r="A126" s="111"/>
      <c r="B126" s="128" t="str">
        <f>IF(A126&gt;0,'SOUTH Wells'!B128,"")</f>
        <v/>
      </c>
      <c r="C126" s="130" t="str">
        <f>IF(A126&gt;0,'SOUTH Wells'!C128,"")</f>
        <v/>
      </c>
      <c r="D126" s="131" t="str">
        <f>IF(A126&gt;0,'SOUTH Wells'!E128,"")</f>
        <v/>
      </c>
      <c r="E126" s="113" t="str">
        <f>IF(A126&gt;0,'SOUTH Wells'!K128,"")</f>
        <v/>
      </c>
      <c r="F126" s="15" t="str">
        <f t="shared" si="4"/>
        <v/>
      </c>
      <c r="G126" s="114" t="str">
        <f t="shared" si="5"/>
        <v/>
      </c>
    </row>
    <row r="127" spans="1:7" ht="18.75" customHeight="1" x14ac:dyDescent="0.25">
      <c r="A127" s="111"/>
      <c r="B127" s="128" t="str">
        <f>IF(A127&gt;0,'SOUTH Wells'!B129,"")</f>
        <v/>
      </c>
      <c r="C127" s="130" t="str">
        <f>IF(A127&gt;0,'SOUTH Wells'!C129,"")</f>
        <v/>
      </c>
      <c r="D127" s="131" t="str">
        <f>IF(A127&gt;0,'SOUTH Wells'!E129,"")</f>
        <v/>
      </c>
      <c r="E127" s="113" t="str">
        <f>IF(A127&gt;0,'SOUTH Wells'!K129,"")</f>
        <v/>
      </c>
      <c r="F127" s="15" t="str">
        <f t="shared" si="4"/>
        <v/>
      </c>
      <c r="G127" s="114" t="str">
        <f t="shared" si="5"/>
        <v/>
      </c>
    </row>
    <row r="128" spans="1:7" ht="18.75" customHeight="1" x14ac:dyDescent="0.25">
      <c r="A128" s="111"/>
      <c r="B128" s="128" t="str">
        <f>IF(A128&gt;0,'SOUTH Wells'!B130,"")</f>
        <v/>
      </c>
      <c r="C128" s="130" t="str">
        <f>IF(A128&gt;0,'SOUTH Wells'!C130,"")</f>
        <v/>
      </c>
      <c r="D128" s="131" t="str">
        <f>IF(A128&gt;0,'SOUTH Wells'!E130,"")</f>
        <v/>
      </c>
      <c r="E128" s="113" t="str">
        <f>IF(A128&gt;0,'SOUTH Wells'!K130,"")</f>
        <v/>
      </c>
      <c r="F128" s="15" t="str">
        <f t="shared" si="4"/>
        <v/>
      </c>
      <c r="G128" s="114" t="str">
        <f t="shared" si="5"/>
        <v/>
      </c>
    </row>
    <row r="129" spans="1:7" ht="18.75" customHeight="1" x14ac:dyDescent="0.25">
      <c r="A129" s="111"/>
      <c r="B129" s="128" t="str">
        <f>IF(A129&gt;0,'SOUTH Wells'!B131,"")</f>
        <v/>
      </c>
      <c r="C129" s="130" t="str">
        <f>IF(A129&gt;0,'SOUTH Wells'!C131,"")</f>
        <v/>
      </c>
      <c r="D129" s="131" t="str">
        <f>IF(A129&gt;0,'SOUTH Wells'!E131,"")</f>
        <v/>
      </c>
      <c r="E129" s="113" t="str">
        <f>IF(A129&gt;0,'SOUTH Wells'!K131,"")</f>
        <v/>
      </c>
      <c r="F129" s="15" t="str">
        <f t="shared" si="4"/>
        <v/>
      </c>
      <c r="G129" s="114" t="str">
        <f t="shared" si="5"/>
        <v/>
      </c>
    </row>
    <row r="130" spans="1:7" ht="18.75" customHeight="1" x14ac:dyDescent="0.25">
      <c r="A130" s="111"/>
      <c r="B130" s="128" t="str">
        <f>IF(A130&gt;0,'SOUTH Wells'!B132,"")</f>
        <v/>
      </c>
      <c r="C130" s="130" t="str">
        <f>IF(A130&gt;0,'SOUTH Wells'!C132,"")</f>
        <v/>
      </c>
      <c r="D130" s="131" t="str">
        <f>IF(A130&gt;0,'SOUTH Wells'!E132,"")</f>
        <v/>
      </c>
      <c r="E130" s="113" t="str">
        <f>IF(A130&gt;0,'SOUTH Wells'!K132,"")</f>
        <v/>
      </c>
      <c r="F130" s="15" t="str">
        <f t="shared" si="4"/>
        <v/>
      </c>
      <c r="G130" s="114" t="str">
        <f t="shared" si="5"/>
        <v/>
      </c>
    </row>
    <row r="131" spans="1:7" ht="18.75" customHeight="1" x14ac:dyDescent="0.25">
      <c r="A131" s="111"/>
      <c r="B131" s="128" t="str">
        <f>IF(A131&gt;0,'SOUTH Wells'!B133,"")</f>
        <v/>
      </c>
      <c r="C131" s="130" t="str">
        <f>IF(A131&gt;0,'SOUTH Wells'!C133,"")</f>
        <v/>
      </c>
      <c r="D131" s="131" t="str">
        <f>IF(A131&gt;0,'SOUTH Wells'!E133,"")</f>
        <v/>
      </c>
      <c r="E131" s="113" t="str">
        <f>IF(A131&gt;0,'SOUTH Wells'!K133,"")</f>
        <v/>
      </c>
      <c r="F131" s="15" t="str">
        <f t="shared" si="4"/>
        <v/>
      </c>
      <c r="G131" s="114" t="str">
        <f t="shared" si="5"/>
        <v/>
      </c>
    </row>
    <row r="132" spans="1:7" ht="18.75" customHeight="1" x14ac:dyDescent="0.25">
      <c r="A132" s="111"/>
      <c r="B132" s="128" t="str">
        <f>IF(A132&gt;0,'SOUTH Wells'!B134,"")</f>
        <v/>
      </c>
      <c r="C132" s="130" t="str">
        <f>IF(A132&gt;0,'SOUTH Wells'!C134,"")</f>
        <v/>
      </c>
      <c r="D132" s="131" t="str">
        <f>IF(A132&gt;0,'SOUTH Wells'!E134,"")</f>
        <v/>
      </c>
      <c r="E132" s="113" t="str">
        <f>IF(A132&gt;0,'SOUTH Wells'!K134,"")</f>
        <v/>
      </c>
      <c r="F132" s="15" t="str">
        <f t="shared" si="4"/>
        <v/>
      </c>
      <c r="G132" s="114" t="str">
        <f t="shared" si="5"/>
        <v/>
      </c>
    </row>
    <row r="133" spans="1:7" ht="18.75" customHeight="1" x14ac:dyDescent="0.25">
      <c r="A133" s="111"/>
      <c r="B133" s="128" t="str">
        <f>IF(A133&gt;0,'SOUTH Wells'!B135,"")</f>
        <v/>
      </c>
      <c r="C133" s="130" t="str">
        <f>IF(A133&gt;0,'SOUTH Wells'!C135,"")</f>
        <v/>
      </c>
      <c r="D133" s="131" t="str">
        <f>IF(A133&gt;0,'SOUTH Wells'!E135,"")</f>
        <v/>
      </c>
      <c r="E133" s="113" t="str">
        <f>IF(A133&gt;0,'SOUTH Wells'!K135,"")</f>
        <v/>
      </c>
      <c r="F133" s="15" t="str">
        <f t="shared" si="4"/>
        <v/>
      </c>
      <c r="G133" s="114" t="str">
        <f t="shared" si="5"/>
        <v/>
      </c>
    </row>
    <row r="134" spans="1:7" ht="18.75" customHeight="1" x14ac:dyDescent="0.25">
      <c r="A134" s="111"/>
      <c r="B134" s="128" t="str">
        <f>IF(A134&gt;0,'SOUTH Wells'!B136,"")</f>
        <v/>
      </c>
      <c r="C134" s="130" t="str">
        <f>IF(A134&gt;0,'SOUTH Wells'!C136,"")</f>
        <v/>
      </c>
      <c r="D134" s="131" t="str">
        <f>IF(A134&gt;0,'SOUTH Wells'!E136,"")</f>
        <v/>
      </c>
      <c r="E134" s="113" t="str">
        <f>IF(A134&gt;0,'SOUTH Wells'!K136,"")</f>
        <v/>
      </c>
      <c r="F134" s="15" t="str">
        <f t="shared" si="4"/>
        <v/>
      </c>
      <c r="G134" s="114" t="str">
        <f t="shared" si="5"/>
        <v/>
      </c>
    </row>
    <row r="135" spans="1:7" ht="18.75" customHeight="1" x14ac:dyDescent="0.25">
      <c r="A135" s="111"/>
      <c r="B135" s="128" t="str">
        <f>IF(A135&gt;0,'SOUTH Wells'!B137,"")</f>
        <v/>
      </c>
      <c r="C135" s="130" t="str">
        <f>IF(A135&gt;0,'SOUTH Wells'!C137,"")</f>
        <v/>
      </c>
      <c r="D135" s="131" t="str">
        <f>IF(A135&gt;0,'SOUTH Wells'!E137,"")</f>
        <v/>
      </c>
      <c r="E135" s="113" t="str">
        <f>IF(A135&gt;0,'SOUTH Wells'!K137,"")</f>
        <v/>
      </c>
      <c r="F135" s="15" t="str">
        <f t="shared" si="4"/>
        <v/>
      </c>
      <c r="G135" s="114" t="str">
        <f t="shared" si="5"/>
        <v/>
      </c>
    </row>
    <row r="136" spans="1:7" ht="18.75" customHeight="1" x14ac:dyDescent="0.25">
      <c r="A136" s="115"/>
      <c r="B136" s="128" t="str">
        <f>IF(A136&gt;0,'SOUTH Wells'!B138,"")</f>
        <v/>
      </c>
      <c r="C136" s="130" t="str">
        <f>IF(A136&gt;0,'SOUTH Wells'!C138,"")</f>
        <v/>
      </c>
      <c r="D136" s="131" t="str">
        <f>IF(A136&gt;0,'SOUTH Wells'!E138,"")</f>
        <v/>
      </c>
      <c r="E136" s="113" t="str">
        <f>IF(A136&gt;0,'SOUTH Wells'!K138,"")</f>
        <v/>
      </c>
      <c r="F136" s="15" t="str">
        <f t="shared" si="4"/>
        <v/>
      </c>
      <c r="G136" s="114" t="str">
        <f t="shared" si="5"/>
        <v/>
      </c>
    </row>
    <row r="137" spans="1:7" ht="18.75" customHeight="1" x14ac:dyDescent="0.25">
      <c r="A137" s="115"/>
      <c r="B137" s="128" t="str">
        <f>IF(A137&gt;0,'SOUTH Wells'!B139,"")</f>
        <v/>
      </c>
      <c r="C137" s="130" t="str">
        <f>IF(A137&gt;0,'SOUTH Wells'!C139,"")</f>
        <v/>
      </c>
      <c r="D137" s="131" t="str">
        <f>IF(A137&gt;0,'SOUTH Wells'!E139,"")</f>
        <v/>
      </c>
      <c r="E137" s="113" t="str">
        <f>IF(A137&gt;0,'SOUTH Wells'!K139,"")</f>
        <v/>
      </c>
      <c r="F137" s="15" t="str">
        <f t="shared" ref="F137:F200" si="6">IF(A137&gt;0,F136-E137,"")</f>
        <v/>
      </c>
      <c r="G137" s="114" t="str">
        <f t="shared" ref="G137:G200" si="7">IF(A136&gt;0,G136+E137,"")</f>
        <v/>
      </c>
    </row>
    <row r="138" spans="1:7" ht="18.75" customHeight="1" x14ac:dyDescent="0.25">
      <c r="A138" s="115"/>
      <c r="B138" s="128" t="str">
        <f>IF(A138&gt;0,'SOUTH Wells'!B140,"")</f>
        <v/>
      </c>
      <c r="C138" s="130" t="str">
        <f>IF(A138&gt;0,'SOUTH Wells'!C140,"")</f>
        <v/>
      </c>
      <c r="D138" s="131" t="str">
        <f>IF(A138&gt;0,'SOUTH Wells'!E140,"")</f>
        <v/>
      </c>
      <c r="E138" s="113" t="str">
        <f>IF(A138&gt;0,'SOUTH Wells'!K140,"")</f>
        <v/>
      </c>
      <c r="F138" s="15" t="str">
        <f t="shared" si="6"/>
        <v/>
      </c>
      <c r="G138" s="114" t="str">
        <f t="shared" si="7"/>
        <v/>
      </c>
    </row>
    <row r="139" spans="1:7" ht="18.75" customHeight="1" x14ac:dyDescent="0.25">
      <c r="A139" s="115"/>
      <c r="B139" s="128" t="str">
        <f>IF(A139&gt;0,'SOUTH Wells'!B141,"")</f>
        <v/>
      </c>
      <c r="C139" s="130" t="str">
        <f>IF(A139&gt;0,'SOUTH Wells'!C141,"")</f>
        <v/>
      </c>
      <c r="D139" s="131" t="str">
        <f>IF(A139&gt;0,'SOUTH Wells'!E141,"")</f>
        <v/>
      </c>
      <c r="E139" s="113" t="str">
        <f>IF(A139&gt;0,'SOUTH Wells'!K141,"")</f>
        <v/>
      </c>
      <c r="F139" s="15" t="str">
        <f t="shared" si="6"/>
        <v/>
      </c>
      <c r="G139" s="114" t="str">
        <f t="shared" si="7"/>
        <v/>
      </c>
    </row>
    <row r="140" spans="1:7" ht="18.75" customHeight="1" x14ac:dyDescent="0.25">
      <c r="A140" s="115"/>
      <c r="B140" s="128" t="str">
        <f>IF(A140&gt;0,'SOUTH Wells'!B142,"")</f>
        <v/>
      </c>
      <c r="C140" s="130" t="str">
        <f>IF(A140&gt;0,'SOUTH Wells'!C142,"")</f>
        <v/>
      </c>
      <c r="D140" s="131" t="str">
        <f>IF(A140&gt;0,'SOUTH Wells'!E142,"")</f>
        <v/>
      </c>
      <c r="E140" s="113" t="str">
        <f>IF(A140&gt;0,'SOUTH Wells'!K142,"")</f>
        <v/>
      </c>
      <c r="F140" s="15" t="str">
        <f t="shared" si="6"/>
        <v/>
      </c>
      <c r="G140" s="114" t="str">
        <f t="shared" si="7"/>
        <v/>
      </c>
    </row>
    <row r="141" spans="1:7" ht="18.75" customHeight="1" x14ac:dyDescent="0.25">
      <c r="A141" s="115"/>
      <c r="B141" s="128" t="str">
        <f>IF(A141&gt;0,'SOUTH Wells'!B143,"")</f>
        <v/>
      </c>
      <c r="C141" s="130" t="str">
        <f>IF(A141&gt;0,'SOUTH Wells'!C143,"")</f>
        <v/>
      </c>
      <c r="D141" s="131" t="str">
        <f>IF(A141&gt;0,'SOUTH Wells'!E143,"")</f>
        <v/>
      </c>
      <c r="E141" s="113" t="str">
        <f>IF(A141&gt;0,'SOUTH Wells'!K143,"")</f>
        <v/>
      </c>
      <c r="F141" s="15" t="str">
        <f t="shared" si="6"/>
        <v/>
      </c>
      <c r="G141" s="114" t="str">
        <f t="shared" si="7"/>
        <v/>
      </c>
    </row>
    <row r="142" spans="1:7" ht="18.75" customHeight="1" x14ac:dyDescent="0.25">
      <c r="A142" s="115"/>
      <c r="B142" s="128" t="str">
        <f>IF(A142&gt;0,'SOUTH Wells'!B144,"")</f>
        <v/>
      </c>
      <c r="C142" s="130" t="str">
        <f>IF(A142&gt;0,'SOUTH Wells'!C144,"")</f>
        <v/>
      </c>
      <c r="D142" s="131" t="str">
        <f>IF(A142&gt;0,'SOUTH Wells'!E144,"")</f>
        <v/>
      </c>
      <c r="E142" s="113" t="str">
        <f>IF(A142&gt;0,'SOUTH Wells'!K144,"")</f>
        <v/>
      </c>
      <c r="F142" s="15" t="str">
        <f t="shared" si="6"/>
        <v/>
      </c>
      <c r="G142" s="114" t="str">
        <f t="shared" si="7"/>
        <v/>
      </c>
    </row>
    <row r="143" spans="1:7" ht="18.75" customHeight="1" x14ac:dyDescent="0.25">
      <c r="A143" s="115"/>
      <c r="B143" s="128" t="str">
        <f>IF(A143&gt;0,'SOUTH Wells'!B145,"")</f>
        <v/>
      </c>
      <c r="C143" s="130" t="str">
        <f>IF(A143&gt;0,'SOUTH Wells'!C145,"")</f>
        <v/>
      </c>
      <c r="D143" s="131" t="str">
        <f>IF(A143&gt;0,'SOUTH Wells'!E145,"")</f>
        <v/>
      </c>
      <c r="E143" s="113" t="str">
        <f>IF(A143&gt;0,'SOUTH Wells'!K145,"")</f>
        <v/>
      </c>
      <c r="F143" s="15" t="str">
        <f t="shared" si="6"/>
        <v/>
      </c>
      <c r="G143" s="114" t="str">
        <f t="shared" si="7"/>
        <v/>
      </c>
    </row>
    <row r="144" spans="1:7" ht="18.75" customHeight="1" x14ac:dyDescent="0.25">
      <c r="A144" s="111"/>
      <c r="B144" s="128" t="str">
        <f>IF(A144&gt;0,'SOUTH Wells'!B146,"")</f>
        <v/>
      </c>
      <c r="C144" s="130" t="str">
        <f>IF(A144&gt;0,'SOUTH Wells'!C146,"")</f>
        <v/>
      </c>
      <c r="D144" s="131" t="str">
        <f>IF(A144&gt;0,'SOUTH Wells'!E146,"")</f>
        <v/>
      </c>
      <c r="E144" s="113" t="str">
        <f>IF(A144&gt;0,'SOUTH Wells'!K146,"")</f>
        <v/>
      </c>
      <c r="F144" s="15" t="str">
        <f t="shared" si="6"/>
        <v/>
      </c>
      <c r="G144" s="114" t="str">
        <f t="shared" si="7"/>
        <v/>
      </c>
    </row>
    <row r="145" spans="1:7" ht="18.75" customHeight="1" x14ac:dyDescent="0.25">
      <c r="A145" s="111"/>
      <c r="B145" s="128" t="str">
        <f>IF(A145&gt;0,'SOUTH Wells'!B147,"")</f>
        <v/>
      </c>
      <c r="C145" s="130" t="str">
        <f>IF(A145&gt;0,'SOUTH Wells'!C147,"")</f>
        <v/>
      </c>
      <c r="D145" s="131" t="str">
        <f>IF(A145&gt;0,'SOUTH Wells'!E147,"")</f>
        <v/>
      </c>
      <c r="E145" s="113" t="str">
        <f>IF(A145&gt;0,'SOUTH Wells'!K147,"")</f>
        <v/>
      </c>
      <c r="F145" s="15" t="str">
        <f t="shared" si="6"/>
        <v/>
      </c>
      <c r="G145" s="114" t="str">
        <f t="shared" si="7"/>
        <v/>
      </c>
    </row>
    <row r="146" spans="1:7" ht="18.75" customHeight="1" x14ac:dyDescent="0.25">
      <c r="A146" s="111"/>
      <c r="B146" s="128" t="str">
        <f>IF(A146&gt;0,'SOUTH Wells'!B148,"")</f>
        <v/>
      </c>
      <c r="C146" s="130" t="str">
        <f>IF(A146&gt;0,'SOUTH Wells'!C148,"")</f>
        <v/>
      </c>
      <c r="D146" s="131" t="str">
        <f>IF(A146&gt;0,'SOUTH Wells'!E148,"")</f>
        <v/>
      </c>
      <c r="E146" s="113" t="str">
        <f>IF(A146&gt;0,'SOUTH Wells'!K148,"")</f>
        <v/>
      </c>
      <c r="F146" s="15" t="str">
        <f t="shared" si="6"/>
        <v/>
      </c>
      <c r="G146" s="114" t="str">
        <f t="shared" si="7"/>
        <v/>
      </c>
    </row>
    <row r="147" spans="1:7" ht="18.75" customHeight="1" x14ac:dyDescent="0.25">
      <c r="A147" s="111"/>
      <c r="B147" s="128" t="str">
        <f>IF(A147&gt;0,'SOUTH Wells'!B149,"")</f>
        <v/>
      </c>
      <c r="C147" s="130" t="str">
        <f>IF(A147&gt;0,'SOUTH Wells'!C149,"")</f>
        <v/>
      </c>
      <c r="D147" s="131" t="str">
        <f>IF(A147&gt;0,'SOUTH Wells'!E149,"")</f>
        <v/>
      </c>
      <c r="E147" s="113" t="str">
        <f>IF(A147&gt;0,'SOUTH Wells'!K149,"")</f>
        <v/>
      </c>
      <c r="F147" s="15" t="str">
        <f t="shared" si="6"/>
        <v/>
      </c>
      <c r="G147" s="114" t="str">
        <f t="shared" si="7"/>
        <v/>
      </c>
    </row>
    <row r="148" spans="1:7" ht="18.75" customHeight="1" x14ac:dyDescent="0.25">
      <c r="A148" s="111"/>
      <c r="B148" s="128" t="str">
        <f>IF(A148&gt;0,'SOUTH Wells'!B150,"")</f>
        <v/>
      </c>
      <c r="C148" s="130" t="str">
        <f>IF(A148&gt;0,'SOUTH Wells'!C150,"")</f>
        <v/>
      </c>
      <c r="D148" s="131" t="str">
        <f>IF(A148&gt;0,'SOUTH Wells'!E150,"")</f>
        <v/>
      </c>
      <c r="E148" s="113" t="str">
        <f>IF(A148&gt;0,'SOUTH Wells'!K150,"")</f>
        <v/>
      </c>
      <c r="F148" s="15" t="str">
        <f t="shared" si="6"/>
        <v/>
      </c>
      <c r="G148" s="114" t="str">
        <f t="shared" si="7"/>
        <v/>
      </c>
    </row>
    <row r="149" spans="1:7" ht="18.75" customHeight="1" x14ac:dyDescent="0.25">
      <c r="A149" s="111"/>
      <c r="B149" s="128" t="str">
        <f>IF(A149&gt;0,'SOUTH Wells'!B151,"")</f>
        <v/>
      </c>
      <c r="C149" s="130" t="str">
        <f>IF(A149&gt;0,'SOUTH Wells'!C151,"")</f>
        <v/>
      </c>
      <c r="D149" s="131" t="str">
        <f>IF(A149&gt;0,'SOUTH Wells'!E151,"")</f>
        <v/>
      </c>
      <c r="E149" s="113" t="str">
        <f>IF(A149&gt;0,'SOUTH Wells'!K151,"")</f>
        <v/>
      </c>
      <c r="F149" s="15" t="str">
        <f t="shared" si="6"/>
        <v/>
      </c>
      <c r="G149" s="114" t="str">
        <f t="shared" si="7"/>
        <v/>
      </c>
    </row>
    <row r="150" spans="1:7" ht="18.75" customHeight="1" x14ac:dyDescent="0.25">
      <c r="A150" s="111"/>
      <c r="B150" s="128" t="str">
        <f>IF(A150&gt;0,'SOUTH Wells'!B152,"")</f>
        <v/>
      </c>
      <c r="C150" s="130" t="str">
        <f>IF(A150&gt;0,'SOUTH Wells'!C152,"")</f>
        <v/>
      </c>
      <c r="D150" s="131" t="str">
        <f>IF(A150&gt;0,'SOUTH Wells'!E152,"")</f>
        <v/>
      </c>
      <c r="E150" s="113" t="str">
        <f>IF(A150&gt;0,'SOUTH Wells'!K152,"")</f>
        <v/>
      </c>
      <c r="F150" s="15" t="str">
        <f t="shared" si="6"/>
        <v/>
      </c>
      <c r="G150" s="114" t="str">
        <f t="shared" si="7"/>
        <v/>
      </c>
    </row>
    <row r="151" spans="1:7" ht="18.75" customHeight="1" x14ac:dyDescent="0.25">
      <c r="A151" s="111"/>
      <c r="B151" s="128" t="str">
        <f>IF(A151&gt;0,'SOUTH Wells'!B153,"")</f>
        <v/>
      </c>
      <c r="C151" s="130" t="str">
        <f>IF(A151&gt;0,'SOUTH Wells'!C153,"")</f>
        <v/>
      </c>
      <c r="D151" s="131" t="str">
        <f>IF(A151&gt;0,'SOUTH Wells'!E153,"")</f>
        <v/>
      </c>
      <c r="E151" s="113" t="str">
        <f>IF(A151&gt;0,'SOUTH Wells'!K153,"")</f>
        <v/>
      </c>
      <c r="F151" s="15" t="str">
        <f t="shared" si="6"/>
        <v/>
      </c>
      <c r="G151" s="114" t="str">
        <f t="shared" si="7"/>
        <v/>
      </c>
    </row>
    <row r="152" spans="1:7" ht="18.75" customHeight="1" x14ac:dyDescent="0.25">
      <c r="A152" s="111"/>
      <c r="B152" s="128" t="str">
        <f>IF(A152&gt;0,'SOUTH Wells'!B154,"")</f>
        <v/>
      </c>
      <c r="C152" s="130" t="str">
        <f>IF(A152&gt;0,'SOUTH Wells'!C154,"")</f>
        <v/>
      </c>
      <c r="D152" s="131" t="str">
        <f>IF(A152&gt;0,'SOUTH Wells'!E154,"")</f>
        <v/>
      </c>
      <c r="E152" s="113" t="str">
        <f>IF(A152&gt;0,'SOUTH Wells'!K154,"")</f>
        <v/>
      </c>
      <c r="F152" s="15" t="str">
        <f t="shared" si="6"/>
        <v/>
      </c>
      <c r="G152" s="114" t="str">
        <f t="shared" si="7"/>
        <v/>
      </c>
    </row>
    <row r="153" spans="1:7" ht="18.75" customHeight="1" x14ac:dyDescent="0.25">
      <c r="A153" s="111"/>
      <c r="B153" s="128" t="str">
        <f>IF(A153&gt;0,'SOUTH Wells'!B155,"")</f>
        <v/>
      </c>
      <c r="C153" s="130" t="str">
        <f>IF(A153&gt;0,'SOUTH Wells'!C155,"")</f>
        <v/>
      </c>
      <c r="D153" s="131" t="str">
        <f>IF(A153&gt;0,'SOUTH Wells'!E155,"")</f>
        <v/>
      </c>
      <c r="E153" s="113" t="str">
        <f>IF(A153&gt;0,'SOUTH Wells'!K155,"")</f>
        <v/>
      </c>
      <c r="F153" s="15" t="str">
        <f t="shared" si="6"/>
        <v/>
      </c>
      <c r="G153" s="114" t="str">
        <f t="shared" si="7"/>
        <v/>
      </c>
    </row>
    <row r="154" spans="1:7" ht="18.75" customHeight="1" x14ac:dyDescent="0.25">
      <c r="A154" s="111"/>
      <c r="B154" s="128" t="str">
        <f>IF(A154&gt;0,'SOUTH Wells'!B156,"")</f>
        <v/>
      </c>
      <c r="C154" s="130" t="str">
        <f>IF(A154&gt;0,'SOUTH Wells'!C156,"")</f>
        <v/>
      </c>
      <c r="D154" s="131" t="str">
        <f>IF(A154&gt;0,'SOUTH Wells'!E156,"")</f>
        <v/>
      </c>
      <c r="E154" s="113" t="str">
        <f>IF(A154&gt;0,'SOUTH Wells'!K156,"")</f>
        <v/>
      </c>
      <c r="F154" s="15" t="str">
        <f t="shared" si="6"/>
        <v/>
      </c>
      <c r="G154" s="114" t="str">
        <f t="shared" si="7"/>
        <v/>
      </c>
    </row>
    <row r="155" spans="1:7" ht="18.75" customHeight="1" x14ac:dyDescent="0.25">
      <c r="A155" s="111"/>
      <c r="B155" s="128" t="str">
        <f>IF(A155&gt;0,'SOUTH Wells'!B157,"")</f>
        <v/>
      </c>
      <c r="C155" s="130" t="str">
        <f>IF(A155&gt;0,'SOUTH Wells'!C157,"")</f>
        <v/>
      </c>
      <c r="D155" s="131" t="str">
        <f>IF(A155&gt;0,'SOUTH Wells'!E157,"")</f>
        <v/>
      </c>
      <c r="E155" s="113" t="str">
        <f>IF(A155&gt;0,'SOUTH Wells'!K157,"")</f>
        <v/>
      </c>
      <c r="F155" s="15" t="str">
        <f t="shared" si="6"/>
        <v/>
      </c>
      <c r="G155" s="114" t="str">
        <f t="shared" si="7"/>
        <v/>
      </c>
    </row>
    <row r="156" spans="1:7" ht="18.75" customHeight="1" x14ac:dyDescent="0.25">
      <c r="A156" s="111"/>
      <c r="B156" s="128" t="str">
        <f>IF(A156&gt;0,'SOUTH Wells'!B158,"")</f>
        <v/>
      </c>
      <c r="C156" s="130" t="str">
        <f>IF(A156&gt;0,'SOUTH Wells'!C158,"")</f>
        <v/>
      </c>
      <c r="D156" s="131" t="str">
        <f>IF(A156&gt;0,'SOUTH Wells'!E158,"")</f>
        <v/>
      </c>
      <c r="E156" s="113" t="str">
        <f>IF(A156&gt;0,'SOUTH Wells'!K158,"")</f>
        <v/>
      </c>
      <c r="F156" s="15" t="str">
        <f t="shared" si="6"/>
        <v/>
      </c>
      <c r="G156" s="114" t="str">
        <f t="shared" si="7"/>
        <v/>
      </c>
    </row>
    <row r="157" spans="1:7" ht="18.75" customHeight="1" x14ac:dyDescent="0.25">
      <c r="A157" s="111"/>
      <c r="B157" s="128" t="str">
        <f>IF(A157&gt;0,'SOUTH Wells'!B159,"")</f>
        <v/>
      </c>
      <c r="C157" s="130" t="str">
        <f>IF(A157&gt;0,'SOUTH Wells'!C159,"")</f>
        <v/>
      </c>
      <c r="D157" s="131" t="str">
        <f>IF(A157&gt;0,'SOUTH Wells'!E159,"")</f>
        <v/>
      </c>
      <c r="E157" s="113" t="str">
        <f>IF(A157&gt;0,'SOUTH Wells'!K159,"")</f>
        <v/>
      </c>
      <c r="F157" s="15" t="str">
        <f t="shared" si="6"/>
        <v/>
      </c>
      <c r="G157" s="114" t="str">
        <f t="shared" si="7"/>
        <v/>
      </c>
    </row>
    <row r="158" spans="1:7" ht="18.75" customHeight="1" x14ac:dyDescent="0.25">
      <c r="A158" s="111"/>
      <c r="B158" s="128" t="str">
        <f>IF(A158&gt;0,'SOUTH Wells'!B160,"")</f>
        <v/>
      </c>
      <c r="C158" s="130" t="str">
        <f>IF(A158&gt;0,'SOUTH Wells'!C160,"")</f>
        <v/>
      </c>
      <c r="D158" s="131" t="str">
        <f>IF(A158&gt;0,'SOUTH Wells'!E160,"")</f>
        <v/>
      </c>
      <c r="E158" s="113" t="str">
        <f>IF(A158&gt;0,'SOUTH Wells'!K160,"")</f>
        <v/>
      </c>
      <c r="F158" s="15" t="str">
        <f t="shared" si="6"/>
        <v/>
      </c>
      <c r="G158" s="114" t="str">
        <f t="shared" si="7"/>
        <v/>
      </c>
    </row>
    <row r="159" spans="1:7" ht="18.75" customHeight="1" x14ac:dyDescent="0.25">
      <c r="A159" s="111"/>
      <c r="B159" s="128" t="str">
        <f>IF(A159&gt;0,'SOUTH Wells'!B161,"")</f>
        <v/>
      </c>
      <c r="C159" s="130" t="str">
        <f>IF(A159&gt;0,'SOUTH Wells'!C161,"")</f>
        <v/>
      </c>
      <c r="D159" s="131" t="str">
        <f>IF(A159&gt;0,'SOUTH Wells'!E161,"")</f>
        <v/>
      </c>
      <c r="E159" s="113" t="str">
        <f>IF(A159&gt;0,'SOUTH Wells'!K161,"")</f>
        <v/>
      </c>
      <c r="F159" s="15" t="str">
        <f t="shared" si="6"/>
        <v/>
      </c>
      <c r="G159" s="114" t="str">
        <f t="shared" si="7"/>
        <v/>
      </c>
    </row>
    <row r="160" spans="1:7" ht="18.75" customHeight="1" x14ac:dyDescent="0.25">
      <c r="A160" s="111"/>
      <c r="B160" s="128" t="str">
        <f>IF(A160&gt;0,'SOUTH Wells'!B162,"")</f>
        <v/>
      </c>
      <c r="C160" s="130" t="str">
        <f>IF(A160&gt;0,'SOUTH Wells'!C162,"")</f>
        <v/>
      </c>
      <c r="D160" s="131" t="str">
        <f>IF(A160&gt;0,'SOUTH Wells'!E162,"")</f>
        <v/>
      </c>
      <c r="E160" s="113" t="str">
        <f>IF(A160&gt;0,'SOUTH Wells'!K162,"")</f>
        <v/>
      </c>
      <c r="F160" s="15" t="str">
        <f t="shared" si="6"/>
        <v/>
      </c>
      <c r="G160" s="114" t="str">
        <f t="shared" si="7"/>
        <v/>
      </c>
    </row>
    <row r="161" spans="1:7" ht="18.75" customHeight="1" x14ac:dyDescent="0.25">
      <c r="A161" s="111"/>
      <c r="B161" s="128" t="str">
        <f>IF(A161&gt;0,'SOUTH Wells'!B163,"")</f>
        <v/>
      </c>
      <c r="C161" s="130" t="str">
        <f>IF(A161&gt;0,'SOUTH Wells'!C163,"")</f>
        <v/>
      </c>
      <c r="D161" s="131" t="str">
        <f>IF(A161&gt;0,'SOUTH Wells'!E163,"")</f>
        <v/>
      </c>
      <c r="E161" s="113" t="str">
        <f>IF(A161&gt;0,'SOUTH Wells'!K163,"")</f>
        <v/>
      </c>
      <c r="F161" s="15" t="str">
        <f t="shared" si="6"/>
        <v/>
      </c>
      <c r="G161" s="114" t="str">
        <f t="shared" si="7"/>
        <v/>
      </c>
    </row>
    <row r="162" spans="1:7" ht="18.75" customHeight="1" x14ac:dyDescent="0.25">
      <c r="A162" s="111"/>
      <c r="B162" s="128" t="str">
        <f>IF(A162&gt;0,'SOUTH Wells'!B164,"")</f>
        <v/>
      </c>
      <c r="C162" s="130" t="str">
        <f>IF(A162&gt;0,'SOUTH Wells'!C164,"")</f>
        <v/>
      </c>
      <c r="D162" s="131" t="str">
        <f>IF(A162&gt;0,'SOUTH Wells'!E164,"")</f>
        <v/>
      </c>
      <c r="E162" s="113" t="str">
        <f>IF(A162&gt;0,'SOUTH Wells'!K164,"")</f>
        <v/>
      </c>
      <c r="F162" s="15" t="str">
        <f t="shared" si="6"/>
        <v/>
      </c>
      <c r="G162" s="114" t="str">
        <f t="shared" si="7"/>
        <v/>
      </c>
    </row>
    <row r="163" spans="1:7" ht="18.75" customHeight="1" x14ac:dyDescent="0.25">
      <c r="A163" s="111"/>
      <c r="B163" s="128" t="str">
        <f>IF(A163&gt;0,'SOUTH Wells'!B165,"")</f>
        <v/>
      </c>
      <c r="C163" s="130" t="str">
        <f>IF(A163&gt;0,'SOUTH Wells'!C165,"")</f>
        <v/>
      </c>
      <c r="D163" s="131" t="str">
        <f>IF(A163&gt;0,'SOUTH Wells'!E165,"")</f>
        <v/>
      </c>
      <c r="E163" s="113" t="str">
        <f>IF(A163&gt;0,'SOUTH Wells'!K165,"")</f>
        <v/>
      </c>
      <c r="F163" s="15" t="str">
        <f t="shared" si="6"/>
        <v/>
      </c>
      <c r="G163" s="114" t="str">
        <f t="shared" si="7"/>
        <v/>
      </c>
    </row>
    <row r="164" spans="1:7" ht="18.75" customHeight="1" x14ac:dyDescent="0.25">
      <c r="A164" s="111"/>
      <c r="B164" s="128" t="str">
        <f>IF(A164&gt;0,'SOUTH Wells'!B166,"")</f>
        <v/>
      </c>
      <c r="C164" s="130" t="str">
        <f>IF(A164&gt;0,'SOUTH Wells'!C166,"")</f>
        <v/>
      </c>
      <c r="D164" s="131" t="str">
        <f>IF(A164&gt;0,'SOUTH Wells'!E166,"")</f>
        <v/>
      </c>
      <c r="E164" s="113" t="str">
        <f>IF(A164&gt;0,'SOUTH Wells'!K166,"")</f>
        <v/>
      </c>
      <c r="F164" s="15" t="str">
        <f t="shared" si="6"/>
        <v/>
      </c>
      <c r="G164" s="114" t="str">
        <f t="shared" si="7"/>
        <v/>
      </c>
    </row>
    <row r="165" spans="1:7" ht="18.75" customHeight="1" x14ac:dyDescent="0.25">
      <c r="A165" s="111"/>
      <c r="B165" s="128" t="str">
        <f>IF(A165&gt;0,'SOUTH Wells'!B167,"")</f>
        <v/>
      </c>
      <c r="C165" s="130" t="str">
        <f>IF(A165&gt;0,'SOUTH Wells'!C167,"")</f>
        <v/>
      </c>
      <c r="D165" s="131" t="str">
        <f>IF(A165&gt;0,'SOUTH Wells'!E167,"")</f>
        <v/>
      </c>
      <c r="E165" s="113" t="str">
        <f>IF(A165&gt;0,'SOUTH Wells'!K167,"")</f>
        <v/>
      </c>
      <c r="F165" s="15" t="str">
        <f t="shared" si="6"/>
        <v/>
      </c>
      <c r="G165" s="114" t="str">
        <f t="shared" si="7"/>
        <v/>
      </c>
    </row>
    <row r="166" spans="1:7" ht="18.75" customHeight="1" x14ac:dyDescent="0.25">
      <c r="A166" s="111"/>
      <c r="B166" s="128" t="str">
        <f>IF(A166&gt;0,'SOUTH Wells'!B168,"")</f>
        <v/>
      </c>
      <c r="C166" s="130" t="str">
        <f>IF(A166&gt;0,'SOUTH Wells'!C168,"")</f>
        <v/>
      </c>
      <c r="D166" s="131" t="str">
        <f>IF(A166&gt;0,'SOUTH Wells'!E168,"")</f>
        <v/>
      </c>
      <c r="E166" s="113" t="str">
        <f>IF(A166&gt;0,'SOUTH Wells'!K168,"")</f>
        <v/>
      </c>
      <c r="F166" s="15" t="str">
        <f t="shared" si="6"/>
        <v/>
      </c>
      <c r="G166" s="114" t="str">
        <f t="shared" si="7"/>
        <v/>
      </c>
    </row>
    <row r="167" spans="1:7" ht="18.75" customHeight="1" x14ac:dyDescent="0.25">
      <c r="A167" s="111"/>
      <c r="B167" s="128" t="str">
        <f>IF(A167&gt;0,'SOUTH Wells'!B169,"")</f>
        <v/>
      </c>
      <c r="C167" s="130" t="str">
        <f>IF(A167&gt;0,'SOUTH Wells'!C169,"")</f>
        <v/>
      </c>
      <c r="D167" s="131" t="str">
        <f>IF(A167&gt;0,'SOUTH Wells'!E169,"")</f>
        <v/>
      </c>
      <c r="E167" s="113" t="str">
        <f>IF(A167&gt;0,'SOUTH Wells'!K169,"")</f>
        <v/>
      </c>
      <c r="F167" s="15" t="str">
        <f t="shared" si="6"/>
        <v/>
      </c>
      <c r="G167" s="114" t="str">
        <f t="shared" si="7"/>
        <v/>
      </c>
    </row>
    <row r="168" spans="1:7" ht="18.75" customHeight="1" x14ac:dyDescent="0.25">
      <c r="A168" s="116"/>
      <c r="B168" s="128" t="str">
        <f>IF(A168&gt;0,'SOUTH Wells'!B170,"")</f>
        <v/>
      </c>
      <c r="C168" s="130" t="str">
        <f>IF(A168&gt;0,'SOUTH Wells'!C170,"")</f>
        <v/>
      </c>
      <c r="D168" s="131" t="str">
        <f>IF(A168&gt;0,'SOUTH Wells'!E170,"")</f>
        <v/>
      </c>
      <c r="E168" s="113" t="str">
        <f>IF(A168&gt;0,'SOUTH Wells'!K170,"")</f>
        <v/>
      </c>
      <c r="F168" s="15" t="str">
        <f t="shared" si="6"/>
        <v/>
      </c>
      <c r="G168" s="114" t="str">
        <f t="shared" si="7"/>
        <v/>
      </c>
    </row>
    <row r="169" spans="1:7" ht="18.75" customHeight="1" x14ac:dyDescent="0.25">
      <c r="A169" s="111"/>
      <c r="B169" s="128" t="str">
        <f>IF(A169&gt;0,'SOUTH Wells'!B171,"")</f>
        <v/>
      </c>
      <c r="C169" s="130" t="str">
        <f>IF(A169&gt;0,'SOUTH Wells'!C171,"")</f>
        <v/>
      </c>
      <c r="D169" s="131" t="str">
        <f>IF(A169&gt;0,'SOUTH Wells'!E171,"")</f>
        <v/>
      </c>
      <c r="E169" s="113" t="str">
        <f>IF(A169&gt;0,'SOUTH Wells'!K171,"")</f>
        <v/>
      </c>
      <c r="F169" s="15" t="str">
        <f t="shared" si="6"/>
        <v/>
      </c>
      <c r="G169" s="114" t="str">
        <f t="shared" si="7"/>
        <v/>
      </c>
    </row>
    <row r="170" spans="1:7" ht="18.75" customHeight="1" x14ac:dyDescent="0.25">
      <c r="A170" s="117"/>
      <c r="B170" s="128" t="str">
        <f>IF(A170&gt;0,'SOUTH Wells'!B172,"")</f>
        <v/>
      </c>
      <c r="C170" s="130" t="str">
        <f>IF(A170&gt;0,'SOUTH Wells'!C172,"")</f>
        <v/>
      </c>
      <c r="D170" s="131" t="str">
        <f>IF(A170&gt;0,'SOUTH Wells'!E172,"")</f>
        <v/>
      </c>
      <c r="E170" s="113" t="str">
        <f>IF(A170&gt;0,'SOUTH Wells'!K172,"")</f>
        <v/>
      </c>
      <c r="F170" s="15" t="str">
        <f t="shared" si="6"/>
        <v/>
      </c>
      <c r="G170" s="114" t="str">
        <f t="shared" si="7"/>
        <v/>
      </c>
    </row>
    <row r="171" spans="1:7" ht="18.75" customHeight="1" x14ac:dyDescent="0.25">
      <c r="A171" s="117"/>
      <c r="B171" s="128" t="str">
        <f>IF(A171&gt;0,'SOUTH Wells'!B173,"")</f>
        <v/>
      </c>
      <c r="C171" s="130" t="str">
        <f>IF(A171&gt;0,'SOUTH Wells'!C173,"")</f>
        <v/>
      </c>
      <c r="D171" s="131" t="str">
        <f>IF(A171&gt;0,'SOUTH Wells'!E173,"")</f>
        <v/>
      </c>
      <c r="E171" s="113" t="str">
        <f>IF(A171&gt;0,'SOUTH Wells'!K173,"")</f>
        <v/>
      </c>
      <c r="F171" s="15" t="str">
        <f t="shared" si="6"/>
        <v/>
      </c>
      <c r="G171" s="114" t="str">
        <f t="shared" si="7"/>
        <v/>
      </c>
    </row>
    <row r="172" spans="1:7" ht="18.75" customHeight="1" x14ac:dyDescent="0.25">
      <c r="A172" s="117"/>
      <c r="B172" s="128" t="str">
        <f>IF(A172&gt;0,'SOUTH Wells'!B174,"")</f>
        <v/>
      </c>
      <c r="C172" s="130" t="str">
        <f>IF(A172&gt;0,'SOUTH Wells'!C174,"")</f>
        <v/>
      </c>
      <c r="D172" s="131" t="str">
        <f>IF(A172&gt;0,'SOUTH Wells'!E174,"")</f>
        <v/>
      </c>
      <c r="E172" s="113" t="str">
        <f>IF(A172&gt;0,'SOUTH Wells'!K174,"")</f>
        <v/>
      </c>
      <c r="F172" s="15" t="str">
        <f t="shared" si="6"/>
        <v/>
      </c>
      <c r="G172" s="114" t="str">
        <f t="shared" si="7"/>
        <v/>
      </c>
    </row>
    <row r="173" spans="1:7" ht="18.75" customHeight="1" x14ac:dyDescent="0.25">
      <c r="A173" s="117"/>
      <c r="B173" s="128" t="str">
        <f>IF(A173&gt;0,'SOUTH Wells'!B175,"")</f>
        <v/>
      </c>
      <c r="C173" s="130" t="str">
        <f>IF(A173&gt;0,'SOUTH Wells'!C175,"")</f>
        <v/>
      </c>
      <c r="D173" s="131" t="str">
        <f>IF(A173&gt;0,'SOUTH Wells'!E175,"")</f>
        <v/>
      </c>
      <c r="E173" s="113" t="str">
        <f>IF(A173&gt;0,'SOUTH Wells'!K175,"")</f>
        <v/>
      </c>
      <c r="F173" s="15" t="str">
        <f t="shared" si="6"/>
        <v/>
      </c>
      <c r="G173" s="114" t="str">
        <f t="shared" si="7"/>
        <v/>
      </c>
    </row>
    <row r="174" spans="1:7" ht="18.75" customHeight="1" x14ac:dyDescent="0.25">
      <c r="A174" s="117"/>
      <c r="B174" s="128" t="str">
        <f>IF(A174&gt;0,'SOUTH Wells'!B176,"")</f>
        <v/>
      </c>
      <c r="C174" s="130" t="str">
        <f>IF(A174&gt;0,'SOUTH Wells'!C176,"")</f>
        <v/>
      </c>
      <c r="D174" s="131" t="str">
        <f>IF(A174&gt;0,'SOUTH Wells'!E176,"")</f>
        <v/>
      </c>
      <c r="E174" s="113" t="str">
        <f>IF(A174&gt;0,'SOUTH Wells'!K176,"")</f>
        <v/>
      </c>
      <c r="F174" s="15" t="str">
        <f t="shared" si="6"/>
        <v/>
      </c>
      <c r="G174" s="114" t="str">
        <f t="shared" si="7"/>
        <v/>
      </c>
    </row>
    <row r="175" spans="1:7" ht="18.75" customHeight="1" x14ac:dyDescent="0.25">
      <c r="A175" s="117"/>
      <c r="B175" s="128" t="str">
        <f>IF(A175&gt;0,'SOUTH Wells'!B177,"")</f>
        <v/>
      </c>
      <c r="C175" s="130" t="str">
        <f>IF(A175&gt;0,'SOUTH Wells'!C177,"")</f>
        <v/>
      </c>
      <c r="D175" s="131" t="str">
        <f>IF(A175&gt;0,'SOUTH Wells'!E177,"")</f>
        <v/>
      </c>
      <c r="E175" s="113" t="str">
        <f>IF(A175&gt;0,'SOUTH Wells'!K177,"")</f>
        <v/>
      </c>
      <c r="F175" s="15" t="str">
        <f t="shared" si="6"/>
        <v/>
      </c>
      <c r="G175" s="114" t="str">
        <f t="shared" si="7"/>
        <v/>
      </c>
    </row>
    <row r="176" spans="1:7" ht="18.75" customHeight="1" x14ac:dyDescent="0.25">
      <c r="A176" s="117"/>
      <c r="B176" s="128" t="str">
        <f>IF(A176&gt;0,'SOUTH Wells'!B178,"")</f>
        <v/>
      </c>
      <c r="C176" s="130" t="str">
        <f>IF(A176&gt;0,'SOUTH Wells'!C178,"")</f>
        <v/>
      </c>
      <c r="D176" s="131" t="str">
        <f>IF(A176&gt;0,'SOUTH Wells'!E178,"")</f>
        <v/>
      </c>
      <c r="E176" s="113" t="str">
        <f>IF(A176&gt;0,'SOUTH Wells'!K178,"")</f>
        <v/>
      </c>
      <c r="F176" s="15" t="str">
        <f t="shared" si="6"/>
        <v/>
      </c>
      <c r="G176" s="114" t="str">
        <f t="shared" si="7"/>
        <v/>
      </c>
    </row>
    <row r="177" spans="1:7" ht="18.75" customHeight="1" x14ac:dyDescent="0.25">
      <c r="A177" s="117"/>
      <c r="B177" s="128" t="str">
        <f>IF(A177&gt;0,'SOUTH Wells'!B179,"")</f>
        <v/>
      </c>
      <c r="C177" s="130" t="str">
        <f>IF(A177&gt;0,'SOUTH Wells'!C179,"")</f>
        <v/>
      </c>
      <c r="D177" s="131" t="str">
        <f>IF(A177&gt;0,'SOUTH Wells'!E179,"")</f>
        <v/>
      </c>
      <c r="E177" s="113" t="str">
        <f>IF(A177&gt;0,'SOUTH Wells'!K179,"")</f>
        <v/>
      </c>
      <c r="F177" s="15" t="str">
        <f t="shared" si="6"/>
        <v/>
      </c>
      <c r="G177" s="114" t="str">
        <f t="shared" si="7"/>
        <v/>
      </c>
    </row>
    <row r="178" spans="1:7" ht="18.75" customHeight="1" x14ac:dyDescent="0.25">
      <c r="A178" s="117"/>
      <c r="B178" s="128" t="str">
        <f>IF(A178&gt;0,'SOUTH Wells'!B180,"")</f>
        <v/>
      </c>
      <c r="C178" s="130" t="str">
        <f>IF(A178&gt;0,'SOUTH Wells'!C180,"")</f>
        <v/>
      </c>
      <c r="D178" s="131" t="str">
        <f>IF(A178&gt;0,'SOUTH Wells'!E180,"")</f>
        <v/>
      </c>
      <c r="E178" s="113" t="str">
        <f>IF(A178&gt;0,'SOUTH Wells'!K180,"")</f>
        <v/>
      </c>
      <c r="F178" s="15" t="str">
        <f t="shared" si="6"/>
        <v/>
      </c>
      <c r="G178" s="114" t="str">
        <f t="shared" si="7"/>
        <v/>
      </c>
    </row>
    <row r="179" spans="1:7" ht="18.75" customHeight="1" x14ac:dyDescent="0.25">
      <c r="A179" s="117"/>
      <c r="B179" s="128" t="str">
        <f>IF(A179&gt;0,'SOUTH Wells'!B181,"")</f>
        <v/>
      </c>
      <c r="C179" s="130" t="str">
        <f>IF(A179&gt;0,'SOUTH Wells'!C181,"")</f>
        <v/>
      </c>
      <c r="D179" s="131" t="str">
        <f>IF(A179&gt;0,'SOUTH Wells'!E181,"")</f>
        <v/>
      </c>
      <c r="E179" s="113" t="str">
        <f>IF(A179&gt;0,'SOUTH Wells'!K181,"")</f>
        <v/>
      </c>
      <c r="F179" s="15" t="str">
        <f t="shared" si="6"/>
        <v/>
      </c>
      <c r="G179" s="114" t="str">
        <f t="shared" si="7"/>
        <v/>
      </c>
    </row>
    <row r="180" spans="1:7" ht="18.75" customHeight="1" x14ac:dyDescent="0.25">
      <c r="A180" s="117"/>
      <c r="B180" s="128" t="str">
        <f>IF(A180&gt;0,'SOUTH Wells'!B182,"")</f>
        <v/>
      </c>
      <c r="C180" s="130" t="str">
        <f>IF(A180&gt;0,'SOUTH Wells'!C182,"")</f>
        <v/>
      </c>
      <c r="D180" s="131" t="str">
        <f>IF(A180&gt;0,'SOUTH Wells'!E182,"")</f>
        <v/>
      </c>
      <c r="E180" s="113" t="str">
        <f>IF(A180&gt;0,'SOUTH Wells'!K182,"")</f>
        <v/>
      </c>
      <c r="F180" s="15" t="str">
        <f t="shared" si="6"/>
        <v/>
      </c>
      <c r="G180" s="114" t="str">
        <f t="shared" si="7"/>
        <v/>
      </c>
    </row>
    <row r="181" spans="1:7" ht="18.75" customHeight="1" x14ac:dyDescent="0.25">
      <c r="A181" s="117"/>
      <c r="B181" s="128" t="str">
        <f>IF(A181&gt;0,'SOUTH Wells'!B183,"")</f>
        <v/>
      </c>
      <c r="C181" s="130" t="str">
        <f>IF(A181&gt;0,'SOUTH Wells'!C183,"")</f>
        <v/>
      </c>
      <c r="D181" s="131" t="str">
        <f>IF(A181&gt;0,'SOUTH Wells'!E183,"")</f>
        <v/>
      </c>
      <c r="E181" s="113" t="str">
        <f>IF(A181&gt;0,'SOUTH Wells'!K183,"")</f>
        <v/>
      </c>
      <c r="F181" s="15" t="str">
        <f t="shared" si="6"/>
        <v/>
      </c>
      <c r="G181" s="114" t="str">
        <f t="shared" si="7"/>
        <v/>
      </c>
    </row>
    <row r="182" spans="1:7" ht="18.75" customHeight="1" x14ac:dyDescent="0.25">
      <c r="A182" s="117"/>
      <c r="B182" s="128" t="str">
        <f>IF(A182&gt;0,'SOUTH Wells'!B184,"")</f>
        <v/>
      </c>
      <c r="C182" s="130" t="str">
        <f>IF(A182&gt;0,'SOUTH Wells'!C184,"")</f>
        <v/>
      </c>
      <c r="D182" s="131" t="str">
        <f>IF(A182&gt;0,'SOUTH Wells'!E184,"")</f>
        <v/>
      </c>
      <c r="E182" s="113" t="str">
        <f>IF(A182&gt;0,'SOUTH Wells'!K184,"")</f>
        <v/>
      </c>
      <c r="F182" s="15" t="str">
        <f t="shared" si="6"/>
        <v/>
      </c>
      <c r="G182" s="114" t="str">
        <f t="shared" si="7"/>
        <v/>
      </c>
    </row>
    <row r="183" spans="1:7" ht="18.75" customHeight="1" x14ac:dyDescent="0.25">
      <c r="A183" s="117"/>
      <c r="B183" s="128" t="str">
        <f>IF(A183&gt;0,'SOUTH Wells'!B185,"")</f>
        <v/>
      </c>
      <c r="C183" s="130" t="str">
        <f>IF(A183&gt;0,'SOUTH Wells'!C185,"")</f>
        <v/>
      </c>
      <c r="D183" s="131" t="str">
        <f>IF(A183&gt;0,'SOUTH Wells'!E185,"")</f>
        <v/>
      </c>
      <c r="E183" s="113" t="str">
        <f>IF(A183&gt;0,'SOUTH Wells'!K185,"")</f>
        <v/>
      </c>
      <c r="F183" s="15" t="str">
        <f t="shared" si="6"/>
        <v/>
      </c>
      <c r="G183" s="114" t="str">
        <f t="shared" si="7"/>
        <v/>
      </c>
    </row>
    <row r="184" spans="1:7" ht="18.75" customHeight="1" x14ac:dyDescent="0.25">
      <c r="A184" s="117"/>
      <c r="B184" s="128" t="str">
        <f>IF(A184&gt;0,'SOUTH Wells'!B186,"")</f>
        <v/>
      </c>
      <c r="C184" s="130" t="str">
        <f>IF(A184&gt;0,'SOUTH Wells'!C186,"")</f>
        <v/>
      </c>
      <c r="D184" s="131" t="str">
        <f>IF(A184&gt;0,'SOUTH Wells'!E186,"")</f>
        <v/>
      </c>
      <c r="E184" s="113" t="str">
        <f>IF(A184&gt;0,'SOUTH Wells'!K186,"")</f>
        <v/>
      </c>
      <c r="F184" s="15" t="str">
        <f t="shared" si="6"/>
        <v/>
      </c>
      <c r="G184" s="114" t="str">
        <f t="shared" si="7"/>
        <v/>
      </c>
    </row>
    <row r="185" spans="1:7" ht="18.75" customHeight="1" x14ac:dyDescent="0.25">
      <c r="A185" s="117"/>
      <c r="B185" s="128" t="str">
        <f>IF(A185&gt;0,'SOUTH Wells'!B187,"")</f>
        <v/>
      </c>
      <c r="C185" s="130" t="str">
        <f>IF(A185&gt;0,'SOUTH Wells'!C187,"")</f>
        <v/>
      </c>
      <c r="D185" s="131" t="str">
        <f>IF(A185&gt;0,'SOUTH Wells'!E187,"")</f>
        <v/>
      </c>
      <c r="E185" s="113" t="str">
        <f>IF(A185&gt;0,'SOUTH Wells'!K187,"")</f>
        <v/>
      </c>
      <c r="F185" s="15" t="str">
        <f t="shared" si="6"/>
        <v/>
      </c>
      <c r="G185" s="114" t="str">
        <f t="shared" si="7"/>
        <v/>
      </c>
    </row>
    <row r="186" spans="1:7" ht="18.75" customHeight="1" x14ac:dyDescent="0.25">
      <c r="A186" s="117"/>
      <c r="B186" s="128" t="str">
        <f>IF(A186&gt;0,'SOUTH Wells'!B188,"")</f>
        <v/>
      </c>
      <c r="C186" s="130" t="str">
        <f>IF(A186&gt;0,'SOUTH Wells'!C188,"")</f>
        <v/>
      </c>
      <c r="D186" s="131" t="str">
        <f>IF(A186&gt;0,'SOUTH Wells'!E188,"")</f>
        <v/>
      </c>
      <c r="E186" s="113" t="str">
        <f>IF(A186&gt;0,'SOUTH Wells'!K188,"")</f>
        <v/>
      </c>
      <c r="F186" s="15" t="str">
        <f t="shared" si="6"/>
        <v/>
      </c>
      <c r="G186" s="114" t="str">
        <f t="shared" si="7"/>
        <v/>
      </c>
    </row>
    <row r="187" spans="1:7" ht="18.75" customHeight="1" x14ac:dyDescent="0.25">
      <c r="A187" s="117"/>
      <c r="B187" s="128" t="str">
        <f>IF(A187&gt;0,'SOUTH Wells'!B189,"")</f>
        <v/>
      </c>
      <c r="C187" s="130" t="str">
        <f>IF(A187&gt;0,'SOUTH Wells'!C189,"")</f>
        <v/>
      </c>
      <c r="D187" s="131" t="str">
        <f>IF(A187&gt;0,'SOUTH Wells'!E189,"")</f>
        <v/>
      </c>
      <c r="E187" s="113" t="str">
        <f>IF(A187&gt;0,'SOUTH Wells'!K189,"")</f>
        <v/>
      </c>
      <c r="F187" s="15" t="str">
        <f t="shared" si="6"/>
        <v/>
      </c>
      <c r="G187" s="114" t="str">
        <f t="shared" si="7"/>
        <v/>
      </c>
    </row>
    <row r="188" spans="1:7" ht="18.75" customHeight="1" x14ac:dyDescent="0.25">
      <c r="A188" s="117"/>
      <c r="B188" s="128" t="str">
        <f>IF(A188&gt;0,'SOUTH Wells'!B190,"")</f>
        <v/>
      </c>
      <c r="C188" s="130" t="str">
        <f>IF(A188&gt;0,'SOUTH Wells'!C190,"")</f>
        <v/>
      </c>
      <c r="D188" s="131" t="str">
        <f>IF(A188&gt;0,'SOUTH Wells'!E190,"")</f>
        <v/>
      </c>
      <c r="E188" s="113" t="str">
        <f>IF(A188&gt;0,'SOUTH Wells'!K190,"")</f>
        <v/>
      </c>
      <c r="F188" s="15" t="str">
        <f t="shared" si="6"/>
        <v/>
      </c>
      <c r="G188" s="114" t="str">
        <f t="shared" si="7"/>
        <v/>
      </c>
    </row>
    <row r="189" spans="1:7" ht="18.75" customHeight="1" x14ac:dyDescent="0.25">
      <c r="A189" s="117"/>
      <c r="B189" s="128" t="str">
        <f>IF(A189&gt;0,'SOUTH Wells'!B191,"")</f>
        <v/>
      </c>
      <c r="C189" s="130" t="str">
        <f>IF(A189&gt;0,'SOUTH Wells'!C191,"")</f>
        <v/>
      </c>
      <c r="D189" s="131" t="str">
        <f>IF(A189&gt;0,'SOUTH Wells'!E191,"")</f>
        <v/>
      </c>
      <c r="E189" s="113" t="str">
        <f>IF(A189&gt;0,'SOUTH Wells'!K191,"")</f>
        <v/>
      </c>
      <c r="F189" s="15" t="str">
        <f t="shared" si="6"/>
        <v/>
      </c>
      <c r="G189" s="114" t="str">
        <f t="shared" si="7"/>
        <v/>
      </c>
    </row>
    <row r="190" spans="1:7" ht="18.75" customHeight="1" x14ac:dyDescent="0.25">
      <c r="A190" s="117"/>
      <c r="B190" s="128" t="str">
        <f>IF(A190&gt;0,'SOUTH Wells'!B192,"")</f>
        <v/>
      </c>
      <c r="C190" s="130" t="str">
        <f>IF(A190&gt;0,'SOUTH Wells'!C192,"")</f>
        <v/>
      </c>
      <c r="D190" s="131" t="str">
        <f>IF(A190&gt;0,'SOUTH Wells'!E192,"")</f>
        <v/>
      </c>
      <c r="E190" s="113" t="str">
        <f>IF(A190&gt;0,'SOUTH Wells'!K192,"")</f>
        <v/>
      </c>
      <c r="F190" s="15" t="str">
        <f t="shared" si="6"/>
        <v/>
      </c>
      <c r="G190" s="114" t="str">
        <f t="shared" si="7"/>
        <v/>
      </c>
    </row>
    <row r="191" spans="1:7" ht="18.75" customHeight="1" x14ac:dyDescent="0.25">
      <c r="A191" s="117"/>
      <c r="B191" s="128" t="str">
        <f>IF(A191&gt;0,'SOUTH Wells'!B193,"")</f>
        <v/>
      </c>
      <c r="C191" s="130" t="str">
        <f>IF(A191&gt;0,'SOUTH Wells'!C193,"")</f>
        <v/>
      </c>
      <c r="D191" s="131" t="str">
        <f>IF(A191&gt;0,'SOUTH Wells'!E193,"")</f>
        <v/>
      </c>
      <c r="E191" s="113" t="str">
        <f>IF(A191&gt;0,'SOUTH Wells'!K193,"")</f>
        <v/>
      </c>
      <c r="F191" s="15" t="str">
        <f t="shared" si="6"/>
        <v/>
      </c>
      <c r="G191" s="114" t="str">
        <f t="shared" si="7"/>
        <v/>
      </c>
    </row>
    <row r="192" spans="1:7" ht="18.75" customHeight="1" x14ac:dyDescent="0.25">
      <c r="A192" s="117"/>
      <c r="B192" s="128" t="str">
        <f>IF(A192&gt;0,'SOUTH Wells'!B194,"")</f>
        <v/>
      </c>
      <c r="C192" s="130" t="str">
        <f>IF(A192&gt;0,'SOUTH Wells'!C194,"")</f>
        <v/>
      </c>
      <c r="D192" s="131" t="str">
        <f>IF(A192&gt;0,'SOUTH Wells'!E194,"")</f>
        <v/>
      </c>
      <c r="E192" s="113" t="str">
        <f>IF(A192&gt;0,'SOUTH Wells'!K194,"")</f>
        <v/>
      </c>
      <c r="F192" s="15" t="str">
        <f t="shared" si="6"/>
        <v/>
      </c>
      <c r="G192" s="114" t="str">
        <f t="shared" si="7"/>
        <v/>
      </c>
    </row>
    <row r="193" spans="1:7" ht="18.75" customHeight="1" x14ac:dyDescent="0.25">
      <c r="A193" s="117"/>
      <c r="B193" s="128" t="str">
        <f>IF(A193&gt;0,'SOUTH Wells'!B195,"")</f>
        <v/>
      </c>
      <c r="C193" s="130" t="str">
        <f>IF(A193&gt;0,'SOUTH Wells'!C195,"")</f>
        <v/>
      </c>
      <c r="D193" s="131" t="str">
        <f>IF(A193&gt;0,'SOUTH Wells'!E195,"")</f>
        <v/>
      </c>
      <c r="E193" s="113" t="str">
        <f>IF(A193&gt;0,'SOUTH Wells'!K195,"")</f>
        <v/>
      </c>
      <c r="F193" s="15" t="str">
        <f t="shared" si="6"/>
        <v/>
      </c>
      <c r="G193" s="114" t="str">
        <f t="shared" si="7"/>
        <v/>
      </c>
    </row>
    <row r="194" spans="1:7" ht="18.75" customHeight="1" x14ac:dyDescent="0.25">
      <c r="A194" s="117"/>
      <c r="B194" s="128" t="str">
        <f>IF(A194&gt;0,'SOUTH Wells'!B196,"")</f>
        <v/>
      </c>
      <c r="C194" s="130" t="str">
        <f>IF(A194&gt;0,'SOUTH Wells'!C196,"")</f>
        <v/>
      </c>
      <c r="D194" s="131" t="str">
        <f>IF(A194&gt;0,'SOUTH Wells'!E196,"")</f>
        <v/>
      </c>
      <c r="E194" s="113" t="str">
        <f>IF(A194&gt;0,'SOUTH Wells'!K196,"")</f>
        <v/>
      </c>
      <c r="F194" s="15" t="str">
        <f t="shared" si="6"/>
        <v/>
      </c>
      <c r="G194" s="114" t="str">
        <f t="shared" si="7"/>
        <v/>
      </c>
    </row>
    <row r="195" spans="1:7" ht="18.75" customHeight="1" x14ac:dyDescent="0.25">
      <c r="A195" s="117"/>
      <c r="B195" s="128" t="str">
        <f>IF(A195&gt;0,'SOUTH Wells'!B197,"")</f>
        <v/>
      </c>
      <c r="C195" s="130" t="str">
        <f>IF(A195&gt;0,'SOUTH Wells'!C197,"")</f>
        <v/>
      </c>
      <c r="D195" s="131" t="str">
        <f>IF(A195&gt;0,'SOUTH Wells'!E197,"")</f>
        <v/>
      </c>
      <c r="E195" s="113" t="str">
        <f>IF(A195&gt;0,'SOUTH Wells'!K197,"")</f>
        <v/>
      </c>
      <c r="F195" s="15" t="str">
        <f t="shared" si="6"/>
        <v/>
      </c>
      <c r="G195" s="114" t="str">
        <f t="shared" si="7"/>
        <v/>
      </c>
    </row>
    <row r="196" spans="1:7" ht="18.75" customHeight="1" x14ac:dyDescent="0.25">
      <c r="A196" s="117"/>
      <c r="B196" s="128" t="str">
        <f>IF(A196&gt;0,'SOUTH Wells'!B198,"")</f>
        <v/>
      </c>
      <c r="C196" s="124" t="str">
        <f>IF(A196&gt;0,'SOUTH Wells'!C198,"")</f>
        <v/>
      </c>
      <c r="D196" s="112" t="str">
        <f>IF(A196&gt;0,'SOUTH Wells'!E198,"")</f>
        <v/>
      </c>
      <c r="E196" s="113" t="str">
        <f>IF(A196&gt;0,'SOUTH Wells'!K198,"")</f>
        <v/>
      </c>
      <c r="F196" s="15" t="str">
        <f t="shared" si="6"/>
        <v/>
      </c>
      <c r="G196" s="114" t="str">
        <f t="shared" si="7"/>
        <v/>
      </c>
    </row>
    <row r="197" spans="1:7" ht="18.75" customHeight="1" x14ac:dyDescent="0.25">
      <c r="A197" s="117"/>
      <c r="B197" s="128" t="str">
        <f>IF(A197&gt;0,'SOUTH Wells'!B199,"")</f>
        <v/>
      </c>
      <c r="C197" s="124" t="str">
        <f>IF(A197&gt;0,'SOUTH Wells'!C199,"")</f>
        <v/>
      </c>
      <c r="D197" s="112" t="str">
        <f>IF(A197&gt;0,'SOUTH Wells'!E199,"")</f>
        <v/>
      </c>
      <c r="E197" s="113" t="str">
        <f>IF(A197&gt;0,'SOUTH Wells'!K199,"")</f>
        <v/>
      </c>
      <c r="F197" s="15" t="str">
        <f t="shared" si="6"/>
        <v/>
      </c>
      <c r="G197" s="114" t="str">
        <f t="shared" si="7"/>
        <v/>
      </c>
    </row>
    <row r="198" spans="1:7" ht="18.75" customHeight="1" x14ac:dyDescent="0.25">
      <c r="A198" s="117"/>
      <c r="B198" s="128" t="str">
        <f>IF(A198&gt;0,'SOUTH Wells'!B200,"")</f>
        <v/>
      </c>
      <c r="C198" s="124" t="str">
        <f>IF(A198&gt;0,'SOUTH Wells'!C200,"")</f>
        <v/>
      </c>
      <c r="D198" s="112" t="str">
        <f>IF(A198&gt;0,'SOUTH Wells'!E200,"")</f>
        <v/>
      </c>
      <c r="E198" s="113" t="str">
        <f>IF(A198&gt;0,'SOUTH Wells'!K200,"")</f>
        <v/>
      </c>
      <c r="F198" s="15" t="str">
        <f t="shared" si="6"/>
        <v/>
      </c>
      <c r="G198" s="114" t="str">
        <f t="shared" si="7"/>
        <v/>
      </c>
    </row>
    <row r="199" spans="1:7" ht="18.75" customHeight="1" x14ac:dyDescent="0.25">
      <c r="A199" s="117"/>
      <c r="B199" s="128" t="str">
        <f>IF(A199&gt;0,'SOUTH Wells'!B201,"")</f>
        <v/>
      </c>
      <c r="C199" s="124" t="str">
        <f>IF(A199&gt;0,'SOUTH Wells'!C201,"")</f>
        <v/>
      </c>
      <c r="D199" s="112" t="str">
        <f>IF(A199&gt;0,'SOUTH Wells'!E201,"")</f>
        <v/>
      </c>
      <c r="E199" s="113" t="str">
        <f>IF(A199&gt;0,'SOUTH Wells'!K201,"")</f>
        <v/>
      </c>
      <c r="F199" s="15" t="str">
        <f t="shared" si="6"/>
        <v/>
      </c>
      <c r="G199" s="114" t="str">
        <f t="shared" si="7"/>
        <v/>
      </c>
    </row>
    <row r="200" spans="1:7" ht="18.75" customHeight="1" x14ac:dyDescent="0.25">
      <c r="A200" s="117"/>
      <c r="B200" s="128" t="str">
        <f>IF(A200&gt;0,'SOUTH Wells'!B202,"")</f>
        <v/>
      </c>
      <c r="C200" s="124" t="str">
        <f>IF(A200&gt;0,'SOUTH Wells'!C202,"")</f>
        <v/>
      </c>
      <c r="D200" s="112" t="str">
        <f>IF(A200&gt;0,'SOUTH Wells'!E202,"")</f>
        <v/>
      </c>
      <c r="E200" s="113" t="str">
        <f>IF(A200&gt;0,'SOUTH Wells'!K202,"")</f>
        <v/>
      </c>
      <c r="F200" s="15" t="str">
        <f t="shared" si="6"/>
        <v/>
      </c>
      <c r="G200" s="114" t="str">
        <f t="shared" si="7"/>
        <v/>
      </c>
    </row>
    <row r="201" spans="1:7" ht="18.75" customHeight="1" x14ac:dyDescent="0.25">
      <c r="A201" s="117"/>
      <c r="B201" s="128" t="str">
        <f>IF(A201&gt;0,'SOUTH Wells'!B203,"")</f>
        <v/>
      </c>
      <c r="C201" s="124" t="str">
        <f>IF(A201&gt;0,'SOUTH Wells'!C203,"")</f>
        <v/>
      </c>
      <c r="D201" s="112" t="str">
        <f>IF(A201&gt;0,'SOUTH Wells'!E203,"")</f>
        <v/>
      </c>
      <c r="E201" s="113" t="str">
        <f>IF(A201&gt;0,'SOUTH Wells'!K203,"")</f>
        <v/>
      </c>
      <c r="F201" s="15" t="str">
        <f t="shared" ref="F201:F202" si="8">IF(A201&gt;0,F200-E201,"")</f>
        <v/>
      </c>
      <c r="G201" s="114" t="str">
        <f t="shared" ref="G201:G203" si="9">IF(A200&gt;0,G200+E201,"")</f>
        <v/>
      </c>
    </row>
    <row r="202" spans="1:7" ht="18.75" customHeight="1" x14ac:dyDescent="0.25">
      <c r="A202" s="117"/>
      <c r="B202" s="128" t="str">
        <f>IF(A202&gt;0,'SOUTH Wells'!B204,"")</f>
        <v/>
      </c>
      <c r="C202" s="124" t="str">
        <f>IF(A202&gt;0,'SOUTH Wells'!C204,"")</f>
        <v/>
      </c>
      <c r="D202" s="112" t="str">
        <f>IF(A202&gt;0,'SOUTH Wells'!E204,"")</f>
        <v/>
      </c>
      <c r="E202" s="113" t="str">
        <f>IF(A202&gt;0,'SOUTH Wells'!K204,"")</f>
        <v/>
      </c>
      <c r="F202" s="15" t="str">
        <f t="shared" si="8"/>
        <v/>
      </c>
      <c r="G202" s="114" t="str">
        <f t="shared" si="9"/>
        <v/>
      </c>
    </row>
    <row r="203" spans="1:7" ht="18.75" customHeight="1" x14ac:dyDescent="0.25">
      <c r="A203" s="117"/>
      <c r="B203" s="128" t="str">
        <f>IF(A203&gt;0,'SOUTH Wells'!B205,"")</f>
        <v/>
      </c>
      <c r="C203" s="124" t="str">
        <f>IF(A203&gt;0,'SOUTH Wells'!C205,"")</f>
        <v/>
      </c>
      <c r="D203" s="112" t="str">
        <f>IF(A203&gt;0,'SOUTH Wells'!E205,"")</f>
        <v/>
      </c>
      <c r="E203" s="113" t="str">
        <f>IF(A203&gt;0,'SOUTH Wells'!K205,"")</f>
        <v/>
      </c>
      <c r="F203" s="15"/>
      <c r="G203" s="114" t="str">
        <f t="shared" si="9"/>
        <v/>
      </c>
    </row>
    <row r="204" spans="1:7" ht="18.75" customHeight="1" x14ac:dyDescent="0.25">
      <c r="A204" s="117"/>
      <c r="B204" s="128" t="str">
        <f>IF(A204&gt;0,'SOUTH Wells'!B206,"")</f>
        <v/>
      </c>
      <c r="C204" s="124" t="str">
        <f>IF(A204&gt;0,'SOUTH Wells'!C206,"")</f>
        <v/>
      </c>
      <c r="D204" s="112" t="str">
        <f>IF(A204&gt;0,'SOUTH Wells'!E206,"")</f>
        <v/>
      </c>
      <c r="E204" s="113" t="str">
        <f>IF(A204&gt;0,'SOUTH Wells'!K206,"")</f>
        <v/>
      </c>
      <c r="F204" s="15"/>
      <c r="G204" s="114" t="str">
        <f t="shared" ref="G204:G206" si="10">IF(A203&gt;0,G203+E204,"")</f>
        <v/>
      </c>
    </row>
    <row r="205" spans="1:7" ht="18.75" customHeight="1" x14ac:dyDescent="0.25">
      <c r="A205" s="117"/>
      <c r="B205" s="128" t="str">
        <f>IF(A205&gt;0,'SOUTH Wells'!B207,"")</f>
        <v/>
      </c>
      <c r="C205" s="124" t="str">
        <f>IF(A205&gt;0,'SOUTH Wells'!C207,"")</f>
        <v/>
      </c>
      <c r="D205" s="112" t="str">
        <f>IF(A205&gt;0,'SOUTH Wells'!E207,"")</f>
        <v/>
      </c>
      <c r="E205" s="113" t="str">
        <f>IF(A205&gt;0,'SOUTH Wells'!K207,"")</f>
        <v/>
      </c>
      <c r="F205" s="15"/>
      <c r="G205" s="114" t="str">
        <f t="shared" si="10"/>
        <v/>
      </c>
    </row>
    <row r="206" spans="1:7" ht="18.75" customHeight="1" x14ac:dyDescent="0.25">
      <c r="A206" s="117"/>
      <c r="B206" s="128" t="str">
        <f>IF(A206&gt;0,'SOUTH Wells'!B208,"")</f>
        <v/>
      </c>
      <c r="C206" s="124" t="str">
        <f>IF(A206&gt;0,'SOUTH Wells'!C208,"")</f>
        <v/>
      </c>
      <c r="D206" s="112" t="str">
        <f>IF(A206&gt;0,'SOUTH Wells'!E208,"")</f>
        <v/>
      </c>
      <c r="E206" s="113" t="str">
        <f>IF(A206&gt;0,'SOUTH Wells'!K208,"")</f>
        <v/>
      </c>
      <c r="F206" s="15"/>
      <c r="G206" s="114" t="str">
        <f t="shared" si="10"/>
        <v/>
      </c>
    </row>
    <row r="207" spans="1:7" ht="18.75" customHeight="1" x14ac:dyDescent="0.25">
      <c r="A207" s="117"/>
      <c r="B207" s="128" t="str">
        <f>IF(A207&gt;0,'SOUTH Wells'!B209,"")</f>
        <v/>
      </c>
      <c r="C207" s="124" t="str">
        <f>IF(A207&gt;0,'SOUTH Wells'!C209,"")</f>
        <v/>
      </c>
      <c r="D207" s="112" t="str">
        <f>IF(A207&gt;0,'SOUTH Wells'!E209,"")</f>
        <v/>
      </c>
      <c r="E207" s="113" t="str">
        <f>IF(A207&gt;0,'SOUTH Wells'!K209,"")</f>
        <v/>
      </c>
      <c r="F207" s="15"/>
      <c r="G207" s="114" t="str">
        <f t="shared" ref="G207:G216" si="11">IF(A206&gt;0,G206+E207,"")</f>
        <v/>
      </c>
    </row>
    <row r="208" spans="1:7" ht="18.75" customHeight="1" x14ac:dyDescent="0.25">
      <c r="A208" s="117"/>
      <c r="B208" s="128" t="str">
        <f>IF(A208&gt;0,'SOUTH Wells'!B210,"")</f>
        <v/>
      </c>
      <c r="C208" s="124" t="str">
        <f>IF(A208&gt;0,'SOUTH Wells'!C210,"")</f>
        <v/>
      </c>
      <c r="D208" s="112" t="str">
        <f>IF(A208&gt;0,'SOUTH Wells'!E210,"")</f>
        <v/>
      </c>
      <c r="E208" s="113" t="str">
        <f>IF(A208&gt;0,'SOUTH Wells'!K210,"")</f>
        <v/>
      </c>
      <c r="F208" s="15"/>
      <c r="G208" s="114" t="str">
        <f t="shared" si="11"/>
        <v/>
      </c>
    </row>
    <row r="209" spans="1:7" ht="18.75" customHeight="1" x14ac:dyDescent="0.25">
      <c r="A209" s="117"/>
      <c r="B209" s="128" t="str">
        <f>IF(A209&gt;0,'SOUTH Wells'!B211,"")</f>
        <v/>
      </c>
      <c r="C209" s="124" t="str">
        <f>IF(A209&gt;0,'SOUTH Wells'!C211,"")</f>
        <v/>
      </c>
      <c r="D209" s="112" t="str">
        <f>IF(A209&gt;0,'SOUTH Wells'!E211,"")</f>
        <v/>
      </c>
      <c r="E209" s="113" t="str">
        <f>IF(A209&gt;0,'SOUTH Wells'!K211,"")</f>
        <v/>
      </c>
      <c r="F209" s="15"/>
      <c r="G209" s="114" t="str">
        <f t="shared" si="11"/>
        <v/>
      </c>
    </row>
    <row r="210" spans="1:7" ht="18.75" customHeight="1" x14ac:dyDescent="0.25">
      <c r="A210" s="117"/>
      <c r="B210" s="128" t="str">
        <f>IF(A210&gt;0,'SOUTH Wells'!B212,"")</f>
        <v/>
      </c>
      <c r="C210" s="124" t="str">
        <f>IF(A210&gt;0,'SOUTH Wells'!C212,"")</f>
        <v/>
      </c>
      <c r="D210" s="112" t="str">
        <f>IF(A210&gt;0,'SOUTH Wells'!E212,"")</f>
        <v/>
      </c>
      <c r="E210" s="113" t="str">
        <f>IF(A210&gt;0,'SOUTH Wells'!K212,"")</f>
        <v/>
      </c>
      <c r="F210" s="15"/>
      <c r="G210" s="114" t="str">
        <f t="shared" si="11"/>
        <v/>
      </c>
    </row>
    <row r="211" spans="1:7" ht="18.75" customHeight="1" x14ac:dyDescent="0.25">
      <c r="A211" s="117"/>
      <c r="B211" s="128" t="str">
        <f>IF(A211&gt;0,'SOUTH Wells'!B213,"")</f>
        <v/>
      </c>
      <c r="C211" s="124" t="str">
        <f>IF(A211&gt;0,'SOUTH Wells'!C213,"")</f>
        <v/>
      </c>
      <c r="D211" s="112" t="str">
        <f>IF(A211&gt;0,'SOUTH Wells'!E213,"")</f>
        <v/>
      </c>
      <c r="E211" s="113" t="str">
        <f>IF(A211&gt;0,'SOUTH Wells'!K213,"")</f>
        <v/>
      </c>
      <c r="F211" s="15"/>
      <c r="G211" s="114" t="str">
        <f t="shared" si="11"/>
        <v/>
      </c>
    </row>
    <row r="212" spans="1:7" ht="18.75" customHeight="1" x14ac:dyDescent="0.25">
      <c r="A212" s="117"/>
      <c r="B212" s="128" t="str">
        <f>IF(A212&gt;0,'SOUTH Wells'!B214,"")</f>
        <v/>
      </c>
      <c r="C212" s="124" t="str">
        <f>IF(A212&gt;0,'SOUTH Wells'!C214,"")</f>
        <v/>
      </c>
      <c r="D212" s="112" t="str">
        <f>IF(A212&gt;0,'SOUTH Wells'!E214,"")</f>
        <v/>
      </c>
      <c r="E212" s="113" t="str">
        <f>IF(A212&gt;0,'SOUTH Wells'!K214,"")</f>
        <v/>
      </c>
      <c r="F212" s="15"/>
      <c r="G212" s="114" t="str">
        <f t="shared" si="11"/>
        <v/>
      </c>
    </row>
    <row r="213" spans="1:7" ht="18.75" customHeight="1" x14ac:dyDescent="0.25">
      <c r="A213" s="117"/>
      <c r="B213" s="128" t="str">
        <f>IF(A213&gt;0,'SOUTH Wells'!B215,"")</f>
        <v/>
      </c>
      <c r="C213" s="124" t="str">
        <f>IF(A213&gt;0,'SOUTH Wells'!C215,"")</f>
        <v/>
      </c>
      <c r="D213" s="112" t="str">
        <f>IF(A213&gt;0,'SOUTH Wells'!E215,"")</f>
        <v/>
      </c>
      <c r="E213" s="113" t="str">
        <f>IF(A213&gt;0,'SOUTH Wells'!K215,"")</f>
        <v/>
      </c>
      <c r="F213" s="15"/>
      <c r="G213" s="114" t="str">
        <f t="shared" si="11"/>
        <v/>
      </c>
    </row>
    <row r="214" spans="1:7" ht="18.75" customHeight="1" x14ac:dyDescent="0.25">
      <c r="A214" s="117"/>
      <c r="B214" s="128" t="str">
        <f>IF(A214&gt;0,'SOUTH Wells'!B216,"")</f>
        <v/>
      </c>
      <c r="C214" s="124" t="str">
        <f>IF(A214&gt;0,'SOUTH Wells'!C216,"")</f>
        <v/>
      </c>
      <c r="D214" s="112" t="str">
        <f>IF(A214&gt;0,'SOUTH Wells'!E216,"")</f>
        <v/>
      </c>
      <c r="E214" s="113" t="str">
        <f>IF(A214&gt;0,'SOUTH Wells'!K216,"")</f>
        <v/>
      </c>
      <c r="F214" s="15"/>
      <c r="G214" s="114" t="str">
        <f t="shared" si="11"/>
        <v/>
      </c>
    </row>
    <row r="215" spans="1:7" ht="18.75" customHeight="1" x14ac:dyDescent="0.25">
      <c r="A215" s="117"/>
      <c r="B215" s="128" t="str">
        <f>IF(A215&gt;0,'SOUTH Wells'!B217,"")</f>
        <v/>
      </c>
      <c r="C215" s="124" t="str">
        <f>IF(A215&gt;0,'SOUTH Wells'!C217,"")</f>
        <v/>
      </c>
      <c r="D215" s="112" t="str">
        <f>IF(A215&gt;0,'SOUTH Wells'!E217,"")</f>
        <v/>
      </c>
      <c r="E215" s="113" t="str">
        <f>IF(A215&gt;0,'SOUTH Wells'!K217,"")</f>
        <v/>
      </c>
      <c r="F215" s="15"/>
      <c r="G215" s="114" t="str">
        <f t="shared" si="11"/>
        <v/>
      </c>
    </row>
    <row r="216" spans="1:7" ht="18.75" customHeight="1" thickBot="1" x14ac:dyDescent="0.3">
      <c r="A216" s="118"/>
      <c r="B216" s="128" t="str">
        <f>IF(A216&gt;0,'SOUTH Wells'!B218,"")</f>
        <v/>
      </c>
      <c r="C216" s="124" t="str">
        <f>IF(A216&gt;0,'SOUTH Wells'!C218,"")</f>
        <v/>
      </c>
      <c r="D216" s="112" t="str">
        <f>IF(A216&gt;0,'SOUTH Wells'!E218,"")</f>
        <v/>
      </c>
      <c r="E216" s="113" t="str">
        <f>IF(A216&gt;0,'SOUTH Wells'!K218,"")</f>
        <v/>
      </c>
      <c r="F216" s="119" t="str">
        <f t="shared" ref="F216" si="12">IF(E216="","",F215-E216)</f>
        <v/>
      </c>
      <c r="G216" s="114" t="str">
        <f t="shared" si="11"/>
        <v/>
      </c>
    </row>
  </sheetData>
  <mergeCells count="11">
    <mergeCell ref="F5:G5"/>
    <mergeCell ref="A4:A5"/>
    <mergeCell ref="A3:B3"/>
    <mergeCell ref="A2:B2"/>
    <mergeCell ref="C2:G2"/>
    <mergeCell ref="C3:G3"/>
    <mergeCell ref="B4:C4"/>
    <mergeCell ref="B5:C5"/>
    <mergeCell ref="D4:E4"/>
    <mergeCell ref="D5:E5"/>
    <mergeCell ref="F4:G4"/>
  </mergeCells>
  <conditionalFormatting sqref="F7:G216">
    <cfRule type="cellIs" dxfId="0" priority="3" stopIfTrue="1" operator="equal">
      <formula>0</formula>
    </cfRule>
  </conditionalFormatting>
  <printOptions horizontalCentered="1" verticalCentere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SOUTH Wells</vt:lpstr>
      <vt:lpstr>Covering Letter South </vt:lpstr>
      <vt:lpstr>Print </vt:lpstr>
      <vt:lpstr>'Print '!Print_Area</vt:lpstr>
      <vt:lpstr>'Print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 Bukhari/Sr. Chemist/DS/OGDCL</dc:creator>
  <cp:lastModifiedBy>Fazal Rahim/Chief Mud Engineer/PetroServ/OGDCL</cp:lastModifiedBy>
  <cp:lastPrinted>2026-09-28T05:59:13Z</cp:lastPrinted>
  <dcterms:created xsi:type="dcterms:W3CDTF">2026-09-21T07:33:22Z</dcterms:created>
  <dcterms:modified xsi:type="dcterms:W3CDTF">2026-10-01T09:43:57Z</dcterms:modified>
</cp:coreProperties>
</file>