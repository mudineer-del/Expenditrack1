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nditrack Project\Invoices\Cementation\"/>
    </mc:Choice>
  </mc:AlternateContent>
  <xr:revisionPtr revIDLastSave="0" documentId="13_ncr:1_{A44EF2EF-038B-4B3F-BD6B-C62939C8ADE5}" xr6:coauthVersionLast="47" xr6:coauthVersionMax="47" xr10:uidLastSave="{00000000-0000-0000-0000-000000000000}"/>
  <workbookProtection lockStructure="1"/>
  <bookViews>
    <workbookView xWindow="-110" yWindow="-110" windowWidth="19420" windowHeight="11500" firstSheet="2" activeTab="2" xr2:uid="{00000000-000D-0000-FFFF-FFFF00000000}"/>
  </bookViews>
  <sheets>
    <sheet name="2 (6)" sheetId="20" r:id="rId1"/>
    <sheet name="2 (4)" sheetId="18" r:id="rId2"/>
    <sheet name="SOUTH wells" sheetId="11" r:id="rId3"/>
    <sheet name="Covering Letter  South " sheetId="24" r:id="rId4"/>
    <sheet name="NORTH Wells" sheetId="21" state="hidden" r:id="rId5"/>
    <sheet name="COVERING LETTER NORTH " sheetId="22" state="hidden" r:id="rId6"/>
  </sheets>
  <functionGroups builtInGroupCount="19"/>
  <definedNames>
    <definedName name="_xlnm._FilterDatabase" localSheetId="2" hidden="1">'SOUTH wells'!$A$8:$H$199</definedName>
    <definedName name="_xlnm.Print_Area" localSheetId="3">'Covering Letter  South '!$B$1:$J$30</definedName>
    <definedName name="_xlnm.Print_Area" localSheetId="5">'COVERING LETTER NORTH '!$B$1:$J$28</definedName>
    <definedName name="_xlnm.Print_Area" localSheetId="4">'NORTH Wells'!$A$1:$G$128</definedName>
    <definedName name="_xlnm.Print_Area" localSheetId="2">'SOUTH wells'!$A$9:$G$421</definedName>
    <definedName name="_xlnm.Print_Titles" localSheetId="4">'NORTH Wells'!$1:$8</definedName>
    <definedName name="_xlnm.Print_Titles" localSheetId="2">'SOUTH wells'!$1:$8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22" l="1"/>
  <c r="B23" i="22"/>
  <c r="B19" i="22"/>
  <c r="B12" i="22"/>
  <c r="J11" i="22"/>
  <c r="J10" i="22"/>
  <c r="J9" i="22"/>
  <c r="J8" i="22"/>
  <c r="B7" i="22"/>
  <c r="O5" i="22"/>
  <c r="C6" i="22" s="1"/>
  <c r="B5" i="22"/>
  <c r="O4" i="22"/>
  <c r="H4" i="22" s="1"/>
  <c r="O3" i="22"/>
  <c r="D2" i="22" s="1"/>
  <c r="B2" i="22"/>
  <c r="B1" i="22"/>
  <c r="G400" i="21"/>
  <c r="F400" i="21"/>
  <c r="G399" i="21"/>
  <c r="F399" i="21"/>
  <c r="G398" i="21"/>
  <c r="F398" i="21"/>
  <c r="G397" i="21"/>
  <c r="F397" i="21"/>
  <c r="G396" i="21"/>
  <c r="F396" i="21"/>
  <c r="G395" i="21"/>
  <c r="F395" i="21"/>
  <c r="G394" i="21"/>
  <c r="F394" i="21"/>
  <c r="G393" i="21"/>
  <c r="F393" i="21"/>
  <c r="G392" i="21"/>
  <c r="F392" i="21"/>
  <c r="G391" i="21"/>
  <c r="F391" i="21"/>
  <c r="G390" i="21"/>
  <c r="F390" i="21"/>
  <c r="G389" i="21"/>
  <c r="F389" i="21"/>
  <c r="G388" i="21"/>
  <c r="F388" i="21"/>
  <c r="G387" i="21"/>
  <c r="F387" i="21"/>
  <c r="G386" i="21"/>
  <c r="F386" i="21"/>
  <c r="G385" i="21"/>
  <c r="F385" i="21"/>
  <c r="G384" i="21"/>
  <c r="F384" i="21"/>
  <c r="G383" i="21"/>
  <c r="F383" i="21"/>
  <c r="G382" i="21"/>
  <c r="F382" i="21"/>
  <c r="G381" i="21"/>
  <c r="F381" i="21"/>
  <c r="G380" i="21"/>
  <c r="F380" i="21"/>
  <c r="G379" i="21"/>
  <c r="F379" i="21"/>
  <c r="G378" i="21"/>
  <c r="F378" i="21"/>
  <c r="G377" i="21"/>
  <c r="F377" i="21"/>
  <c r="G376" i="21"/>
  <c r="F376" i="21"/>
  <c r="G375" i="21"/>
  <c r="F375" i="21"/>
  <c r="G374" i="21"/>
  <c r="F374" i="21"/>
  <c r="G373" i="21"/>
  <c r="F373" i="21"/>
  <c r="G372" i="21"/>
  <c r="F372" i="21"/>
  <c r="G371" i="21"/>
  <c r="F371" i="21"/>
  <c r="G370" i="21"/>
  <c r="F370" i="21"/>
  <c r="G369" i="21"/>
  <c r="F369" i="21"/>
  <c r="G368" i="21"/>
  <c r="F368" i="21"/>
  <c r="G367" i="21"/>
  <c r="F367" i="21"/>
  <c r="G366" i="21"/>
  <c r="F366" i="21"/>
  <c r="G365" i="21"/>
  <c r="F365" i="21"/>
  <c r="G364" i="21"/>
  <c r="F364" i="21"/>
  <c r="G363" i="21"/>
  <c r="F363" i="21"/>
  <c r="G362" i="21"/>
  <c r="F362" i="21"/>
  <c r="G361" i="21"/>
  <c r="F361" i="21"/>
  <c r="G360" i="21"/>
  <c r="F360" i="21"/>
  <c r="G359" i="21"/>
  <c r="F359" i="21"/>
  <c r="G358" i="21"/>
  <c r="F358" i="21"/>
  <c r="G357" i="21"/>
  <c r="F357" i="21"/>
  <c r="G356" i="21"/>
  <c r="F356" i="21"/>
  <c r="G355" i="21"/>
  <c r="F355" i="21"/>
  <c r="G354" i="21"/>
  <c r="F354" i="21"/>
  <c r="G353" i="21"/>
  <c r="F353" i="21"/>
  <c r="G352" i="21"/>
  <c r="F352" i="21"/>
  <c r="G351" i="21"/>
  <c r="F351" i="21"/>
  <c r="G350" i="21"/>
  <c r="F350" i="21"/>
  <c r="G349" i="21"/>
  <c r="F349" i="21"/>
  <c r="G348" i="21"/>
  <c r="F348" i="21"/>
  <c r="G347" i="21"/>
  <c r="F347" i="21"/>
  <c r="G346" i="21"/>
  <c r="F346" i="21"/>
  <c r="G345" i="21"/>
  <c r="F345" i="21"/>
  <c r="G344" i="21"/>
  <c r="F344" i="21"/>
  <c r="G343" i="21"/>
  <c r="F343" i="21"/>
  <c r="G342" i="21"/>
  <c r="F342" i="21"/>
  <c r="G341" i="21"/>
  <c r="F341" i="21"/>
  <c r="G340" i="21"/>
  <c r="F340" i="21"/>
  <c r="G339" i="21"/>
  <c r="F339" i="21"/>
  <c r="G338" i="21"/>
  <c r="F338" i="21"/>
  <c r="G337" i="21"/>
  <c r="F337" i="21"/>
  <c r="G336" i="21"/>
  <c r="F336" i="21"/>
  <c r="G335" i="21"/>
  <c r="F335" i="21"/>
  <c r="G334" i="21"/>
  <c r="F334" i="21"/>
  <c r="G333" i="21"/>
  <c r="F333" i="21"/>
  <c r="G332" i="21"/>
  <c r="F332" i="21"/>
  <c r="G331" i="21"/>
  <c r="F331" i="21"/>
  <c r="G330" i="21"/>
  <c r="F330" i="21"/>
  <c r="G329" i="21"/>
  <c r="F329" i="21"/>
  <c r="G328" i="21"/>
  <c r="F328" i="21"/>
  <c r="G327" i="21"/>
  <c r="F327" i="21"/>
  <c r="G326" i="21"/>
  <c r="F326" i="21"/>
  <c r="G325" i="21"/>
  <c r="F325" i="21"/>
  <c r="G324" i="21"/>
  <c r="F324" i="21"/>
  <c r="G323" i="21"/>
  <c r="F323" i="21"/>
  <c r="G322" i="21"/>
  <c r="F322" i="21"/>
  <c r="G321" i="21"/>
  <c r="F321" i="21"/>
  <c r="G320" i="21"/>
  <c r="F320" i="21"/>
  <c r="G319" i="21"/>
  <c r="F319" i="21"/>
  <c r="G318" i="21"/>
  <c r="F318" i="21"/>
  <c r="G317" i="21"/>
  <c r="F317" i="21"/>
  <c r="G316" i="21"/>
  <c r="F316" i="21"/>
  <c r="G315" i="21"/>
  <c r="F315" i="21"/>
  <c r="G314" i="21"/>
  <c r="F314" i="21"/>
  <c r="G313" i="21"/>
  <c r="F313" i="21"/>
  <c r="G312" i="21"/>
  <c r="F312" i="21"/>
  <c r="G311" i="21"/>
  <c r="F311" i="21"/>
  <c r="G310" i="21"/>
  <c r="F310" i="21"/>
  <c r="G309" i="21"/>
  <c r="F309" i="21"/>
  <c r="G308" i="21"/>
  <c r="F308" i="21"/>
  <c r="G307" i="21"/>
  <c r="F307" i="21"/>
  <c r="G306" i="21"/>
  <c r="F306" i="21"/>
  <c r="G305" i="21"/>
  <c r="F305" i="21"/>
  <c r="G304" i="21"/>
  <c r="F304" i="21"/>
  <c r="G303" i="21"/>
  <c r="F303" i="21"/>
  <c r="G302" i="21"/>
  <c r="F302" i="21"/>
  <c r="G301" i="21"/>
  <c r="F301" i="21"/>
  <c r="G300" i="21"/>
  <c r="F300" i="21"/>
  <c r="G299" i="21"/>
  <c r="F299" i="21"/>
  <c r="G298" i="21"/>
  <c r="F298" i="21"/>
  <c r="G297" i="21"/>
  <c r="F297" i="21"/>
  <c r="G296" i="21"/>
  <c r="F296" i="21"/>
  <c r="G295" i="21"/>
  <c r="F295" i="21"/>
  <c r="G294" i="21"/>
  <c r="F294" i="21"/>
  <c r="G293" i="21"/>
  <c r="F293" i="21"/>
  <c r="G292" i="21"/>
  <c r="F292" i="21"/>
  <c r="G291" i="21"/>
  <c r="F291" i="21"/>
  <c r="G290" i="21"/>
  <c r="F290" i="21"/>
  <c r="G289" i="21"/>
  <c r="F289" i="21"/>
  <c r="G288" i="21"/>
  <c r="F288" i="21"/>
  <c r="G287" i="21"/>
  <c r="F287" i="21"/>
  <c r="G286" i="21"/>
  <c r="F286" i="21"/>
  <c r="G285" i="21"/>
  <c r="F285" i="21"/>
  <c r="G284" i="21"/>
  <c r="F284" i="21"/>
  <c r="G283" i="21"/>
  <c r="F283" i="21"/>
  <c r="G282" i="21"/>
  <c r="F282" i="21"/>
  <c r="G281" i="21"/>
  <c r="F281" i="21"/>
  <c r="G280" i="21"/>
  <c r="F280" i="21"/>
  <c r="G279" i="21"/>
  <c r="F279" i="21"/>
  <c r="G278" i="21"/>
  <c r="F278" i="21"/>
  <c r="G277" i="21"/>
  <c r="F277" i="21"/>
  <c r="G276" i="21"/>
  <c r="F276" i="21"/>
  <c r="G275" i="21"/>
  <c r="F275" i="21"/>
  <c r="G274" i="21"/>
  <c r="F274" i="21"/>
  <c r="G273" i="21"/>
  <c r="F273" i="21"/>
  <c r="G272" i="21"/>
  <c r="F272" i="21"/>
  <c r="G271" i="21"/>
  <c r="F271" i="21"/>
  <c r="G270" i="21"/>
  <c r="F270" i="21"/>
  <c r="G269" i="21"/>
  <c r="F269" i="21"/>
  <c r="G268" i="21"/>
  <c r="F268" i="21"/>
  <c r="G267" i="21"/>
  <c r="F267" i="21"/>
  <c r="G266" i="21"/>
  <c r="F266" i="21"/>
  <c r="G265" i="21"/>
  <c r="F265" i="21"/>
  <c r="G264" i="21"/>
  <c r="F264" i="21"/>
  <c r="G263" i="21"/>
  <c r="F263" i="21"/>
  <c r="G262" i="21"/>
  <c r="F262" i="21"/>
  <c r="G261" i="21"/>
  <c r="F261" i="21"/>
  <c r="G260" i="21"/>
  <c r="F260" i="21"/>
  <c r="G259" i="21"/>
  <c r="F259" i="21"/>
  <c r="G258" i="21"/>
  <c r="F258" i="21"/>
  <c r="G257" i="21"/>
  <c r="F257" i="21"/>
  <c r="G256" i="21"/>
  <c r="F256" i="21"/>
  <c r="G255" i="21"/>
  <c r="F255" i="21"/>
  <c r="G254" i="21"/>
  <c r="F254" i="21"/>
  <c r="G253" i="21"/>
  <c r="F253" i="21"/>
  <c r="G252" i="21"/>
  <c r="F252" i="21"/>
  <c r="G251" i="21"/>
  <c r="F251" i="21"/>
  <c r="G250" i="21"/>
  <c r="F250" i="21"/>
  <c r="G249" i="21"/>
  <c r="F249" i="21"/>
  <c r="G248" i="21"/>
  <c r="F248" i="21"/>
  <c r="G247" i="21"/>
  <c r="F247" i="21"/>
  <c r="G246" i="21"/>
  <c r="F246" i="21"/>
  <c r="G245" i="21"/>
  <c r="F245" i="21"/>
  <c r="G244" i="21"/>
  <c r="F244" i="21"/>
  <c r="G243" i="21"/>
  <c r="F243" i="21"/>
  <c r="G242" i="21"/>
  <c r="F242" i="21"/>
  <c r="G241" i="21"/>
  <c r="F241" i="21"/>
  <c r="G240" i="21"/>
  <c r="F240" i="21"/>
  <c r="G239" i="21"/>
  <c r="F239" i="21"/>
  <c r="G238" i="21"/>
  <c r="F238" i="21"/>
  <c r="G237" i="21"/>
  <c r="F237" i="21"/>
  <c r="G236" i="21"/>
  <c r="F236" i="21"/>
  <c r="G235" i="21"/>
  <c r="F235" i="21"/>
  <c r="G234" i="21"/>
  <c r="F234" i="21"/>
  <c r="G233" i="21"/>
  <c r="F233" i="21"/>
  <c r="G232" i="21"/>
  <c r="F232" i="21"/>
  <c r="G231" i="21"/>
  <c r="F231" i="21"/>
  <c r="G230" i="21"/>
  <c r="F230" i="21"/>
  <c r="G229" i="21"/>
  <c r="F229" i="21"/>
  <c r="G228" i="21"/>
  <c r="F228" i="21"/>
  <c r="G227" i="21"/>
  <c r="F227" i="21"/>
  <c r="G226" i="21"/>
  <c r="F226" i="21"/>
  <c r="G225" i="21"/>
  <c r="F225" i="21"/>
  <c r="G224" i="21"/>
  <c r="F224" i="21"/>
  <c r="G223" i="21"/>
  <c r="F223" i="21"/>
  <c r="G222" i="21"/>
  <c r="F222" i="21"/>
  <c r="G221" i="21"/>
  <c r="F221" i="21"/>
  <c r="G220" i="21"/>
  <c r="F220" i="21"/>
  <c r="G219" i="21"/>
  <c r="F219" i="21"/>
  <c r="G218" i="21"/>
  <c r="F218" i="21"/>
  <c r="G217" i="21"/>
  <c r="F217" i="21"/>
  <c r="G216" i="21"/>
  <c r="F216" i="21"/>
  <c r="G215" i="21"/>
  <c r="F215" i="21"/>
  <c r="G214" i="21"/>
  <c r="F214" i="21"/>
  <c r="G213" i="21"/>
  <c r="F213" i="21"/>
  <c r="G212" i="21"/>
  <c r="F212" i="21"/>
  <c r="G211" i="21"/>
  <c r="F211" i="21"/>
  <c r="G210" i="21"/>
  <c r="F210" i="21"/>
  <c r="G209" i="21"/>
  <c r="F209" i="21"/>
  <c r="G208" i="21"/>
  <c r="F208" i="21"/>
  <c r="G207" i="21"/>
  <c r="F207" i="21"/>
  <c r="G206" i="21"/>
  <c r="F206" i="21"/>
  <c r="G205" i="21"/>
  <c r="F205" i="21"/>
  <c r="G204" i="21"/>
  <c r="F204" i="21"/>
  <c r="G203" i="21"/>
  <c r="F203" i="21"/>
  <c r="G202" i="21"/>
  <c r="F202" i="21"/>
  <c r="G201" i="21"/>
  <c r="F201" i="21"/>
  <c r="G200" i="21"/>
  <c r="F200" i="21"/>
  <c r="G199" i="21"/>
  <c r="F199" i="21"/>
  <c r="G198" i="21"/>
  <c r="F198" i="21"/>
  <c r="G197" i="21"/>
  <c r="F197" i="21"/>
  <c r="G196" i="21"/>
  <c r="F196" i="21"/>
  <c r="G195" i="21"/>
  <c r="F195" i="21"/>
  <c r="G194" i="21"/>
  <c r="F194" i="21"/>
  <c r="G193" i="21"/>
  <c r="F193" i="21"/>
  <c r="G192" i="21"/>
  <c r="F192" i="21"/>
  <c r="G191" i="21"/>
  <c r="F191" i="21"/>
  <c r="G190" i="21"/>
  <c r="F190" i="21"/>
  <c r="G189" i="21"/>
  <c r="F189" i="21"/>
  <c r="G188" i="21"/>
  <c r="F188" i="21"/>
  <c r="G187" i="21"/>
  <c r="F187" i="21"/>
  <c r="G186" i="21"/>
  <c r="F186" i="21"/>
  <c r="G185" i="21"/>
  <c r="F185" i="21"/>
  <c r="G184" i="21"/>
  <c r="F184" i="21"/>
  <c r="G183" i="21"/>
  <c r="F183" i="21"/>
  <c r="G182" i="21"/>
  <c r="F182" i="21"/>
  <c r="G181" i="21"/>
  <c r="F181" i="21"/>
  <c r="G180" i="21"/>
  <c r="F180" i="21"/>
  <c r="G179" i="21"/>
  <c r="F179" i="21"/>
  <c r="G178" i="21"/>
  <c r="F178" i="21"/>
  <c r="G177" i="21"/>
  <c r="F177" i="21"/>
  <c r="G176" i="21"/>
  <c r="F176" i="21"/>
  <c r="G175" i="21"/>
  <c r="F175" i="21"/>
  <c r="G174" i="21"/>
  <c r="F174" i="21"/>
  <c r="G173" i="21"/>
  <c r="F173" i="21"/>
  <c r="G172" i="21"/>
  <c r="F172" i="21"/>
  <c r="G171" i="21"/>
  <c r="F171" i="21"/>
  <c r="G170" i="21"/>
  <c r="F170" i="21"/>
  <c r="G169" i="21"/>
  <c r="F169" i="21"/>
  <c r="G168" i="21"/>
  <c r="F168" i="21"/>
  <c r="G167" i="21"/>
  <c r="F167" i="21"/>
  <c r="G166" i="21"/>
  <c r="F166" i="21"/>
  <c r="G165" i="21"/>
  <c r="F165" i="21"/>
  <c r="G164" i="21"/>
  <c r="F164" i="21"/>
  <c r="G163" i="21"/>
  <c r="F163" i="21"/>
  <c r="G162" i="21"/>
  <c r="F162" i="21"/>
  <c r="G161" i="21"/>
  <c r="F161" i="21"/>
  <c r="G160" i="21"/>
  <c r="F160" i="21"/>
  <c r="G159" i="21"/>
  <c r="F159" i="21"/>
  <c r="G158" i="21"/>
  <c r="F158" i="21"/>
  <c r="G157" i="21"/>
  <c r="F157" i="21"/>
  <c r="G156" i="21"/>
  <c r="F156" i="21"/>
  <c r="G155" i="21"/>
  <c r="F155" i="21"/>
  <c r="G154" i="21"/>
  <c r="F154" i="21"/>
  <c r="G153" i="21"/>
  <c r="F153" i="21"/>
  <c r="G152" i="21"/>
  <c r="F152" i="21"/>
  <c r="G151" i="21"/>
  <c r="F151" i="21"/>
  <c r="G150" i="21"/>
  <c r="F150" i="21"/>
  <c r="G149" i="21"/>
  <c r="F149" i="21"/>
  <c r="G148" i="21"/>
  <c r="F148" i="21"/>
  <c r="G147" i="21"/>
  <c r="F147" i="21"/>
  <c r="G146" i="21"/>
  <c r="F146" i="21"/>
  <c r="G145" i="21"/>
  <c r="F145" i="21"/>
  <c r="G144" i="21"/>
  <c r="F144" i="21"/>
  <c r="G143" i="21"/>
  <c r="F143" i="21"/>
  <c r="G142" i="21"/>
  <c r="F142" i="21"/>
  <c r="G141" i="21"/>
  <c r="F141" i="21"/>
  <c r="G140" i="21"/>
  <c r="F140" i="21"/>
  <c r="G139" i="21"/>
  <c r="F139" i="21"/>
  <c r="G138" i="21"/>
  <c r="F138" i="21"/>
  <c r="G137" i="21"/>
  <c r="F137" i="21"/>
  <c r="G136" i="21"/>
  <c r="F136" i="21"/>
  <c r="G135" i="21"/>
  <c r="F135" i="21"/>
  <c r="G134" i="21"/>
  <c r="F134" i="21"/>
  <c r="G133" i="21"/>
  <c r="F133" i="21"/>
  <c r="G132" i="21"/>
  <c r="F132" i="21"/>
  <c r="G131" i="21"/>
  <c r="F131" i="21"/>
  <c r="G130" i="21"/>
  <c r="F130" i="21"/>
  <c r="G129" i="21"/>
  <c r="F129" i="21"/>
  <c r="G128" i="21"/>
  <c r="F128" i="21"/>
  <c r="G127" i="21"/>
  <c r="F127" i="21"/>
  <c r="G126" i="21"/>
  <c r="F126" i="21"/>
  <c r="G125" i="21"/>
  <c r="F125" i="21"/>
  <c r="G124" i="21"/>
  <c r="F124" i="21"/>
  <c r="G123" i="21"/>
  <c r="F123" i="21"/>
  <c r="G122" i="21"/>
  <c r="F122" i="21"/>
  <c r="G121" i="21"/>
  <c r="F121" i="21"/>
  <c r="G120" i="21"/>
  <c r="F120" i="21"/>
  <c r="G119" i="21"/>
  <c r="F119" i="21"/>
  <c r="G118" i="21"/>
  <c r="F118" i="21"/>
  <c r="G117" i="21"/>
  <c r="F117" i="21"/>
  <c r="G116" i="21"/>
  <c r="F116" i="21"/>
  <c r="G115" i="21"/>
  <c r="F115" i="21"/>
  <c r="G114" i="21"/>
  <c r="F114" i="21"/>
  <c r="G113" i="21"/>
  <c r="F113" i="21"/>
  <c r="G112" i="21"/>
  <c r="F112" i="21"/>
  <c r="G111" i="21"/>
  <c r="F111" i="21"/>
  <c r="G110" i="21"/>
  <c r="F110" i="21"/>
  <c r="G109" i="21"/>
  <c r="F109" i="21"/>
  <c r="G108" i="21"/>
  <c r="F108" i="21"/>
  <c r="G107" i="21"/>
  <c r="F107" i="21"/>
  <c r="G106" i="21"/>
  <c r="F106" i="21"/>
  <c r="G105" i="21"/>
  <c r="F105" i="21"/>
  <c r="G104" i="21"/>
  <c r="F104" i="21"/>
  <c r="G103" i="21"/>
  <c r="F103" i="21"/>
  <c r="G102" i="21"/>
  <c r="F102" i="21"/>
  <c r="G101" i="21"/>
  <c r="F101" i="21"/>
  <c r="G100" i="21"/>
  <c r="F100" i="21"/>
  <c r="G99" i="21"/>
  <c r="F99" i="21"/>
  <c r="G98" i="21"/>
  <c r="F98" i="21"/>
  <c r="G97" i="21"/>
  <c r="F97" i="21"/>
  <c r="G96" i="21"/>
  <c r="F96" i="21"/>
  <c r="G95" i="21"/>
  <c r="F95" i="21"/>
  <c r="G94" i="21"/>
  <c r="F94" i="21"/>
  <c r="G93" i="21"/>
  <c r="F93" i="21"/>
  <c r="G92" i="21"/>
  <c r="F92" i="21"/>
  <c r="G91" i="21"/>
  <c r="F91" i="21"/>
  <c r="G90" i="21"/>
  <c r="F90" i="21"/>
  <c r="G89" i="21"/>
  <c r="F89" i="21"/>
  <c r="G88" i="21"/>
  <c r="F88" i="21"/>
  <c r="G87" i="21"/>
  <c r="F87" i="21"/>
  <c r="G86" i="21"/>
  <c r="F86" i="21"/>
  <c r="G85" i="21"/>
  <c r="F85" i="21"/>
  <c r="G84" i="21"/>
  <c r="F84" i="21"/>
  <c r="G83" i="21"/>
  <c r="F83" i="21"/>
  <c r="G82" i="21"/>
  <c r="F82" i="21"/>
  <c r="G81" i="21"/>
  <c r="F81" i="21"/>
  <c r="G80" i="21"/>
  <c r="F80" i="21"/>
  <c r="G79" i="21"/>
  <c r="F79" i="21"/>
  <c r="G78" i="21"/>
  <c r="F78" i="21"/>
  <c r="G77" i="21"/>
  <c r="F77" i="21"/>
  <c r="G76" i="21"/>
  <c r="F76" i="21"/>
  <c r="G75" i="21"/>
  <c r="F75" i="21"/>
  <c r="G74" i="21"/>
  <c r="F74" i="21"/>
  <c r="G73" i="21"/>
  <c r="F73" i="21"/>
  <c r="G72" i="21"/>
  <c r="F72" i="21"/>
  <c r="G71" i="21"/>
  <c r="F71" i="21"/>
  <c r="G70" i="21"/>
  <c r="F70" i="21"/>
  <c r="G69" i="21"/>
  <c r="F69" i="21"/>
  <c r="G68" i="21"/>
  <c r="F68" i="21"/>
  <c r="G67" i="21"/>
  <c r="F67" i="21"/>
  <c r="G66" i="21"/>
  <c r="F66" i="21"/>
  <c r="G65" i="21"/>
  <c r="F65" i="21"/>
  <c r="G64" i="21"/>
  <c r="F64" i="21"/>
  <c r="G63" i="21"/>
  <c r="F63" i="21"/>
  <c r="G62" i="21"/>
  <c r="F62" i="21"/>
  <c r="G61" i="21"/>
  <c r="F61" i="21"/>
  <c r="G60" i="21"/>
  <c r="F60" i="21"/>
  <c r="G59" i="21"/>
  <c r="F59" i="21"/>
  <c r="G58" i="21"/>
  <c r="F58" i="21"/>
  <c r="G57" i="21"/>
  <c r="F57" i="21"/>
  <c r="G56" i="21"/>
  <c r="F56" i="21"/>
  <c r="G55" i="21"/>
  <c r="F55" i="21"/>
  <c r="G54" i="21"/>
  <c r="F54" i="21"/>
  <c r="G53" i="21"/>
  <c r="F53" i="21"/>
  <c r="G52" i="21"/>
  <c r="F52" i="21"/>
  <c r="G51" i="21"/>
  <c r="F51" i="21"/>
  <c r="G50" i="21"/>
  <c r="F50" i="21"/>
  <c r="G49" i="21"/>
  <c r="F49" i="21"/>
  <c r="G48" i="21"/>
  <c r="F48" i="21"/>
  <c r="G47" i="21"/>
  <c r="F47" i="21"/>
  <c r="G46" i="21"/>
  <c r="F46" i="21"/>
  <c r="G45" i="21"/>
  <c r="F45" i="21"/>
  <c r="G44" i="21"/>
  <c r="F44" i="21"/>
  <c r="G43" i="21"/>
  <c r="F43" i="21"/>
  <c r="G42" i="21"/>
  <c r="F42" i="21"/>
  <c r="G41" i="21"/>
  <c r="F41" i="21"/>
  <c r="G40" i="21"/>
  <c r="F40" i="21"/>
  <c r="G39" i="21"/>
  <c r="F39" i="21"/>
  <c r="G38" i="21"/>
  <c r="F38" i="21"/>
  <c r="G37" i="21"/>
  <c r="F37" i="21"/>
  <c r="G36" i="21"/>
  <c r="F36" i="21"/>
  <c r="G35" i="21"/>
  <c r="F35" i="21"/>
  <c r="G34" i="21"/>
  <c r="F34" i="21"/>
  <c r="G33" i="21"/>
  <c r="F33" i="21"/>
  <c r="G32" i="21"/>
  <c r="F32" i="21"/>
  <c r="G31" i="21"/>
  <c r="F31" i="21"/>
  <c r="G30" i="21"/>
  <c r="F30" i="21"/>
  <c r="G29" i="21"/>
  <c r="F29" i="21"/>
  <c r="G28" i="21"/>
  <c r="F28" i="21"/>
  <c r="G27" i="21"/>
  <c r="F27" i="21"/>
  <c r="G26" i="21"/>
  <c r="F26" i="21"/>
  <c r="G25" i="21"/>
  <c r="F25" i="21"/>
  <c r="G24" i="21"/>
  <c r="F24" i="21"/>
  <c r="G23" i="21"/>
  <c r="F23" i="21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F9" i="21"/>
  <c r="G7" i="21"/>
  <c r="F7" i="21"/>
  <c r="D7" i="21"/>
  <c r="O7" i="24"/>
  <c r="O4" i="24"/>
  <c r="H4" i="24" s="1"/>
  <c r="O3" i="24"/>
  <c r="D2" i="24" s="1"/>
  <c r="B1" i="24"/>
  <c r="B2" i="24" s="1"/>
  <c r="B6" i="24" s="1"/>
  <c r="B7" i="24" s="1"/>
  <c r="B12" i="24" s="1"/>
  <c r="G394" i="11"/>
  <c r="F394" i="11"/>
  <c r="G393" i="11"/>
  <c r="F393" i="11"/>
  <c r="G392" i="11"/>
  <c r="F392" i="11"/>
  <c r="G391" i="11"/>
  <c r="F391" i="11"/>
  <c r="G390" i="11"/>
  <c r="F390" i="11"/>
  <c r="G389" i="11"/>
  <c r="F389" i="11"/>
  <c r="G388" i="11"/>
  <c r="F388" i="11"/>
  <c r="G387" i="11"/>
  <c r="F387" i="11"/>
  <c r="G386" i="11"/>
  <c r="F386" i="11"/>
  <c r="G385" i="11"/>
  <c r="F385" i="11"/>
  <c r="G384" i="11"/>
  <c r="F384" i="11"/>
  <c r="G383" i="11"/>
  <c r="F383" i="11"/>
  <c r="G382" i="11"/>
  <c r="F382" i="11"/>
  <c r="G381" i="11"/>
  <c r="F381" i="11"/>
  <c r="G380" i="11"/>
  <c r="F380" i="11"/>
  <c r="G379" i="11"/>
  <c r="F379" i="11"/>
  <c r="G378" i="11"/>
  <c r="F378" i="11"/>
  <c r="G377" i="11"/>
  <c r="F377" i="11"/>
  <c r="G376" i="11"/>
  <c r="F376" i="11"/>
  <c r="G375" i="11"/>
  <c r="F375" i="11"/>
  <c r="G374" i="11"/>
  <c r="F374" i="11"/>
  <c r="G373" i="11"/>
  <c r="F373" i="11"/>
  <c r="G372" i="11"/>
  <c r="F372" i="11"/>
  <c r="G371" i="11"/>
  <c r="F371" i="11"/>
  <c r="G370" i="11"/>
  <c r="F370" i="11"/>
  <c r="G369" i="11"/>
  <c r="F369" i="11"/>
  <c r="G368" i="11"/>
  <c r="F368" i="11"/>
  <c r="G367" i="11"/>
  <c r="F367" i="11"/>
  <c r="G366" i="11"/>
  <c r="F366" i="11"/>
  <c r="G365" i="11"/>
  <c r="F365" i="11"/>
  <c r="G364" i="11"/>
  <c r="F364" i="11"/>
  <c r="G363" i="11"/>
  <c r="F363" i="11"/>
  <c r="G362" i="11"/>
  <c r="F362" i="11"/>
  <c r="G361" i="11"/>
  <c r="F361" i="11"/>
  <c r="G360" i="11"/>
  <c r="F360" i="11"/>
  <c r="G359" i="11"/>
  <c r="F359" i="11"/>
  <c r="G358" i="11"/>
  <c r="F358" i="11"/>
  <c r="G357" i="11"/>
  <c r="F357" i="11"/>
  <c r="G356" i="11"/>
  <c r="F356" i="11"/>
  <c r="G355" i="11"/>
  <c r="F355" i="11"/>
  <c r="G354" i="11"/>
  <c r="F354" i="11"/>
  <c r="G353" i="11"/>
  <c r="F353" i="11"/>
  <c r="G352" i="11"/>
  <c r="F352" i="11"/>
  <c r="G351" i="11"/>
  <c r="F351" i="11"/>
  <c r="G350" i="11"/>
  <c r="F350" i="11"/>
  <c r="G349" i="11"/>
  <c r="F349" i="11"/>
  <c r="G348" i="11"/>
  <c r="F348" i="11"/>
  <c r="G347" i="11"/>
  <c r="F347" i="11"/>
  <c r="G346" i="11"/>
  <c r="F346" i="11"/>
  <c r="G345" i="11"/>
  <c r="F345" i="11"/>
  <c r="G344" i="11"/>
  <c r="F344" i="11"/>
  <c r="G343" i="11"/>
  <c r="F343" i="11"/>
  <c r="G342" i="11"/>
  <c r="F342" i="11"/>
  <c r="G341" i="11"/>
  <c r="F341" i="11"/>
  <c r="G340" i="11"/>
  <c r="F340" i="11"/>
  <c r="G339" i="11"/>
  <c r="F339" i="11"/>
  <c r="G338" i="11"/>
  <c r="F338" i="11"/>
  <c r="G337" i="11"/>
  <c r="F337" i="11"/>
  <c r="G329" i="11"/>
  <c r="F329" i="11"/>
  <c r="G328" i="11"/>
  <c r="F328" i="11"/>
  <c r="G327" i="11"/>
  <c r="F327" i="11"/>
  <c r="G326" i="11"/>
  <c r="F326" i="11"/>
  <c r="G325" i="11"/>
  <c r="F325" i="11"/>
  <c r="G324" i="11"/>
  <c r="F324" i="11"/>
  <c r="G323" i="11"/>
  <c r="F323" i="11"/>
  <c r="G322" i="11"/>
  <c r="F322" i="11"/>
  <c r="G321" i="11"/>
  <c r="F321" i="11"/>
  <c r="G320" i="11"/>
  <c r="F320" i="11"/>
  <c r="G319" i="11"/>
  <c r="F319" i="11"/>
  <c r="G318" i="11"/>
  <c r="F318" i="11"/>
  <c r="G317" i="11"/>
  <c r="F317" i="11"/>
  <c r="G316" i="11"/>
  <c r="F316" i="11"/>
  <c r="G315" i="11"/>
  <c r="F315" i="11"/>
  <c r="G314" i="11"/>
  <c r="F314" i="11"/>
  <c r="G313" i="11"/>
  <c r="F313" i="11"/>
  <c r="G312" i="11"/>
  <c r="F312" i="11"/>
  <c r="G311" i="11"/>
  <c r="F311" i="11"/>
  <c r="G310" i="11"/>
  <c r="F310" i="11"/>
  <c r="G309" i="11"/>
  <c r="F309" i="11"/>
  <c r="G308" i="11"/>
  <c r="F308" i="11"/>
  <c r="G307" i="11"/>
  <c r="F307" i="11"/>
  <c r="G306" i="11"/>
  <c r="F306" i="11"/>
  <c r="G305" i="11"/>
  <c r="F305" i="11"/>
  <c r="G304" i="11"/>
  <c r="F304" i="11"/>
  <c r="G303" i="11"/>
  <c r="F303" i="11"/>
  <c r="G302" i="11"/>
  <c r="F302" i="11"/>
  <c r="G301" i="11"/>
  <c r="F301" i="11"/>
  <c r="G300" i="11"/>
  <c r="F300" i="11"/>
  <c r="G299" i="11"/>
  <c r="F299" i="11"/>
  <c r="G298" i="11"/>
  <c r="F298" i="11"/>
  <c r="G297" i="11"/>
  <c r="F297" i="11"/>
  <c r="G296" i="11"/>
  <c r="F296" i="11"/>
  <c r="G295" i="11"/>
  <c r="F295" i="11"/>
  <c r="G294" i="11"/>
  <c r="F294" i="11"/>
  <c r="G293" i="11"/>
  <c r="F293" i="11"/>
  <c r="G292" i="11"/>
  <c r="F292" i="11"/>
  <c r="G291" i="11"/>
  <c r="F291" i="11"/>
  <c r="G290" i="11"/>
  <c r="F290" i="11"/>
  <c r="G289" i="11"/>
  <c r="F289" i="11"/>
  <c r="G288" i="11"/>
  <c r="F288" i="11"/>
  <c r="G287" i="11"/>
  <c r="F287" i="11"/>
  <c r="G286" i="11"/>
  <c r="F286" i="11"/>
  <c r="G285" i="11"/>
  <c r="F285" i="11"/>
  <c r="G284" i="11"/>
  <c r="F284" i="11"/>
  <c r="G283" i="11"/>
  <c r="F283" i="11"/>
  <c r="G282" i="11"/>
  <c r="F282" i="11"/>
  <c r="G281" i="11"/>
  <c r="F281" i="11"/>
  <c r="G280" i="11"/>
  <c r="F280" i="11"/>
  <c r="G279" i="11"/>
  <c r="F279" i="11"/>
  <c r="G278" i="11"/>
  <c r="F278" i="11"/>
  <c r="G277" i="11"/>
  <c r="F277" i="11"/>
  <c r="G276" i="11"/>
  <c r="F276" i="11"/>
  <c r="G275" i="11"/>
  <c r="F275" i="11"/>
  <c r="G274" i="11"/>
  <c r="F274" i="11"/>
  <c r="G273" i="11"/>
  <c r="F273" i="11"/>
  <c r="G272" i="11"/>
  <c r="F272" i="11"/>
  <c r="G271" i="11"/>
  <c r="F271" i="11"/>
  <c r="G270" i="11"/>
  <c r="F270" i="11"/>
  <c r="G269" i="11"/>
  <c r="F269" i="11"/>
  <c r="G268" i="11"/>
  <c r="F268" i="11"/>
  <c r="G267" i="11"/>
  <c r="F267" i="11"/>
  <c r="G266" i="11"/>
  <c r="F266" i="11"/>
  <c r="G265" i="11"/>
  <c r="F265" i="11"/>
  <c r="G264" i="11"/>
  <c r="F264" i="11"/>
  <c r="G263" i="11"/>
  <c r="F263" i="11"/>
  <c r="G262" i="11"/>
  <c r="F262" i="11"/>
  <c r="G261" i="11"/>
  <c r="F261" i="11"/>
  <c r="G260" i="11"/>
  <c r="F260" i="11"/>
  <c r="G259" i="11"/>
  <c r="F259" i="11"/>
  <c r="G258" i="11"/>
  <c r="F258" i="11"/>
  <c r="G257" i="11"/>
  <c r="F257" i="11"/>
  <c r="G256" i="11"/>
  <c r="F256" i="11"/>
  <c r="G255" i="11"/>
  <c r="F255" i="11"/>
  <c r="G254" i="11"/>
  <c r="F254" i="11"/>
  <c r="G253" i="11"/>
  <c r="F253" i="11"/>
  <c r="G252" i="11"/>
  <c r="F252" i="11"/>
  <c r="G251" i="11"/>
  <c r="F251" i="11"/>
  <c r="G250" i="11"/>
  <c r="F250" i="11"/>
  <c r="G249" i="11"/>
  <c r="F249" i="11"/>
  <c r="G248" i="11"/>
  <c r="F248" i="11"/>
  <c r="G247" i="11"/>
  <c r="F247" i="11"/>
  <c r="G246" i="11"/>
  <c r="F246" i="11"/>
  <c r="G245" i="11"/>
  <c r="F245" i="11"/>
  <c r="G244" i="11"/>
  <c r="F244" i="11"/>
  <c r="G243" i="11"/>
  <c r="F243" i="11"/>
  <c r="G242" i="11"/>
  <c r="F242" i="11"/>
  <c r="G241" i="11"/>
  <c r="F241" i="11"/>
  <c r="G240" i="11"/>
  <c r="F240" i="11"/>
  <c r="G239" i="11"/>
  <c r="F239" i="11"/>
  <c r="G238" i="11"/>
  <c r="F238" i="11"/>
  <c r="G237" i="11"/>
  <c r="F237" i="11"/>
  <c r="G236" i="11"/>
  <c r="F236" i="11"/>
  <c r="G235" i="11"/>
  <c r="F235" i="11"/>
  <c r="G234" i="11"/>
  <c r="F234" i="11"/>
  <c r="G233" i="11"/>
  <c r="F233" i="11"/>
  <c r="G232" i="11"/>
  <c r="F232" i="11"/>
  <c r="G231" i="11"/>
  <c r="F231" i="11"/>
  <c r="G230" i="11"/>
  <c r="F230" i="11"/>
  <c r="G229" i="11"/>
  <c r="F229" i="11"/>
  <c r="G228" i="11"/>
  <c r="F228" i="11"/>
  <c r="G227" i="11"/>
  <c r="F227" i="11"/>
  <c r="G226" i="11"/>
  <c r="F226" i="11"/>
  <c r="G225" i="11"/>
  <c r="F225" i="11"/>
  <c r="G224" i="11"/>
  <c r="F224" i="11"/>
  <c r="G223" i="11"/>
  <c r="F223" i="11"/>
  <c r="G222" i="11"/>
  <c r="F222" i="11"/>
  <c r="G221" i="11"/>
  <c r="F221" i="11"/>
  <c r="G220" i="11"/>
  <c r="F220" i="11"/>
  <c r="G219" i="11"/>
  <c r="F219" i="11"/>
  <c r="G218" i="11"/>
  <c r="F218" i="11"/>
  <c r="G217" i="11"/>
  <c r="F217" i="11"/>
  <c r="G216" i="11"/>
  <c r="F216" i="11"/>
  <c r="G215" i="11"/>
  <c r="F215" i="11"/>
  <c r="G214" i="11"/>
  <c r="F214" i="11"/>
  <c r="G213" i="11"/>
  <c r="F213" i="11"/>
  <c r="G212" i="11"/>
  <c r="F212" i="11"/>
  <c r="G211" i="11"/>
  <c r="F211" i="11"/>
  <c r="G9" i="1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F7" i="1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F97" i="11" s="1"/>
  <c r="F98" i="11" s="1"/>
  <c r="F99" i="11" s="1"/>
  <c r="F100" i="11" s="1"/>
  <c r="F101" i="11" s="1"/>
  <c r="F102" i="11" s="1"/>
  <c r="F103" i="11" s="1"/>
  <c r="F104" i="11" s="1"/>
  <c r="F105" i="11" s="1"/>
  <c r="F106" i="11" s="1"/>
  <c r="F107" i="11" s="1"/>
  <c r="F108" i="11" s="1"/>
  <c r="F109" i="11" s="1"/>
  <c r="F110" i="11" s="1"/>
  <c r="F111" i="11" s="1"/>
  <c r="F112" i="11" s="1"/>
  <c r="F113" i="11" s="1"/>
  <c r="F114" i="11" s="1"/>
  <c r="F115" i="11" s="1"/>
  <c r="F116" i="11" s="1"/>
  <c r="F117" i="11" s="1"/>
  <c r="F118" i="11" s="1"/>
  <c r="F119" i="11" s="1"/>
  <c r="F120" i="11" s="1"/>
  <c r="F121" i="11" s="1"/>
  <c r="F122" i="11" s="1"/>
  <c r="F123" i="11" s="1"/>
  <c r="F124" i="11" s="1"/>
  <c r="F125" i="11" s="1"/>
  <c r="F126" i="11" s="1"/>
  <c r="F127" i="11" s="1"/>
  <c r="F128" i="11" s="1"/>
  <c r="F129" i="11" s="1"/>
  <c r="F130" i="11" s="1"/>
  <c r="F131" i="11" s="1"/>
  <c r="F132" i="11" s="1"/>
  <c r="F133" i="11" s="1"/>
  <c r="F134" i="11" s="1"/>
  <c r="F135" i="11" s="1"/>
  <c r="F136" i="11" s="1"/>
  <c r="F137" i="11" s="1"/>
  <c r="F138" i="11" s="1"/>
  <c r="F139" i="11" s="1"/>
  <c r="F140" i="11" s="1"/>
  <c r="F141" i="11" s="1"/>
  <c r="F142" i="11" s="1"/>
  <c r="F143" i="11" s="1"/>
  <c r="F144" i="11" s="1"/>
  <c r="F145" i="11" s="1"/>
  <c r="F146" i="11" s="1"/>
  <c r="F147" i="11" s="1"/>
  <c r="F148" i="11" s="1"/>
  <c r="F149" i="11" s="1"/>
  <c r="F150" i="11" s="1"/>
  <c r="F151" i="11" s="1"/>
  <c r="F152" i="11" s="1"/>
  <c r="F153" i="11" s="1"/>
  <c r="F154" i="11" s="1"/>
  <c r="F155" i="11" s="1"/>
  <c r="F156" i="11" s="1"/>
  <c r="F157" i="11" s="1"/>
  <c r="F158" i="11" s="1"/>
  <c r="F159" i="11" s="1"/>
  <c r="F160" i="11" s="1"/>
  <c r="F161" i="11" s="1"/>
  <c r="F162" i="11" s="1"/>
  <c r="F163" i="11" s="1"/>
  <c r="F164" i="11" s="1"/>
  <c r="F165" i="11" s="1"/>
  <c r="F166" i="11" s="1"/>
  <c r="F167" i="11" s="1"/>
  <c r="F168" i="11" s="1"/>
  <c r="F169" i="11" s="1"/>
  <c r="F170" i="11" s="1"/>
  <c r="F171" i="11" s="1"/>
  <c r="F172" i="11" s="1"/>
  <c r="F173" i="11" s="1"/>
  <c r="F174" i="11" s="1"/>
  <c r="F175" i="11" s="1"/>
  <c r="F176" i="11" s="1"/>
  <c r="F177" i="11" s="1"/>
  <c r="F178" i="11" s="1"/>
  <c r="F179" i="11" s="1"/>
  <c r="F180" i="11" s="1"/>
  <c r="F181" i="11" s="1"/>
  <c r="F182" i="11" s="1"/>
  <c r="F183" i="11" s="1"/>
  <c r="F184" i="11" s="1"/>
  <c r="F185" i="11" s="1"/>
  <c r="F186" i="11" s="1"/>
  <c r="F187" i="11" s="1"/>
  <c r="F188" i="11" s="1"/>
  <c r="F189" i="11" s="1"/>
  <c r="F190" i="11" s="1"/>
  <c r="F191" i="11" s="1"/>
  <c r="F192" i="11" s="1"/>
  <c r="F193" i="11" s="1"/>
  <c r="F194" i="11" s="1"/>
  <c r="F195" i="11" s="1"/>
  <c r="F196" i="11" s="1"/>
  <c r="F197" i="11" s="1"/>
  <c r="F198" i="11" s="1"/>
  <c r="F199" i="11" s="1"/>
  <c r="G38" i="18"/>
  <c r="F38" i="18"/>
  <c r="E38" i="18"/>
  <c r="G37" i="18"/>
  <c r="F37" i="18"/>
  <c r="A37" i="18"/>
  <c r="G36" i="18"/>
  <c r="F36" i="18"/>
  <c r="A36" i="18"/>
  <c r="G35" i="18"/>
  <c r="F35" i="18"/>
  <c r="A35" i="18"/>
  <c r="G34" i="18"/>
  <c r="F34" i="18"/>
  <c r="A34" i="18"/>
  <c r="G33" i="18"/>
  <c r="F33" i="18"/>
  <c r="A33" i="18"/>
  <c r="G32" i="18"/>
  <c r="F32" i="18"/>
  <c r="A32" i="18"/>
  <c r="G31" i="18"/>
  <c r="F31" i="18"/>
  <c r="A31" i="18"/>
  <c r="G30" i="18"/>
  <c r="F30" i="18"/>
  <c r="A30" i="18"/>
  <c r="G29" i="18"/>
  <c r="F29" i="18"/>
  <c r="A29" i="18"/>
  <c r="G28" i="18"/>
  <c r="F28" i="18"/>
  <c r="A28" i="18"/>
  <c r="G27" i="18"/>
  <c r="F27" i="18"/>
  <c r="A27" i="18"/>
  <c r="G26" i="18"/>
  <c r="F26" i="18"/>
  <c r="A26" i="18"/>
  <c r="G25" i="18"/>
  <c r="F25" i="18"/>
  <c r="A25" i="18"/>
  <c r="G24" i="18"/>
  <c r="F24" i="18"/>
  <c r="A24" i="18"/>
  <c r="G23" i="18"/>
  <c r="F23" i="18"/>
  <c r="A23" i="18"/>
  <c r="G22" i="18"/>
  <c r="F22" i="18"/>
  <c r="A22" i="18"/>
  <c r="G21" i="18"/>
  <c r="F21" i="18"/>
  <c r="A21" i="18"/>
  <c r="G20" i="18"/>
  <c r="F20" i="18"/>
  <c r="A20" i="18"/>
  <c r="G19" i="18"/>
  <c r="F19" i="18"/>
  <c r="A19" i="18"/>
  <c r="G18" i="18"/>
  <c r="F18" i="18"/>
  <c r="A18" i="18"/>
  <c r="G17" i="18"/>
  <c r="F17" i="18"/>
  <c r="A17" i="18"/>
  <c r="G16" i="18"/>
  <c r="F16" i="18"/>
  <c r="A16" i="18"/>
  <c r="G15" i="18"/>
  <c r="F15" i="18"/>
  <c r="A15" i="18"/>
  <c r="G14" i="18"/>
  <c r="F14" i="18"/>
  <c r="A14" i="18"/>
  <c r="G13" i="18"/>
  <c r="F13" i="18"/>
  <c r="A13" i="18"/>
  <c r="G12" i="18"/>
  <c r="F12" i="18"/>
  <c r="A12" i="18"/>
  <c r="G11" i="18"/>
  <c r="F11" i="18"/>
  <c r="A11" i="18"/>
  <c r="G10" i="18"/>
  <c r="F10" i="18"/>
  <c r="A10" i="18"/>
  <c r="G9" i="18"/>
  <c r="F9" i="18"/>
  <c r="G7" i="18"/>
  <c r="F7" i="18"/>
  <c r="D7" i="18"/>
  <c r="C7" i="18"/>
  <c r="G38" i="20"/>
  <c r="F38" i="20"/>
  <c r="E38" i="20"/>
  <c r="G37" i="20"/>
  <c r="F37" i="20"/>
  <c r="A37" i="20"/>
  <c r="G36" i="20"/>
  <c r="F36" i="20"/>
  <c r="A36" i="20"/>
  <c r="G35" i="20"/>
  <c r="F35" i="20"/>
  <c r="A35" i="20"/>
  <c r="G34" i="20"/>
  <c r="F34" i="20"/>
  <c r="A34" i="20"/>
  <c r="G33" i="20"/>
  <c r="F33" i="20"/>
  <c r="A33" i="20"/>
  <c r="G32" i="20"/>
  <c r="F32" i="20"/>
  <c r="A32" i="20"/>
  <c r="G31" i="20"/>
  <c r="F31" i="20"/>
  <c r="A31" i="20"/>
  <c r="G30" i="20"/>
  <c r="F30" i="20"/>
  <c r="A30" i="20"/>
  <c r="G29" i="20"/>
  <c r="F29" i="20"/>
  <c r="A29" i="20"/>
  <c r="G28" i="20"/>
  <c r="F28" i="20"/>
  <c r="A28" i="20"/>
  <c r="G27" i="20"/>
  <c r="F27" i="20"/>
  <c r="A27" i="20"/>
  <c r="G26" i="20"/>
  <c r="F26" i="20"/>
  <c r="A26" i="20"/>
  <c r="G25" i="20"/>
  <c r="F25" i="20"/>
  <c r="A25" i="20"/>
  <c r="G24" i="20"/>
  <c r="F24" i="20"/>
  <c r="A24" i="20"/>
  <c r="G23" i="20"/>
  <c r="F23" i="20"/>
  <c r="A23" i="20"/>
  <c r="G22" i="20"/>
  <c r="F22" i="20"/>
  <c r="A22" i="20"/>
  <c r="G21" i="20"/>
  <c r="F21" i="20"/>
  <c r="A21" i="20"/>
  <c r="G20" i="20"/>
  <c r="F20" i="20"/>
  <c r="A20" i="20"/>
  <c r="G19" i="20"/>
  <c r="F19" i="20"/>
  <c r="A19" i="20"/>
  <c r="G18" i="20"/>
  <c r="F18" i="20"/>
  <c r="A18" i="20"/>
  <c r="G17" i="20"/>
  <c r="F17" i="20"/>
  <c r="A17" i="20"/>
  <c r="G16" i="20"/>
  <c r="F16" i="20"/>
  <c r="A16" i="20"/>
  <c r="G15" i="20"/>
  <c r="F15" i="20"/>
  <c r="A15" i="20"/>
  <c r="G14" i="20"/>
  <c r="F14" i="20"/>
  <c r="A14" i="20"/>
  <c r="G13" i="20"/>
  <c r="F13" i="20"/>
  <c r="A13" i="20"/>
  <c r="G12" i="20"/>
  <c r="F12" i="20"/>
  <c r="A12" i="20"/>
  <c r="G11" i="20"/>
  <c r="F11" i="20"/>
  <c r="A11" i="20"/>
  <c r="G10" i="20"/>
  <c r="F10" i="20"/>
  <c r="A10" i="20"/>
  <c r="G9" i="20"/>
  <c r="F9" i="20"/>
  <c r="G7" i="20"/>
  <c r="F7" i="20"/>
  <c r="D7" i="20"/>
  <c r="C7" i="20"/>
  <c r="D6" i="22"/>
  <c r="G7" i="24"/>
  <c r="B20" i="24" l="1"/>
  <c r="B24" i="24" s="1"/>
  <c r="B27" i="24" s="1"/>
  <c r="B30" i="24" s="1"/>
</calcChain>
</file>

<file path=xl/sharedStrings.xml><?xml version="1.0" encoding="utf-8"?>
<sst xmlns="http://schemas.openxmlformats.org/spreadsheetml/2006/main" count="1103" uniqueCount="604">
  <si>
    <t xml:space="preserve">DETAIL OF EXPENDITURE APPROVAL </t>
  </si>
  <si>
    <t xml:space="preserve">CONTRACT NO. </t>
  </si>
  <si>
    <t>PROC-FD/CB/WS-   298-767379 /2012</t>
  </si>
  <si>
    <t>COMPANY NAME</t>
  </si>
  <si>
    <t xml:space="preserve">M/S SPRINT OIL &amp; GAS SERVICES FZC   </t>
  </si>
  <si>
    <t>Expenditure Approved</t>
  </si>
  <si>
    <t>Contract Amount</t>
  </si>
  <si>
    <t xml:space="preserve">1st Amendment </t>
  </si>
  <si>
    <t xml:space="preserve">3rd Amendment </t>
  </si>
  <si>
    <t xml:space="preserve">2nd Amendment  </t>
  </si>
  <si>
    <t xml:space="preserve">4th Amendment </t>
  </si>
  <si>
    <t>Balance:</t>
  </si>
  <si>
    <t>Comulative</t>
  </si>
  <si>
    <t>Total Approved</t>
  </si>
  <si>
    <t>SNO</t>
  </si>
  <si>
    <t>INVOICE NO.</t>
  </si>
  <si>
    <t>DATE.</t>
  </si>
  <si>
    <t xml:space="preserve">NAME OF WELL </t>
  </si>
  <si>
    <t>AMOUNT VERIFIED (USD)</t>
  </si>
  <si>
    <t>BALANCE AMOUNT (USD)</t>
  </si>
  <si>
    <t>COMMULATIVE EXPENDITURE (USD)</t>
  </si>
  <si>
    <t>CMT-PK-1013-013</t>
  </si>
  <si>
    <t>30/9/13</t>
  </si>
  <si>
    <t>QADIR PUR-50</t>
  </si>
  <si>
    <t>CMT-PK-1013-014</t>
  </si>
  <si>
    <t>ZIN DEEP-01</t>
  </si>
  <si>
    <t>CMT-PK-1013-018</t>
  </si>
  <si>
    <t>31/10/13</t>
  </si>
  <si>
    <t>CMT-PK-1113-009</t>
  </si>
  <si>
    <t>QADIR PUR-47</t>
  </si>
  <si>
    <t>CMT-PK-1113-012</t>
  </si>
  <si>
    <t>26/11/13</t>
  </si>
  <si>
    <t>CMT-PK-1213-006</t>
  </si>
  <si>
    <t>23/12/13</t>
  </si>
  <si>
    <t>ZIN SML-03</t>
  </si>
  <si>
    <t>CMT-PK-1213-008</t>
  </si>
  <si>
    <t>QADIR PUR-11</t>
  </si>
  <si>
    <t>CMT-PK-1213-009</t>
  </si>
  <si>
    <t>31/12/13</t>
  </si>
  <si>
    <t>QADIR PUR-52</t>
  </si>
  <si>
    <t>CMT-PK-1013-005</t>
  </si>
  <si>
    <t>17/9/13</t>
  </si>
  <si>
    <t>CMT-PK-1113-011</t>
  </si>
  <si>
    <t>30/11/13</t>
  </si>
  <si>
    <t>CMT-PK-1213-005</t>
  </si>
  <si>
    <t>CMT-PK-1213-007</t>
  </si>
  <si>
    <t>28/12/13</t>
  </si>
  <si>
    <t>CMT-PK-0114-001</t>
  </si>
  <si>
    <t>CMT-PK-1013-010</t>
  </si>
  <si>
    <t>24/10/13</t>
  </si>
  <si>
    <t>CMT-PK-1013-019</t>
  </si>
  <si>
    <t>18/10/13</t>
  </si>
  <si>
    <t>CMT-PK-1113-002</t>
  </si>
  <si>
    <t>CMT-PK-0114-004</t>
  </si>
  <si>
    <t>13/1/14</t>
  </si>
  <si>
    <t>CMT-PK-1013-008</t>
  </si>
  <si>
    <t>24/9/13</t>
  </si>
  <si>
    <t>CMT-PK-1113-001</t>
  </si>
  <si>
    <t>CMT-PK-0114-002</t>
  </si>
  <si>
    <t>CMT-PK-1113-005</t>
  </si>
  <si>
    <t>17/11/13</t>
  </si>
  <si>
    <t>CMT-PK-1013-012</t>
  </si>
  <si>
    <t>CMT-PK-1213-001</t>
  </si>
  <si>
    <t>13/12/13</t>
  </si>
  <si>
    <t>CMT-PK-1013-016</t>
  </si>
  <si>
    <t>CMT-PK-1113-006</t>
  </si>
  <si>
    <t>25/11/13</t>
  </si>
  <si>
    <t>CMT-PK-1113-010</t>
  </si>
  <si>
    <t>CMT-PK-1213-003</t>
  </si>
  <si>
    <t>CMT-PK-1113-016</t>
  </si>
  <si>
    <t>21/9/13</t>
  </si>
  <si>
    <t>JAKHRO W-1</t>
  </si>
  <si>
    <t>CMT-PK-1113-017</t>
  </si>
  <si>
    <r>
      <rPr>
        <b/>
        <sz val="11"/>
        <rFont val="Arial"/>
        <family val="2"/>
      </rPr>
      <t xml:space="preserve">DETAIL OF EXPENDITURE APPROVAL for </t>
    </r>
    <r>
      <rPr>
        <b/>
        <sz val="11"/>
        <color rgb="FFFF0000"/>
        <rFont val="Arial"/>
        <family val="2"/>
      </rPr>
      <t>SOUTH Wells</t>
    </r>
  </si>
  <si>
    <t>OGDCL-SCM-SERVICES-CB-CEM-265732025-4600000803-2025</t>
  </si>
  <si>
    <t>M/s Sprint Oil &amp; Gas Services FZ-Pakistan</t>
  </si>
  <si>
    <t xml:space="preserve">4th Amendment  </t>
  </si>
  <si>
    <t xml:space="preserve">5th Amendment </t>
  </si>
  <si>
    <t xml:space="preserve">6th  Amendment </t>
  </si>
  <si>
    <t>CMT-PK-0325-008</t>
  </si>
  <si>
    <t>DHAMACH-1</t>
  </si>
  <si>
    <t>Slurry &amp; Spacer Charges Squeeze Cement Plug-3</t>
  </si>
  <si>
    <t>CMT-PK-0325-009</t>
  </si>
  <si>
    <t>Slurry &amp; Spacer Charges Squeeze Cement Plug-4</t>
  </si>
  <si>
    <t>CMT-PK-0325-010</t>
  </si>
  <si>
    <t>FAAKIR-1</t>
  </si>
  <si>
    <t>Slurry &amp; Spacer Charges Loss Circulation Plug-4</t>
  </si>
  <si>
    <t>CMT-PK-0325-011</t>
  </si>
  <si>
    <t>Slurry &amp; Spacer Charges Loss Circulation Plug-8</t>
  </si>
  <si>
    <t>CMT-PK-0325-012</t>
  </si>
  <si>
    <t>Slurry &amp; Spacer Charges Loss Circulation Plug-9</t>
  </si>
  <si>
    <t>CMT-PK-0325-013</t>
  </si>
  <si>
    <t>KUNNAR-2</t>
  </si>
  <si>
    <t>Slurry &amp; Spacer Charges Squeeze Cement Plug</t>
  </si>
  <si>
    <t>CMT-PK-0325-014</t>
  </si>
  <si>
    <t>CHAK 2-2(S/T)</t>
  </si>
  <si>
    <t>Slurry &amp; Spacer Charges 7" Csg Job</t>
  </si>
  <si>
    <t>CMT-PK-0425-001</t>
  </si>
  <si>
    <t>KUNNAR-8</t>
  </si>
  <si>
    <t>Slurry &amp; Spacer Charges Squeeze Cement Plug-1</t>
  </si>
  <si>
    <t>CMT-PK-0425-002</t>
  </si>
  <si>
    <t>Slurry &amp; Spacer Charges Squeeze Cement Plug-2</t>
  </si>
  <si>
    <t>CMT-PK-0425-003</t>
  </si>
  <si>
    <t>CMT-PK-0425-004</t>
  </si>
  <si>
    <t>Slurry &amp; Spacer Charges Cement Plug</t>
  </si>
  <si>
    <t>CMT-PK-0425-006</t>
  </si>
  <si>
    <t>17-31 Jan-25</t>
  </si>
  <si>
    <t>Monthly Equipment Rental+ Crew Charges</t>
  </si>
  <si>
    <t xml:space="preserve">  Ref. para   15 /N. </t>
  </si>
  <si>
    <r>
      <rPr>
        <sz val="12"/>
        <color rgb="FFFF0000"/>
        <rFont val="Arial"/>
        <family val="2"/>
      </rPr>
      <t xml:space="preserve"> S.No</t>
    </r>
    <r>
      <rPr>
        <sz val="12"/>
        <rFont val="Arial"/>
        <family val="2"/>
      </rPr>
      <t xml:space="preserve"> of South  well </t>
    </r>
  </si>
  <si>
    <t>INSERT 1ST PARAGRAPH NO</t>
  </si>
  <si>
    <t xml:space="preserve"> The invoice No.</t>
  </si>
  <si>
    <t>has been verified in the light of terms, conditions and price list</t>
  </si>
  <si>
    <t xml:space="preserve"> of the contract No.OGDCL-SCM-SERVICES-CB-CEM-265732025-4600000803-2025</t>
  </si>
  <si>
    <t xml:space="preserve">INVOICE NO </t>
  </si>
  <si>
    <t xml:space="preserve"> with M/s Sprint Oil &amp; Gas Services for providing their services at well </t>
  </si>
  <si>
    <t>WELL NAME</t>
  </si>
  <si>
    <t xml:space="preserve">The claimed invoicing amount is US $ </t>
  </si>
  <si>
    <t xml:space="preserve">Insert Claimed amount </t>
  </si>
  <si>
    <t xml:space="preserve">The  verified  amount  is </t>
  </si>
  <si>
    <t>2 &amp; 3</t>
  </si>
  <si>
    <t xml:space="preserve">Submitted for endorsement through M I/C (DS) and onward dispatch to CA (Imports) for payment </t>
  </si>
  <si>
    <t>please.</t>
  </si>
  <si>
    <t xml:space="preserve"> </t>
  </si>
  <si>
    <t xml:space="preserve">     (Summer Nouman)</t>
  </si>
  <si>
    <t>Sr. Engr. (Cement)</t>
  </si>
  <si>
    <t>Ext:2572</t>
  </si>
  <si>
    <t>Chief Engr. (Cmt Ops.)</t>
  </si>
  <si>
    <r>
      <rPr>
        <b/>
        <sz val="11"/>
        <rFont val="Arial"/>
        <family val="2"/>
      </rPr>
      <t xml:space="preserve">DETAIL OF EXPENDITURE APPROVAL </t>
    </r>
    <r>
      <rPr>
        <b/>
        <sz val="11"/>
        <color rgb="FFFF0000"/>
        <rFont val="Arial"/>
        <family val="2"/>
      </rPr>
      <t xml:space="preserve"> for NORTH Wells</t>
    </r>
  </si>
  <si>
    <t>PROC-FD/CB/WS-299-767298 /2013</t>
  </si>
  <si>
    <t>Balance amount :</t>
  </si>
  <si>
    <t xml:space="preserve">Comulative Amount </t>
  </si>
  <si>
    <t>CMT-PK-0413-002</t>
  </si>
  <si>
    <t>28/5/13</t>
  </si>
  <si>
    <t>CNG SOUTH-2</t>
  </si>
  <si>
    <t>CMT-PK-0413-004</t>
  </si>
  <si>
    <t>RAJIAN-07</t>
  </si>
  <si>
    <t>CMT-PK-0513-001</t>
  </si>
  <si>
    <t>CMT-PK-0513-002</t>
  </si>
  <si>
    <t>KURRAM-01</t>
  </si>
  <si>
    <t>CMT-PK-0413-005</t>
  </si>
  <si>
    <t>NASHPA-04</t>
  </si>
  <si>
    <t>CMT-PK-0513-003</t>
  </si>
  <si>
    <t>CMT-PK-0413-003</t>
  </si>
  <si>
    <t>14/6/13</t>
  </si>
  <si>
    <t>CMT-PK-0513-004</t>
  </si>
  <si>
    <t>25/6/13</t>
  </si>
  <si>
    <t>CMT-PK-0513-006</t>
  </si>
  <si>
    <t>CMT-PK-0513-005</t>
  </si>
  <si>
    <t>26/6/13</t>
  </si>
  <si>
    <t>CMT-PK-0513-007</t>
  </si>
  <si>
    <t>CMT-PK-0613-001</t>
  </si>
  <si>
    <t>CMT-PK-0613-002</t>
  </si>
  <si>
    <t>SOHNIWALA-01</t>
  </si>
  <si>
    <t>CMT-PK-0613-003</t>
  </si>
  <si>
    <t>CMT-PK-0413-001</t>
  </si>
  <si>
    <t>BAHU -08</t>
  </si>
  <si>
    <t>CMT-PK-0613-006</t>
  </si>
  <si>
    <t>19/7/2013</t>
  </si>
  <si>
    <t>CMT-PK-0613-005</t>
  </si>
  <si>
    <t>26/8/2013</t>
  </si>
  <si>
    <t>CMT-PK-0713-011</t>
  </si>
  <si>
    <t>JAND-01</t>
  </si>
  <si>
    <t>CMT-PK-0713-012</t>
  </si>
  <si>
    <t>CMT-PK-0713-021</t>
  </si>
  <si>
    <t>18/9/2013</t>
  </si>
  <si>
    <t>CMT-PK-0813-015</t>
  </si>
  <si>
    <t>CMT-PK-0813-016</t>
  </si>
  <si>
    <t>CMT-PK-0913-002</t>
  </si>
  <si>
    <t>SOGHRI-01</t>
  </si>
  <si>
    <t>CMT-PK-0913-003</t>
  </si>
  <si>
    <t>CMT-PK-0913-004</t>
  </si>
  <si>
    <t>MELA-04</t>
  </si>
  <si>
    <t>CMT-PK-0913-005</t>
  </si>
  <si>
    <t>CMT-PK-1013-009</t>
  </si>
  <si>
    <t>CMT-PK-1013-017</t>
  </si>
  <si>
    <t>CMT-PK-1113-004</t>
  </si>
  <si>
    <t>RAJIAN-08</t>
  </si>
  <si>
    <t>CMT-PK-1113-007</t>
  </si>
  <si>
    <t>17/01/14</t>
  </si>
  <si>
    <t>CMT-PK-1213-004</t>
  </si>
  <si>
    <t>CMT-PK-0114-006</t>
  </si>
  <si>
    <t>CMT-PK-0114-005</t>
  </si>
  <si>
    <t>23/1/14</t>
  </si>
  <si>
    <t>RAJIAN-2</t>
  </si>
  <si>
    <t>CMT-PK-0214-004</t>
  </si>
  <si>
    <t>28/2/14</t>
  </si>
  <si>
    <t>MELA-4</t>
  </si>
  <si>
    <t>CMT-PK-0214-003</t>
  </si>
  <si>
    <t>19/2/2014</t>
  </si>
  <si>
    <t>CMT-PK-0414-001</t>
  </si>
  <si>
    <t>31/3/14</t>
  </si>
  <si>
    <t>CMT-PK-0414-012</t>
  </si>
  <si>
    <t>20/4/14</t>
  </si>
  <si>
    <t>SOGHRI-1</t>
  </si>
  <si>
    <t>CMT-PK-0414-008</t>
  </si>
  <si>
    <t>CMT-PK-0414-015</t>
  </si>
  <si>
    <t>23/4/14</t>
  </si>
  <si>
    <t>RAJIAN-8</t>
  </si>
  <si>
    <t>CMT-PK-0414-016</t>
  </si>
  <si>
    <t>CMT-PK-0414-014</t>
  </si>
  <si>
    <t>21/4/14</t>
  </si>
  <si>
    <t>JAND-1</t>
  </si>
  <si>
    <t>CMT-PK-0514-001</t>
  </si>
  <si>
    <t>30/4/14</t>
  </si>
  <si>
    <t>CMT-PK-0414-013</t>
  </si>
  <si>
    <t>CMT-PK-0614-001</t>
  </si>
  <si>
    <t>24/5/14</t>
  </si>
  <si>
    <t>CMT-PK-0614-004</t>
  </si>
  <si>
    <t>31/5/14</t>
  </si>
  <si>
    <t>CMT-PK-0614-002</t>
  </si>
  <si>
    <t>30/5/14</t>
  </si>
  <si>
    <t>CMT-PK-0714-003</t>
  </si>
  <si>
    <t>CMT-PK-0714-008</t>
  </si>
  <si>
    <t>30/6/14</t>
  </si>
  <si>
    <t>CMT-PK-0814-007</t>
  </si>
  <si>
    <t>26/7/14</t>
  </si>
  <si>
    <t>CMT-PK-0914-001</t>
  </si>
  <si>
    <t>31/7/2014</t>
  </si>
  <si>
    <t>CMT-PK-0914-002</t>
  </si>
  <si>
    <t>23/8/14</t>
  </si>
  <si>
    <t>CMT-PK-0914-008</t>
  </si>
  <si>
    <t>27/7/14</t>
  </si>
  <si>
    <t>CMT-PK-0914-017</t>
  </si>
  <si>
    <t>23/9/14</t>
  </si>
  <si>
    <t>CMT-PK-0914-018</t>
  </si>
  <si>
    <t>31/8/14</t>
  </si>
  <si>
    <t>CMT-PK-1014-003</t>
  </si>
  <si>
    <t>30/9/14</t>
  </si>
  <si>
    <t>CMT-PK-1014-009</t>
  </si>
  <si>
    <t>CMT-PK-1114-001</t>
  </si>
  <si>
    <t>30/10/14</t>
  </si>
  <si>
    <t>CMT-PK-1214-008</t>
  </si>
  <si>
    <t>13/11/14</t>
  </si>
  <si>
    <t>CMT-PK-1214-009</t>
  </si>
  <si>
    <t>30/11/14</t>
  </si>
  <si>
    <t>NASHPA-5</t>
  </si>
  <si>
    <t>CMT-PK-1214-012</t>
  </si>
  <si>
    <t>18/12/14</t>
  </si>
  <si>
    <t>CMT-PK-1214-013</t>
  </si>
  <si>
    <t>13/12/14</t>
  </si>
  <si>
    <t>DAKHNI DEEP-5</t>
  </si>
  <si>
    <t>CMT-PK-1214-007</t>
  </si>
  <si>
    <t>CMT-PK-1214-015</t>
  </si>
  <si>
    <t>31/12/2014</t>
  </si>
  <si>
    <t>CMT-PK-0115-005</t>
  </si>
  <si>
    <t>15-01-2015</t>
  </si>
  <si>
    <t>CMT-PK-0115-009</t>
  </si>
  <si>
    <t>27-01-2015</t>
  </si>
  <si>
    <t>NASHPA-6</t>
  </si>
  <si>
    <t>CMT-PK-0215-004</t>
  </si>
  <si>
    <t>CMT-PK-0215-009</t>
  </si>
  <si>
    <t>CMT-PK-0315-003</t>
  </si>
  <si>
    <t>CMT-PK-0315-004</t>
  </si>
  <si>
    <t>CMT-PK-0415-005</t>
  </si>
  <si>
    <t>CMT-PK-0415-006</t>
  </si>
  <si>
    <t xml:space="preserve">Ref. para     /N. </t>
  </si>
  <si>
    <r>
      <rPr>
        <sz val="11"/>
        <rFont val="Arial"/>
        <family val="2"/>
      </rPr>
      <t>Please in put</t>
    </r>
    <r>
      <rPr>
        <sz val="11"/>
        <color rgb="FFFF0000"/>
        <rFont val="Arial"/>
        <family val="2"/>
      </rPr>
      <t xml:space="preserve"> S.No</t>
    </r>
    <r>
      <rPr>
        <sz val="11"/>
        <rFont val="Arial"/>
        <family val="2"/>
      </rPr>
      <t xml:space="preserve"> of expenditure for north well </t>
    </r>
  </si>
  <si>
    <r>
      <rPr>
        <sz val="12"/>
        <rFont val="Arial"/>
        <family val="2"/>
      </rPr>
      <t xml:space="preserve"> of the contract No.PROC-FD/CB/WS-</t>
    </r>
    <r>
      <rPr>
        <b/>
        <sz val="12"/>
        <rFont val="Arial"/>
        <family val="2"/>
      </rPr>
      <t>0299</t>
    </r>
    <r>
      <rPr>
        <sz val="12"/>
        <rFont val="Arial"/>
        <family val="2"/>
      </rPr>
      <t>-767298/2013</t>
    </r>
  </si>
  <si>
    <t xml:space="preserve"> to  M/s Sprint  Oil  &amp;  Gas  Services for providing  their  services at well </t>
  </si>
  <si>
    <t>Kindly forward the invoice to Chief Accountant (Imports) with the request to arrange payment of  USD:</t>
  </si>
  <si>
    <t xml:space="preserve">Amount </t>
  </si>
  <si>
    <t xml:space="preserve">type  attached page no here </t>
  </si>
  <si>
    <t>The Details of documents attached below:</t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</si>
  <si>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Expenditure versus approved amount at page No:------------------------------:</t>
    </r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</si>
  <si>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Contract with expenditure approval (Amendment #  02) at page No:------:</t>
    </r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</si>
  <si>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Relevant pages of financial bid at page No:---------------------------------------:</t>
    </r>
  </si>
  <si>
    <t>4 &amp; 5</t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</si>
  <si>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Budget certificate is placed opposite:----------------------------------------------:</t>
    </r>
  </si>
  <si>
    <t>Submitted for endorsement and onward submission to CA(Imports) for further action please.</t>
  </si>
  <si>
    <t>(SHABBIR HUSSAIN)</t>
  </si>
  <si>
    <t>DY.Chief ( Cementation)</t>
  </si>
  <si>
    <t>Ext:2307</t>
  </si>
  <si>
    <t>MANAGER (CMT/STIM).</t>
  </si>
  <si>
    <t>AGM(DRILLING SERVICES)</t>
  </si>
  <si>
    <t>CA(IMPORTS)</t>
  </si>
  <si>
    <t>CMT-PK-0425-007</t>
  </si>
  <si>
    <t>CMT-PK-0425-012</t>
  </si>
  <si>
    <t>01-28 Feb-25</t>
  </si>
  <si>
    <t>CMT-PK-0425-017</t>
  </si>
  <si>
    <t>KUNNAR-3</t>
  </si>
  <si>
    <t>CMT-PK-0425-018</t>
  </si>
  <si>
    <t>Slurry &amp; Spacer Charges 9-5/8" Csg Job</t>
  </si>
  <si>
    <t>CMT-PK-0425-019</t>
  </si>
  <si>
    <t>1-30 Mar-25</t>
  </si>
  <si>
    <t>CMT-PK-0425-011</t>
  </si>
  <si>
    <t>1-28 Feb-25</t>
  </si>
  <si>
    <t>Monthly Crew Charges</t>
  </si>
  <si>
    <t>CMT-PK-0525-001</t>
  </si>
  <si>
    <t>CMT-PK-0525-002</t>
  </si>
  <si>
    <t>1-16 Mar-25</t>
  </si>
  <si>
    <t>CMT-PK-0525-003</t>
  </si>
  <si>
    <t>CMT-PK-0525-004</t>
  </si>
  <si>
    <t>CMT-PK-0425-005</t>
  </si>
  <si>
    <t>Monthly Crew + Technical Engr Charges</t>
  </si>
  <si>
    <t>CMT-PK-0425-020</t>
  </si>
  <si>
    <t>1-31 Mar-25</t>
  </si>
  <si>
    <t>CMT-PK-0625-001</t>
  </si>
  <si>
    <t>CMT-PK-0425-010</t>
  </si>
  <si>
    <t>CMT-PK-0725-001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</si>
  <si>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</si>
  <si>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CMT-PK-0725-002</t>
  </si>
  <si>
    <t>CMT-PK-0625-006</t>
  </si>
  <si>
    <t>1-31 May-25</t>
  </si>
  <si>
    <t>CMT-PK-0625-002</t>
  </si>
  <si>
    <t>1-30 April-25</t>
  </si>
  <si>
    <t>CMT-PK-0625-005</t>
  </si>
  <si>
    <t>CMT-PK-0725-013</t>
  </si>
  <si>
    <t>23-30 June-25</t>
  </si>
  <si>
    <t>CMT-PK-0725-016</t>
  </si>
  <si>
    <t>29-30 June-25</t>
  </si>
  <si>
    <t>JHAKRO NORTH-1</t>
  </si>
  <si>
    <t xml:space="preserve"> Equipment mob+ Monthly Crew Charges</t>
  </si>
  <si>
    <t xml:space="preserve"> Equipment Demob+ Monthly Crew Charges</t>
  </si>
  <si>
    <t>Dy.Chief Accountant (Services)</t>
  </si>
  <si>
    <t>CMT-PK-0725-014</t>
  </si>
  <si>
    <t>DARS DEEP-1</t>
  </si>
  <si>
    <t>CMT-PK-0725-021</t>
  </si>
  <si>
    <t>QP-64</t>
  </si>
  <si>
    <t>Slurry Charges for Cement Plug</t>
  </si>
  <si>
    <t>Slurry Charges for 13-3/8" Csg Job</t>
  </si>
  <si>
    <t>CMT-PK-0825-001</t>
  </si>
  <si>
    <t>CHAKAR-1</t>
  </si>
  <si>
    <t>Slurry &amp; Spacer Charges Plug back Job</t>
  </si>
  <si>
    <t>CMT-PK-0725-015</t>
  </si>
  <si>
    <t>25-30 June-25</t>
  </si>
  <si>
    <t>KHATIAN-1</t>
  </si>
  <si>
    <t>CMT-PK-0725-011</t>
  </si>
  <si>
    <t>08-17 June-25</t>
  </si>
  <si>
    <t>CMT-PK-0625-004</t>
  </si>
  <si>
    <t>02-13 Apr-25</t>
  </si>
  <si>
    <t>LALA JAMALI-2</t>
  </si>
  <si>
    <t>CMT-PK-0725-009</t>
  </si>
  <si>
    <t>01-04 June-25</t>
  </si>
  <si>
    <t>ARADIN-01</t>
  </si>
  <si>
    <t>CMT-PK-0725-010</t>
  </si>
  <si>
    <t>01-17 June-25</t>
  </si>
  <si>
    <t>CMT-PK-0825-003</t>
  </si>
  <si>
    <t>01-31 July-25</t>
  </si>
  <si>
    <t>CMT-PK-0825-004</t>
  </si>
  <si>
    <t>CMT-PK-0625-007</t>
  </si>
  <si>
    <t>17-31 May-25</t>
  </si>
  <si>
    <t>CMT-PK-0825-002</t>
  </si>
  <si>
    <t>PASAKHI-14</t>
  </si>
  <si>
    <t>Solution Tank MOB+per day Charges</t>
  </si>
  <si>
    <t>CMT-PK-0925-002</t>
  </si>
  <si>
    <t>Slurry Charges Squeeze Cement Plug</t>
  </si>
  <si>
    <t>Slurry Charges Repeat Squeeze Cement Plug</t>
  </si>
  <si>
    <t>CMT-PK-0925-003</t>
  </si>
  <si>
    <t>CMT-PK-0925-004</t>
  </si>
  <si>
    <t>Slurry &amp; Spacer Charges KOP</t>
  </si>
  <si>
    <t>CMT-PK-0925-005</t>
  </si>
  <si>
    <t>CMT-PK-0925-006</t>
  </si>
  <si>
    <t>BITRISM EAST-1</t>
  </si>
  <si>
    <t>Slurry &amp; Spacer Charges for 13-3/8" Csg Job</t>
  </si>
  <si>
    <t>CMT-PK-0925-007</t>
  </si>
  <si>
    <t>Slurry &amp; Dispersant Charges Cement Plug</t>
  </si>
  <si>
    <t>CMT-PK-0925-008</t>
  </si>
  <si>
    <t>CMT-PK-0625-003</t>
  </si>
  <si>
    <t>1-30 Apr-25</t>
  </si>
  <si>
    <t xml:space="preserve"> Equipment Demob+ Monthly Crew Charges+Tech Engr Charges</t>
  </si>
  <si>
    <t>CMT-PK-0925-001</t>
  </si>
  <si>
    <t>1-31 July-25</t>
  </si>
  <si>
    <t>27-30 June-25</t>
  </si>
  <si>
    <t>CMT-PK-0925-015</t>
  </si>
  <si>
    <t>CMT-PK-0925-016</t>
  </si>
  <si>
    <t>CMT-PK-0925-017</t>
  </si>
  <si>
    <t>Slurry &amp; Spacer Charges for 9-5/8" Csg Job</t>
  </si>
  <si>
    <t>1-31 Aug-25</t>
  </si>
  <si>
    <t>CMT-PK-0925-018</t>
  </si>
  <si>
    <t>CMT-PK-0925-019</t>
  </si>
  <si>
    <t>CMT-PK-0925-020</t>
  </si>
  <si>
    <t>CMT-PK-0925-021</t>
  </si>
  <si>
    <t>CMT-PK-0925-022</t>
  </si>
  <si>
    <t>Spacer+Addtives Charges 9-5/8" Csg job</t>
  </si>
  <si>
    <t>CMT-PK-0925-023</t>
  </si>
  <si>
    <t>Spacer+Addtives Charges 13-3/8" Csg job</t>
  </si>
  <si>
    <t>CMT-PK-0925-024</t>
  </si>
  <si>
    <t>CMT-PK-1025-002</t>
  </si>
  <si>
    <t>Slurry,Additives &amp; Spacer T Charges 7" Liner Job</t>
  </si>
  <si>
    <t>Slurry &amp; Spacer Charges Thixotropic LCP</t>
  </si>
  <si>
    <t>CMT-PK-1025-003</t>
  </si>
  <si>
    <t>CMT-PK-1025-005</t>
  </si>
  <si>
    <t>CMT-PK-1025-008</t>
  </si>
  <si>
    <t>CMT-PK-1025-009</t>
  </si>
  <si>
    <t>CMT-PK-1025-010</t>
  </si>
  <si>
    <t>Tank mob+ Monthly Crew Charges</t>
  </si>
  <si>
    <t>CMT-PK-1025-006</t>
  </si>
  <si>
    <t>Slurry,Additives &amp; Spacer Charges 9-5/8" Csg Job</t>
  </si>
  <si>
    <t>1-30 Sept-25</t>
  </si>
  <si>
    <t>CMT-PK-1125-005</t>
  </si>
  <si>
    <t>CMT-PK-1125-012</t>
  </si>
  <si>
    <t>CMT-PK-1125-006</t>
  </si>
  <si>
    <t>1-13 Aug-25</t>
  </si>
  <si>
    <t>Solution Tank DEMOB+per day Charges</t>
  </si>
  <si>
    <t>CMT-PK-1125-013</t>
  </si>
  <si>
    <t>CMT-PK-1125-015</t>
  </si>
  <si>
    <t>CMT-PK-1125-010</t>
  </si>
  <si>
    <t>Slurry &amp; Spacer Charges Bottom PNA Job</t>
  </si>
  <si>
    <t>CMT-PK-1125-009</t>
  </si>
  <si>
    <t>5-7 Oct-25</t>
  </si>
  <si>
    <t>Additives Charges Intermediate &amp; Top PNA Job</t>
  </si>
  <si>
    <t>CMT-PK-1125-008</t>
  </si>
  <si>
    <t>DARS DEEP-1A</t>
  </si>
  <si>
    <t>Slurry &amp; Spacer Charges KOP Job</t>
  </si>
  <si>
    <t>CMT-PK-0725-012</t>
  </si>
  <si>
    <t>4-24 June-25</t>
  </si>
  <si>
    <t>CMT-PK-1125-003</t>
  </si>
  <si>
    <t>Slurry,Well Wash,HCS Agent &amp; Spacer T Charges 5" Liner Job</t>
  </si>
  <si>
    <t>CMT-PK-1125-007</t>
  </si>
  <si>
    <t>Slurry,HCS Agent &amp; Spacer T Charges 7" Liner Job</t>
  </si>
  <si>
    <t>CMT-PK-1125-014</t>
  </si>
  <si>
    <t>OGDCL RIGS</t>
  </si>
  <si>
    <t xml:space="preserve">Additives Charges </t>
  </si>
  <si>
    <t>CMT-PK-1125-011</t>
  </si>
  <si>
    <t>18-24 Oct-25</t>
  </si>
  <si>
    <t>UCH-1</t>
  </si>
  <si>
    <t>Batch Treatment Charges</t>
  </si>
  <si>
    <t>CMT-PK-1125-004</t>
  </si>
  <si>
    <t>JHAL MAGSI-2</t>
  </si>
  <si>
    <t>CMT-PK-1025-007</t>
  </si>
  <si>
    <t>CMT-PK-1225-005</t>
  </si>
  <si>
    <t>CHANDIO-1</t>
  </si>
  <si>
    <t>Slurry &amp; Spacer Charges Cement Base Plug</t>
  </si>
  <si>
    <t>CMT-PK-1225-006</t>
  </si>
  <si>
    <t>CMT-PK-1225-008</t>
  </si>
  <si>
    <t>CMT-PK-1225-009</t>
  </si>
  <si>
    <t>GAJA WAH-1</t>
  </si>
  <si>
    <t>CMT-PK-1225-010</t>
  </si>
  <si>
    <t>Additives Charges Top PNA Job</t>
  </si>
  <si>
    <t>CMT-PK-1225-011</t>
  </si>
  <si>
    <t>Slurry,HCS Agent &amp; Spacer Charges Remedial Job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</si>
  <si>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</si>
  <si>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CMT-PK-1225-012</t>
  </si>
  <si>
    <t>01-31 Oct-25</t>
  </si>
  <si>
    <t>CMT-PK-1225-013</t>
  </si>
  <si>
    <t>Solution Tank Charges</t>
  </si>
  <si>
    <t>CMT-PK-1225-014</t>
  </si>
  <si>
    <t>14-30 Nov-25</t>
  </si>
  <si>
    <t>CMT-PK-0126-001</t>
  </si>
  <si>
    <t>MOOLAN-1</t>
  </si>
  <si>
    <t>CMT-PK-1225-007</t>
  </si>
  <si>
    <t>3-17 Nov-25</t>
  </si>
  <si>
    <t>CMT-PK-0226-007</t>
  </si>
  <si>
    <t>CMT-PK-0226-008</t>
  </si>
  <si>
    <t>01-25 Oct-25</t>
  </si>
  <si>
    <t>CMT-PK-0226-009</t>
  </si>
  <si>
    <t>01-30 Nov-25</t>
  </si>
  <si>
    <t>01-09 Oct-25</t>
  </si>
  <si>
    <t>25-26 Oct-25</t>
  </si>
  <si>
    <t>CMT-PK-0226-010</t>
  </si>
  <si>
    <t>Slurry Charges Top Cement Plug</t>
  </si>
  <si>
    <t>CMT-PK-0226-011</t>
  </si>
  <si>
    <t>23-31 Dec-25</t>
  </si>
  <si>
    <t>KATIAR-1</t>
  </si>
  <si>
    <t xml:space="preserve"> Equipment Mob+ Monthly Crew Charges</t>
  </si>
  <si>
    <t>CMT-PK-0226-012</t>
  </si>
  <si>
    <t>THAL WEST-1A</t>
  </si>
  <si>
    <t>CMT-PK-0226-013</t>
  </si>
  <si>
    <t>CMT-PK-0226-014</t>
  </si>
  <si>
    <t>28-31 Dec-25</t>
  </si>
  <si>
    <t>DARS WEST-3</t>
  </si>
  <si>
    <t>CMT-PK-0226-015</t>
  </si>
  <si>
    <t>7-31 Dec-25</t>
  </si>
  <si>
    <t>CMT-PK-0226-024</t>
  </si>
  <si>
    <t>20-31 Oct-25</t>
  </si>
  <si>
    <t>CMT-PK-0226-025</t>
  </si>
  <si>
    <t>CMT-PK-0326-002</t>
  </si>
  <si>
    <t>Slurry &amp; Spacer Charges Intermediate Cement Plug</t>
  </si>
  <si>
    <t>CMT-PK-0326-007</t>
  </si>
  <si>
    <t>Slurry Charges for 13-3/8" Csg +Top Job</t>
  </si>
  <si>
    <t>CMT-PK-0326-011</t>
  </si>
  <si>
    <t>SAHITO-1</t>
  </si>
  <si>
    <t>Slurry Charges for 20" Csg Job</t>
  </si>
  <si>
    <t>AGM (DS)</t>
  </si>
  <si>
    <t>AM (Cmt/Stim)</t>
  </si>
  <si>
    <t>CMT-PK-0326-006</t>
  </si>
  <si>
    <t xml:space="preserve">Lead Tail Slurry+Spacer Charges for 13-3/8" Csg </t>
  </si>
  <si>
    <t>CMT-PK-0326-003</t>
  </si>
  <si>
    <t>PASAKHI-13</t>
  </si>
  <si>
    <t>Additives &amp; Spacer Charges for 13-3/8" Csg Job</t>
  </si>
  <si>
    <t>CMT-PK-0326-012</t>
  </si>
  <si>
    <t>CMT-PK-0326-013</t>
  </si>
  <si>
    <t>01-28 Dec-25</t>
  </si>
  <si>
    <t>CMT-PK-0326-014</t>
  </si>
  <si>
    <t>01-11 Dec-25</t>
  </si>
  <si>
    <t>CMT-PK-0326-015</t>
  </si>
  <si>
    <t>01-31 Jan-26</t>
  </si>
  <si>
    <t xml:space="preserve">   </t>
  </si>
  <si>
    <t>CMT-PK-0326-016</t>
  </si>
  <si>
    <t>01-22 Dec-25</t>
  </si>
  <si>
    <t xml:space="preserve"> Equipment Mob/Demob+ Monthly Crew Charges</t>
  </si>
  <si>
    <t>CMT-PK-0326-017</t>
  </si>
  <si>
    <t>01-22 Nov-25</t>
  </si>
  <si>
    <t>Batch Mixer Demob</t>
  </si>
  <si>
    <t>Batch Mixer +Monthly Personnel+mob Charges</t>
  </si>
  <si>
    <t>CMT-PK-0326-019</t>
  </si>
  <si>
    <t>CMT-PK-0326-020</t>
  </si>
  <si>
    <t xml:space="preserve">Slurry &amp; Spacer Charges Squeeze Plug </t>
  </si>
  <si>
    <t>CMT-PK-0326-021</t>
  </si>
  <si>
    <t>CMT-PK-0326-018</t>
  </si>
  <si>
    <t>15-31 Dec-25</t>
  </si>
  <si>
    <t xml:space="preserve"> Equipment+Silo Mob/Demob+ Monthly Crew Charges</t>
  </si>
  <si>
    <t>CMT-PK-0426-001</t>
  </si>
  <si>
    <t>18-28 Feb-26</t>
  </si>
  <si>
    <t>PASAKHI NE-2</t>
  </si>
  <si>
    <t>CMT-PK-0426-002</t>
  </si>
  <si>
    <t>CMT-PK-0426-003</t>
  </si>
  <si>
    <t>CMT-PK-0326-004</t>
  </si>
  <si>
    <t>KUNNAR WIW-1</t>
  </si>
  <si>
    <t>Slurry,Microblock &amp; Spacer T Charges 7" Liner Job</t>
  </si>
  <si>
    <t>1000083351/1000083359</t>
  </si>
  <si>
    <t>CMT-PK-0326-005</t>
  </si>
  <si>
    <t>Cemmax Slurry+Microblock+Spacer Charges Squeeze Plug</t>
  </si>
  <si>
    <t>1000083376/1000083379</t>
  </si>
  <si>
    <t>CMT-PK-0326-008</t>
  </si>
  <si>
    <t>Cemmax Slurry+Spacer Charges 7" Liner</t>
  </si>
  <si>
    <t>1000083386/1000083387</t>
  </si>
  <si>
    <t>CMT-PK-0326-009</t>
  </si>
  <si>
    <t>1000083406/1000083408</t>
  </si>
  <si>
    <t>CMT-PK-0326-010</t>
  </si>
  <si>
    <t>1000083412/1000083416</t>
  </si>
  <si>
    <t>CMT-PK-0426-009</t>
  </si>
  <si>
    <t>SONO-8</t>
  </si>
  <si>
    <t>CMT-PK-0426-012</t>
  </si>
  <si>
    <t>1-28 Feb-26</t>
  </si>
  <si>
    <t>CMT-PK-0426-014</t>
  </si>
  <si>
    <t>CMT-PK-0426-006</t>
  </si>
  <si>
    <t xml:space="preserve">                                                               </t>
  </si>
  <si>
    <t>CMT-PK-0426-013</t>
  </si>
  <si>
    <t>1-4 Feb-26</t>
  </si>
  <si>
    <t>CMT-PK-0426-011</t>
  </si>
  <si>
    <t>CMT-PK-0426-005</t>
  </si>
  <si>
    <t xml:space="preserve">  </t>
  </si>
  <si>
    <t>CMT-PK-0426-015</t>
  </si>
  <si>
    <t>Slurry &amp; Spacer Charges Retainer Plug</t>
  </si>
  <si>
    <t>CMT-PK-0426-008</t>
  </si>
  <si>
    <t>1-13 Feb-26</t>
  </si>
  <si>
    <t>CMT-PK-0426-007</t>
  </si>
  <si>
    <t>CMT-PK-0326-001</t>
  </si>
  <si>
    <t>Slurry,Additives, HCS Agent,Microblock &amp; Spacer Charges 9-5-8 Csg Job</t>
  </si>
  <si>
    <t>CMT-PK-0526-002</t>
  </si>
  <si>
    <t>CMT-PK-0526-004</t>
  </si>
  <si>
    <t>SAIDPUR-1</t>
  </si>
  <si>
    <t>CMT-PK-0526-003</t>
  </si>
  <si>
    <t>CMT-PK-0526-005</t>
  </si>
  <si>
    <t>15-31 Mar-26</t>
  </si>
  <si>
    <t>SONO-10</t>
  </si>
  <si>
    <t xml:space="preserve"> Equipment Mob+ Monthly Crew Charges+Solution Tank mob+per day</t>
  </si>
  <si>
    <t>CMT-PK-0526-006</t>
  </si>
  <si>
    <t>CMT-PK-0526-007</t>
  </si>
  <si>
    <t>Slurry Charges Remedial Cement Job</t>
  </si>
  <si>
    <t>CMT-PK-0526-008</t>
  </si>
  <si>
    <t>01-31 Mar-26</t>
  </si>
  <si>
    <t>CMT-PK-0526-009</t>
  </si>
  <si>
    <t>01-09 Mar-26</t>
  </si>
  <si>
    <t>CMT-PK-0526-010</t>
  </si>
  <si>
    <t>CMT-PK-0526-011</t>
  </si>
  <si>
    <t>CHAK 63-5</t>
  </si>
  <si>
    <t>Slurry &amp; Spacer Charges 20" Csg Job</t>
  </si>
  <si>
    <t>CMT-PK-0526-012</t>
  </si>
  <si>
    <t>01-15 Apr-26</t>
  </si>
  <si>
    <t>Monthly Crew+Solution Tank Charges/Demob</t>
  </si>
  <si>
    <t>CMT-PK-0526-014</t>
  </si>
  <si>
    <t>13-30 Apr-26</t>
  </si>
  <si>
    <t>CMT-PK-0526-015</t>
  </si>
  <si>
    <t>01-30 Apr-26</t>
  </si>
  <si>
    <t xml:space="preserve">  Monthly Crew Charges+Solution Tank Demob+per day</t>
  </si>
  <si>
    <t>CMT-PK-0526-016</t>
  </si>
  <si>
    <t>01-05 Apr-26</t>
  </si>
  <si>
    <t>CMT-PK-0526-013</t>
  </si>
  <si>
    <t>05-30 Apr-26</t>
  </si>
  <si>
    <t>WAHID BAKHSH-1</t>
  </si>
  <si>
    <t>CMT-PK-0626-002</t>
  </si>
  <si>
    <t>Slurry Charges Top Cement Plug Job</t>
  </si>
  <si>
    <t>CMT-PK-0626-003</t>
  </si>
  <si>
    <t>Slurry Charges Intermediate Cement Plug Job</t>
  </si>
  <si>
    <t>CMT-PK-0626-004</t>
  </si>
  <si>
    <t>CMT-PK-0626-005</t>
  </si>
  <si>
    <t>27-31 Mar-26</t>
  </si>
  <si>
    <t>Monthly Crew+Solution Tank Charges/Mob</t>
  </si>
  <si>
    <t>CMT-PK-0626-006</t>
  </si>
  <si>
    <t>CMT-PK-0626-007</t>
  </si>
  <si>
    <t>CMT-PK-0626-001</t>
  </si>
  <si>
    <t>Slurry,HCS Agent,Microblock &amp; Spacer Charges Squeeze Plug Job</t>
  </si>
  <si>
    <t>CMT-PK-0626-008</t>
  </si>
  <si>
    <t>Slurry &amp; Spacer Charges Bottom Plug Job</t>
  </si>
  <si>
    <t xml:space="preserve">            </t>
  </si>
  <si>
    <t>CMT-PK-0626-010</t>
  </si>
  <si>
    <t>BOBI DEEP-1</t>
  </si>
  <si>
    <t>Slurry &amp; Spacer Charges Plug Back Job</t>
  </si>
  <si>
    <t>CMT-PK-0626-011</t>
  </si>
  <si>
    <t>Slurry+Additives &amp; Spacer Charges for 13-3/8" Csg Job</t>
  </si>
  <si>
    <t>  Copy of Service Entry Sheet is placed opposite.:-------------------------------------:</t>
  </si>
  <si>
    <t>CMT-PK-0626-009</t>
  </si>
  <si>
    <t>CMT-PK-0526-001</t>
  </si>
  <si>
    <t>Returned back to vendor as already paid</t>
  </si>
  <si>
    <t>BOBI-11</t>
  </si>
  <si>
    <t>UCH WDW-1</t>
  </si>
  <si>
    <t>MARU-3</t>
  </si>
  <si>
    <t>SUJAWAL SOUTH X-1</t>
  </si>
  <si>
    <t>SUJAWAL+CHAKAR+
HAKEEM DAHU</t>
  </si>
  <si>
    <t>Slurry+Additives &amp; Spacer Charges for 9-5/8" Csg Job</t>
  </si>
  <si>
    <t>Slurry+Additives &amp; Spacer Charges for 7" Liner 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</si>
</sst>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&quot;-&quot;"/>
    <numFmt numFmtId="167" formatCode="0\ "/>
    <numFmt numFmtId="168" formatCode="&quot;$&quot;#,##0.00"/>
    <numFmt numFmtId="169" formatCode="&quot;$&quot;#,##0"/>
    <numFmt numFmtId="170" formatCode="[$-409]d\-mmm\-yy;@"/>
    <numFmt numFmtId="171" formatCode="0.0"/>
    <numFmt numFmtId="172" formatCode="&quot;US &quot;&quot;$&quot;\ ###,###.00"/>
    <numFmt numFmtId="173" formatCode="&quot;$&quot;\ ###,###.00"/>
  </numFmts>
  <fonts count="53">
    <font>
      <sz val="10"/>
      <name val="Arial"/>
      <charset val="134"/>
    </font>
    <font>
      <sz val="10"/>
      <name val="Arial"/>
      <family val="2"/>
    </font>
    <font>
      <sz val="12"/>
      <name val="Arial"/>
      <family val="2"/>
    </font>
    <font>
      <b/>
      <u/>
      <sz val="10"/>
      <color rgb="FFFF0000"/>
      <name val="Arial"/>
      <family val="2"/>
    </font>
    <font>
      <sz val="11"/>
      <name val="Arial"/>
      <family val="2"/>
    </font>
    <font>
      <b/>
      <u val="singleAccounting"/>
      <sz val="12"/>
      <color rgb="FFFF0000"/>
      <name val="Arial"/>
      <family val="2"/>
    </font>
    <font>
      <i/>
      <sz val="12"/>
      <color rgb="FFFF0000"/>
      <name val="Arial"/>
      <family val="2"/>
    </font>
    <font>
      <sz val="12"/>
      <name val="Wingdings"/>
      <charset val="2"/>
    </font>
    <font>
      <b/>
      <sz val="12"/>
      <name val="Arial"/>
      <family val="2"/>
    </font>
    <font>
      <b/>
      <u/>
      <sz val="12"/>
      <name val="Arial"/>
      <family val="2"/>
    </font>
    <font>
      <sz val="14"/>
      <name val="Arial"/>
      <family val="2"/>
    </font>
    <font>
      <sz val="9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sz val="11"/>
      <color rgb="FFFF0000"/>
      <name val="Arial"/>
      <family val="2"/>
    </font>
    <font>
      <sz val="10"/>
      <color theme="1"/>
      <name val="Arial"/>
      <family val="2"/>
    </font>
    <font>
      <sz val="16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rgb="FF0070C0"/>
      <name val="Arial"/>
      <family val="2"/>
    </font>
    <font>
      <b/>
      <sz val="11"/>
      <name val="Arial"/>
      <family val="2"/>
    </font>
    <font>
      <sz val="12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0" tint="-0.14996795556505021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2060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3" tint="0.39994506668294322"/>
      <name val="Arial"/>
      <family val="2"/>
    </font>
    <font>
      <b/>
      <u/>
      <sz val="12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u/>
      <sz val="11"/>
      <name val="Arial"/>
      <family val="2"/>
    </font>
    <font>
      <sz val="16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0" tint="-4.9989318521683403E-2"/>
      <name val="Arial"/>
      <family val="2"/>
    </font>
    <font>
      <b/>
      <sz val="14"/>
      <color rgb="FFFF0000"/>
      <name val="Calibri"/>
      <family val="2"/>
      <scheme val="minor"/>
    </font>
    <font>
      <b/>
      <sz val="11"/>
      <color rgb="FF0070C0"/>
      <name val="Arial"/>
      <family val="2"/>
    </font>
    <font>
      <sz val="11"/>
      <color rgb="FF002060"/>
      <name val="Arial"/>
      <family val="2"/>
    </font>
    <font>
      <sz val="10"/>
      <color rgb="FFFF0000"/>
      <name val="Arial"/>
      <family val="2"/>
    </font>
    <font>
      <sz val="11"/>
      <color theme="0" tint="-0.14996795556505021"/>
      <name val="Arial"/>
      <family val="2"/>
    </font>
    <font>
      <sz val="7"/>
      <name val="Times New Roman"/>
      <family val="1"/>
    </font>
    <font>
      <sz val="10"/>
      <color rgb="FF00000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1"/>
      <color rgb="FF00206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b/>
      <u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258">
    <xf numFmtId="0" fontId="0" fillId="0" borderId="0" xfId="0"/>
    <xf numFmtId="166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4" fontId="5" fillId="0" borderId="1" xfId="0" applyNumberFormat="1" applyFont="1" applyBorder="1" applyAlignment="1">
      <alignment shrinkToFit="1"/>
    </xf>
    <xf numFmtId="0" fontId="7" fillId="0" borderId="0" xfId="0" applyFont="1"/>
    <xf numFmtId="0" fontId="2" fillId="0" borderId="0" xfId="0" applyFont="1" applyAlignment="1">
      <alignment horizontal="justify"/>
    </xf>
    <xf numFmtId="166" fontId="1" fillId="0" borderId="0" xfId="0" applyNumberFormat="1" applyFont="1" applyAlignment="1">
      <alignment horizont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5" fillId="0" borderId="0" xfId="0" applyFont="1"/>
    <xf numFmtId="1" fontId="16" fillId="0" borderId="0" xfId="0" applyNumberFormat="1" applyFont="1" applyAlignment="1">
      <alignment horizontal="center" vertical="center"/>
    </xf>
    <xf numFmtId="0" fontId="18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0" fillId="0" borderId="9" xfId="0" applyFont="1" applyBorder="1"/>
    <xf numFmtId="0" fontId="20" fillId="0" borderId="9" xfId="0" applyFont="1" applyBorder="1" applyAlignment="1">
      <alignment horizontal="center"/>
    </xf>
    <xf numFmtId="0" fontId="23" fillId="0" borderId="0" xfId="0" applyFont="1"/>
    <xf numFmtId="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4" fillId="0" borderId="0" xfId="0" applyFont="1"/>
    <xf numFmtId="169" fontId="8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center"/>
    </xf>
    <xf numFmtId="0" fontId="25" fillId="0" borderId="0" xfId="0" applyFont="1"/>
    <xf numFmtId="169" fontId="19" fillId="0" borderId="0" xfId="0" applyNumberFormat="1" applyFont="1" applyAlignment="1">
      <alignment horizontal="center" vertical="center"/>
    </xf>
    <xf numFmtId="4" fontId="28" fillId="0" borderId="14" xfId="0" applyNumberFormat="1" applyFont="1" applyBorder="1" applyAlignment="1">
      <alignment horizontal="center" vertical="center"/>
    </xf>
    <xf numFmtId="4" fontId="28" fillId="0" borderId="1" xfId="0" applyNumberFormat="1" applyFont="1" applyBorder="1" applyAlignment="1">
      <alignment horizontal="center" vertical="center"/>
    </xf>
    <xf numFmtId="0" fontId="29" fillId="3" borderId="15" xfId="0" applyFont="1" applyFill="1" applyBorder="1" applyAlignment="1">
      <alignment horizontal="center" vertical="center" wrapText="1"/>
    </xf>
    <xf numFmtId="0" fontId="29" fillId="3" borderId="2" xfId="0" applyFont="1" applyFill="1" applyBorder="1" applyAlignment="1">
      <alignment horizontal="center" vertical="center" wrapText="1"/>
    </xf>
    <xf numFmtId="0" fontId="29" fillId="3" borderId="16" xfId="0" applyFont="1" applyFill="1" applyBorder="1" applyAlignment="1">
      <alignment horizontal="center" vertical="center" wrapText="1"/>
    </xf>
    <xf numFmtId="0" fontId="30" fillId="3" borderId="16" xfId="0" applyFont="1" applyFill="1" applyBorder="1" applyAlignment="1">
      <alignment horizontal="center" vertical="center" wrapText="1"/>
    </xf>
    <xf numFmtId="0" fontId="29" fillId="3" borderId="1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left" vertical="center"/>
    </xf>
    <xf numFmtId="4" fontId="8" fillId="0" borderId="1" xfId="0" applyNumberFormat="1" applyFont="1" applyBorder="1" applyAlignment="1">
      <alignment vertical="center"/>
    </xf>
    <xf numFmtId="4" fontId="31" fillId="0" borderId="1" xfId="0" applyNumberFormat="1" applyFont="1" applyBorder="1" applyAlignment="1">
      <alignment horizontal="center" vertical="center"/>
    </xf>
    <xf numFmtId="17" fontId="21" fillId="0" borderId="1" xfId="0" applyNumberFormat="1" applyFont="1" applyBorder="1" applyAlignment="1">
      <alignment horizontal="center" vertical="center"/>
    </xf>
    <xf numFmtId="0" fontId="21" fillId="4" borderId="1" xfId="0" applyFont="1" applyFill="1" applyBorder="1" applyAlignment="1">
      <alignment horizontal="left" vertical="center"/>
    </xf>
    <xf numFmtId="14" fontId="2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left" vertical="center"/>
    </xf>
    <xf numFmtId="4" fontId="8" fillId="4" borderId="1" xfId="0" applyNumberFormat="1" applyFont="1" applyFill="1" applyBorder="1" applyAlignment="1">
      <alignment vertical="center"/>
    </xf>
    <xf numFmtId="16" fontId="21" fillId="0" borderId="1" xfId="0" applyNumberFormat="1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4" fontId="8" fillId="0" borderId="1" xfId="0" applyNumberFormat="1" applyFont="1" applyBorder="1" applyAlignment="1">
      <alignment horizontal="right" vertical="center"/>
    </xf>
    <xf numFmtId="165" fontId="8" fillId="0" borderId="1" xfId="1" applyFont="1" applyBorder="1" applyAlignment="1">
      <alignment horizontal="right" vertical="center"/>
    </xf>
    <xf numFmtId="170" fontId="21" fillId="0" borderId="1" xfId="0" applyNumberFormat="1" applyFont="1" applyBorder="1" applyAlignment="1">
      <alignment horizontal="center" vertical="center"/>
    </xf>
    <xf numFmtId="4" fontId="19" fillId="0" borderId="1" xfId="0" applyNumberFormat="1" applyFont="1" applyBorder="1" applyAlignment="1">
      <alignment horizontal="center" vertical="center"/>
    </xf>
    <xf numFmtId="15" fontId="21" fillId="0" borderId="1" xfId="0" applyNumberFormat="1" applyFont="1" applyBorder="1" applyAlignment="1">
      <alignment horizontal="center" vertical="center"/>
    </xf>
    <xf numFmtId="17" fontId="21" fillId="0" borderId="1" xfId="0" applyNumberFormat="1" applyFont="1" applyBorder="1" applyAlignment="1">
      <alignment vertical="center"/>
    </xf>
    <xf numFmtId="17" fontId="4" fillId="0" borderId="1" xfId="0" applyNumberFormat="1" applyFont="1" applyBorder="1" applyAlignment="1">
      <alignment vertical="center"/>
    </xf>
    <xf numFmtId="0" fontId="4" fillId="0" borderId="18" xfId="0" applyFont="1" applyBorder="1" applyAlignment="1">
      <alignment horizontal="center" vertical="center"/>
    </xf>
    <xf numFmtId="17" fontId="4" fillId="0" borderId="19" xfId="0" applyNumberFormat="1" applyFont="1" applyBorder="1" applyAlignment="1">
      <alignment vertical="center"/>
    </xf>
    <xf numFmtId="2" fontId="11" fillId="0" borderId="19" xfId="0" applyNumberFormat="1" applyFont="1" applyBorder="1" applyAlignment="1">
      <alignment horizontal="left" vertical="center"/>
    </xf>
    <xf numFmtId="4" fontId="19" fillId="0" borderId="19" xfId="0" applyNumberFormat="1" applyFont="1" applyBorder="1" applyAlignment="1">
      <alignment horizontal="center" vertical="center"/>
    </xf>
    <xf numFmtId="4" fontId="19" fillId="4" borderId="1" xfId="0" applyNumberFormat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70" fontId="0" fillId="0" borderId="1" xfId="0" applyNumberFormat="1" applyBorder="1" applyAlignment="1">
      <alignment horizontal="center" vertical="center" wrapText="1"/>
    </xf>
    <xf numFmtId="171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71" fontId="18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/>
    <xf numFmtId="166" fontId="19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vertical="top"/>
    </xf>
    <xf numFmtId="0" fontId="8" fillId="0" borderId="0" xfId="0" applyFont="1" applyAlignment="1" applyProtection="1">
      <alignment horizontal="right"/>
      <protection locked="0"/>
    </xf>
    <xf numFmtId="0" fontId="4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166" fontId="19" fillId="0" borderId="0" xfId="0" applyNumberFormat="1" applyFont="1" applyAlignment="1">
      <alignment vertical="center"/>
    </xf>
    <xf numFmtId="0" fontId="35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locked="0"/>
    </xf>
    <xf numFmtId="0" fontId="36" fillId="5" borderId="19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8" fillId="0" borderId="0" xfId="0" applyFont="1"/>
    <xf numFmtId="0" fontId="10" fillId="6" borderId="0" xfId="0" applyFont="1" applyFill="1" applyAlignment="1" applyProtection="1">
      <alignment horizontal="center" vertical="center"/>
      <protection locked="0"/>
    </xf>
    <xf numFmtId="165" fontId="10" fillId="0" borderId="0" xfId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1" fontId="39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0" fontId="20" fillId="0" borderId="0" xfId="0" applyFont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169" fontId="8" fillId="0" borderId="0" xfId="0" applyNumberFormat="1" applyFont="1" applyAlignment="1" applyProtection="1">
      <alignment horizontal="left" vertical="center"/>
      <protection locked="0"/>
    </xf>
    <xf numFmtId="0" fontId="24" fillId="0" borderId="0" xfId="0" applyFont="1" applyAlignment="1">
      <alignment horizontal="left"/>
    </xf>
    <xf numFmtId="0" fontId="24" fillId="0" borderId="9" xfId="0" applyFont="1" applyBorder="1" applyAlignment="1" applyProtection="1">
      <alignment horizontal="center" vertical="center"/>
      <protection locked="0"/>
    </xf>
    <xf numFmtId="169" fontId="8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/>
    <xf numFmtId="0" fontId="29" fillId="3" borderId="18" xfId="0" applyFont="1" applyFill="1" applyBorder="1" applyAlignment="1">
      <alignment horizontal="center" vertical="center" wrapText="1"/>
    </xf>
    <xf numFmtId="0" fontId="29" fillId="3" borderId="19" xfId="0" applyFont="1" applyFill="1" applyBorder="1" applyAlignment="1">
      <alignment horizontal="center" vertical="center" wrapText="1"/>
    </xf>
    <xf numFmtId="0" fontId="29" fillId="3" borderId="16" xfId="0" applyFont="1" applyFill="1" applyBorder="1" applyAlignment="1">
      <alignment horizontal="left" vertical="center" wrapText="1"/>
    </xf>
    <xf numFmtId="0" fontId="30" fillId="3" borderId="17" xfId="0" applyFont="1" applyFill="1" applyBorder="1" applyAlignment="1">
      <alignment horizontal="center" vertical="center" wrapText="1"/>
    </xf>
    <xf numFmtId="0" fontId="4" fillId="0" borderId="18" xfId="0" applyFont="1" applyBorder="1" applyAlignment="1" applyProtection="1">
      <alignment horizontal="center" vertical="center"/>
      <protection locked="0"/>
    </xf>
    <xf numFmtId="0" fontId="41" fillId="0" borderId="19" xfId="0" applyFont="1" applyBorder="1" applyAlignment="1" applyProtection="1">
      <alignment vertical="center"/>
      <protection locked="0"/>
    </xf>
    <xf numFmtId="170" fontId="4" fillId="0" borderId="1" xfId="0" applyNumberFormat="1" applyFont="1" applyBorder="1" applyAlignment="1" applyProtection="1">
      <alignment horizontal="center" vertical="center"/>
      <protection locked="0"/>
    </xf>
    <xf numFmtId="2" fontId="11" fillId="0" borderId="19" xfId="0" applyNumberFormat="1" applyFont="1" applyBorder="1" applyAlignment="1" applyProtection="1">
      <alignment horizontal="left" vertical="center"/>
      <protection locked="0"/>
    </xf>
    <xf numFmtId="4" fontId="19" fillId="0" borderId="19" xfId="0" applyNumberFormat="1" applyFont="1" applyBorder="1" applyAlignment="1" applyProtection="1">
      <alignment horizontal="center" vertical="center"/>
      <protection locked="0"/>
    </xf>
    <xf numFmtId="4" fontId="26" fillId="0" borderId="1" xfId="0" applyNumberFormat="1" applyFont="1" applyBorder="1" applyAlignment="1">
      <alignment horizontal="center" vertical="center"/>
    </xf>
    <xf numFmtId="4" fontId="26" fillId="0" borderId="26" xfId="0" applyNumberFormat="1" applyFont="1" applyBorder="1" applyAlignment="1">
      <alignment horizontal="center" vertical="center"/>
    </xf>
    <xf numFmtId="0" fontId="42" fillId="0" borderId="0" xfId="0" applyFont="1"/>
    <xf numFmtId="0" fontId="4" fillId="0" borderId="19" xfId="0" applyFont="1" applyBorder="1" applyAlignment="1" applyProtection="1">
      <alignment vertical="center"/>
      <protection locked="0"/>
    </xf>
    <xf numFmtId="4" fontId="19" fillId="0" borderId="19" xfId="1" applyNumberFormat="1" applyFont="1" applyBorder="1" applyAlignment="1" applyProtection="1">
      <alignment horizontal="center" vertical="center"/>
      <protection locked="0"/>
    </xf>
    <xf numFmtId="4" fontId="18" fillId="0" borderId="19" xfId="0" applyNumberFormat="1" applyFon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170" fontId="1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170" fontId="4" fillId="4" borderId="1" xfId="0" applyNumberFormat="1" applyFont="1" applyFill="1" applyBorder="1" applyAlignment="1" applyProtection="1">
      <alignment horizontal="center" vertical="center"/>
      <protection locked="0"/>
    </xf>
    <xf numFmtId="2" fontId="11" fillId="0" borderId="1" xfId="0" applyNumberFormat="1" applyFont="1" applyBorder="1" applyAlignment="1" applyProtection="1">
      <alignment horizontal="left" vertical="center"/>
      <protection locked="0"/>
    </xf>
    <xf numFmtId="4" fontId="19" fillId="0" borderId="1" xfId="0" applyNumberFormat="1" applyFont="1" applyBorder="1" applyAlignment="1" applyProtection="1">
      <alignment horizontal="center" vertical="center"/>
      <protection locked="0"/>
    </xf>
    <xf numFmtId="4" fontId="19" fillId="4" borderId="1" xfId="0" applyNumberFormat="1" applyFont="1" applyFill="1" applyBorder="1" applyAlignment="1" applyProtection="1">
      <alignment horizontal="center" vertical="center"/>
      <protection locked="0"/>
    </xf>
    <xf numFmtId="2" fontId="11" fillId="4" borderId="1" xfId="0" applyNumberFormat="1" applyFont="1" applyFill="1" applyBorder="1" applyAlignment="1" applyProtection="1">
      <alignment horizontal="left" vertical="center"/>
      <protection locked="0"/>
    </xf>
    <xf numFmtId="4" fontId="19" fillId="0" borderId="1" xfId="1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20" xfId="0" applyFont="1" applyBorder="1" applyAlignment="1" applyProtection="1">
      <alignment horizontal="left"/>
      <protection locked="0"/>
    </xf>
    <xf numFmtId="170" fontId="0" fillId="0" borderId="1" xfId="0" applyNumberFormat="1" applyBorder="1" applyAlignment="1" applyProtection="1">
      <alignment horizontal="center" vertical="center"/>
      <protection locked="0"/>
    </xf>
    <xf numFmtId="170" fontId="0" fillId="0" borderId="1" xfId="0" applyNumberFormat="1" applyBorder="1" applyAlignment="1" applyProtection="1">
      <alignment horizontal="center"/>
      <protection locked="0"/>
    </xf>
    <xf numFmtId="0" fontId="4" fillId="0" borderId="19" xfId="0" applyFont="1" applyBorder="1" applyAlignment="1" applyProtection="1">
      <alignment horizontal="right" vertical="center"/>
      <protection locked="0"/>
    </xf>
    <xf numFmtId="0" fontId="1" fillId="0" borderId="1" xfId="0" applyFont="1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4" fontId="19" fillId="0" borderId="20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center"/>
      <protection locked="0"/>
    </xf>
    <xf numFmtId="170" fontId="1" fillId="0" borderId="1" xfId="0" applyNumberFormat="1" applyFont="1" applyBorder="1" applyAlignment="1" applyProtection="1">
      <alignment horizontal="center"/>
      <protection locked="0"/>
    </xf>
    <xf numFmtId="4" fontId="19" fillId="0" borderId="1" xfId="0" applyNumberFormat="1" applyFont="1" applyBorder="1" applyAlignment="1" applyProtection="1">
      <alignment horizontal="center"/>
      <protection locked="0"/>
    </xf>
    <xf numFmtId="4" fontId="26" fillId="0" borderId="1" xfId="0" applyNumberFormat="1" applyFont="1" applyBorder="1" applyAlignment="1">
      <alignment horizontal="center"/>
    </xf>
    <xf numFmtId="4" fontId="26" fillId="0" borderId="26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4" fillId="0" borderId="0" xfId="0" applyFont="1" applyAlignment="1">
      <alignment horizontal="center" wrapText="1"/>
    </xf>
    <xf numFmtId="0" fontId="0" fillId="0" borderId="28" xfId="0" applyBorder="1"/>
    <xf numFmtId="0" fontId="2" fillId="0" borderId="28" xfId="0" applyFont="1" applyBorder="1" applyAlignment="1">
      <alignment horizontal="center"/>
    </xf>
    <xf numFmtId="0" fontId="14" fillId="0" borderId="0" xfId="0" applyFont="1"/>
    <xf numFmtId="4" fontId="21" fillId="0" borderId="0" xfId="0" applyNumberFormat="1" applyFont="1" applyAlignment="1">
      <alignment horizontal="left"/>
    </xf>
    <xf numFmtId="0" fontId="43" fillId="0" borderId="0" xfId="0" applyFont="1"/>
    <xf numFmtId="0" fontId="43" fillId="0" borderId="0" xfId="0" applyFont="1" applyAlignment="1">
      <alignment horizontal="center"/>
    </xf>
    <xf numFmtId="169" fontId="2" fillId="0" borderId="0" xfId="0" applyNumberFormat="1" applyFont="1" applyAlignment="1">
      <alignment horizontal="center" vertical="center"/>
    </xf>
    <xf numFmtId="0" fontId="22" fillId="0" borderId="3" xfId="0" applyFont="1" applyBorder="1" applyAlignment="1">
      <alignment horizontal="center"/>
    </xf>
    <xf numFmtId="4" fontId="34" fillId="0" borderId="3" xfId="0" applyNumberFormat="1" applyFont="1" applyBorder="1" applyAlignment="1">
      <alignment horizontal="center"/>
    </xf>
    <xf numFmtId="4" fontId="22" fillId="7" borderId="3" xfId="0" applyNumberFormat="1" applyFont="1" applyFill="1" applyBorder="1" applyAlignment="1">
      <alignment horizontal="center" vertical="center"/>
    </xf>
    <xf numFmtId="4" fontId="21" fillId="0" borderId="3" xfId="0" applyNumberFormat="1" applyFont="1" applyBorder="1" applyAlignment="1">
      <alignment horizontal="left"/>
    </xf>
    <xf numFmtId="173" fontId="11" fillId="0" borderId="0" xfId="0" applyNumberFormat="1" applyFont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 wrapText="1"/>
    </xf>
    <xf numFmtId="0" fontId="18" fillId="3" borderId="27" xfId="0" applyFont="1" applyFill="1" applyBorder="1" applyAlignment="1">
      <alignment vertical="center" wrapText="1"/>
    </xf>
    <xf numFmtId="0" fontId="18" fillId="3" borderId="27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3" borderId="26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vertical="center"/>
    </xf>
    <xf numFmtId="14" fontId="4" fillId="0" borderId="1" xfId="0" applyNumberFormat="1" applyFont="1" applyBorder="1" applyAlignment="1">
      <alignment horizontal="center" vertical="center"/>
    </xf>
    <xf numFmtId="4" fontId="8" fillId="0" borderId="19" xfId="0" applyNumberFormat="1" applyFont="1" applyBorder="1" applyAlignment="1">
      <alignment vertical="center"/>
    </xf>
    <xf numFmtId="4" fontId="31" fillId="0" borderId="26" xfId="0" applyNumberFormat="1" applyFont="1" applyBorder="1" applyAlignment="1">
      <alignment horizontal="center" vertical="center"/>
    </xf>
    <xf numFmtId="0" fontId="4" fillId="4" borderId="19" xfId="0" applyFont="1" applyFill="1" applyBorder="1" applyAlignment="1">
      <alignment vertical="center"/>
    </xf>
    <xf numFmtId="14" fontId="4" fillId="4" borderId="19" xfId="0" applyNumberFormat="1" applyFont="1" applyFill="1" applyBorder="1" applyAlignment="1">
      <alignment horizontal="center" vertical="center"/>
    </xf>
    <xf numFmtId="2" fontId="11" fillId="4" borderId="19" xfId="0" applyNumberFormat="1" applyFont="1" applyFill="1" applyBorder="1" applyAlignment="1">
      <alignment horizontal="left" vertical="center"/>
    </xf>
    <xf numFmtId="4" fontId="8" fillId="4" borderId="19" xfId="0" applyNumberFormat="1" applyFont="1" applyFill="1" applyBorder="1" applyAlignment="1">
      <alignment vertical="center"/>
    </xf>
    <xf numFmtId="16" fontId="4" fillId="0" borderId="19" xfId="0" applyNumberFormat="1" applyFont="1" applyBorder="1" applyAlignment="1">
      <alignment vertical="center"/>
    </xf>
    <xf numFmtId="14" fontId="4" fillId="0" borderId="19" xfId="0" applyNumberFormat="1" applyFont="1" applyBorder="1" applyAlignment="1">
      <alignment horizontal="center" vertical="center"/>
    </xf>
    <xf numFmtId="4" fontId="8" fillId="0" borderId="19" xfId="0" applyNumberFormat="1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4" fontId="8" fillId="0" borderId="19" xfId="0" applyNumberFormat="1" applyFont="1" applyBorder="1" applyAlignment="1">
      <alignment horizontal="center" vertical="center"/>
    </xf>
    <xf numFmtId="4" fontId="0" fillId="0" borderId="0" xfId="0" applyNumberFormat="1"/>
    <xf numFmtId="170" fontId="47" fillId="0" borderId="1" xfId="0" applyNumberFormat="1" applyFont="1" applyBorder="1" applyAlignment="1" applyProtection="1">
      <alignment horizontal="center" vertical="center"/>
      <protection locked="0"/>
    </xf>
    <xf numFmtId="2" fontId="48" fillId="0" borderId="19" xfId="0" applyNumberFormat="1" applyFont="1" applyBorder="1" applyAlignment="1" applyProtection="1">
      <alignment horizontal="left" vertical="center"/>
      <protection locked="0"/>
    </xf>
    <xf numFmtId="0" fontId="49" fillId="0" borderId="19" xfId="0" applyFont="1" applyBorder="1" applyAlignment="1" applyProtection="1">
      <alignment vertical="center"/>
      <protection locked="0"/>
    </xf>
    <xf numFmtId="0" fontId="50" fillId="0" borderId="0" xfId="0" applyFont="1"/>
    <xf numFmtId="0" fontId="51" fillId="0" borderId="0" xfId="0" applyFont="1"/>
    <xf numFmtId="0" fontId="19" fillId="0" borderId="28" xfId="0" applyFont="1" applyBorder="1"/>
    <xf numFmtId="0" fontId="34" fillId="2" borderId="0" xfId="0" applyFont="1" applyFill="1"/>
    <xf numFmtId="0" fontId="1" fillId="0" borderId="1" xfId="0" applyFont="1" applyBorder="1" applyAlignment="1" applyProtection="1">
      <alignment horizontal="left" wrapText="1"/>
      <protection locked="0"/>
    </xf>
    <xf numFmtId="168" fontId="8" fillId="0" borderId="0" xfId="0" applyNumberFormat="1" applyFont="1" applyAlignment="1" applyProtection="1">
      <alignment horizontal="left" vertical="center"/>
      <protection locked="0"/>
    </xf>
    <xf numFmtId="0" fontId="27" fillId="0" borderId="12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168" fontId="27" fillId="0" borderId="25" xfId="0" applyNumberFormat="1" applyFont="1" applyBorder="1" applyAlignment="1">
      <alignment horizontal="left" vertical="center"/>
    </xf>
    <xf numFmtId="4" fontId="27" fillId="0" borderId="13" xfId="0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center" textRotation="90" wrapText="1"/>
    </xf>
    <xf numFmtId="0" fontId="14" fillId="0" borderId="24" xfId="0" applyFont="1" applyBorder="1" applyAlignment="1">
      <alignment horizontal="center" textRotation="90" wrapText="1"/>
    </xf>
    <xf numFmtId="0" fontId="21" fillId="2" borderId="4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left"/>
    </xf>
    <xf numFmtId="0" fontId="21" fillId="2" borderId="6" xfId="0" applyFont="1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40" fillId="0" borderId="8" xfId="0" applyFont="1" applyBorder="1" applyAlignment="1">
      <alignment horizontal="left" vertical="center" wrapText="1"/>
    </xf>
    <xf numFmtId="0" fontId="40" fillId="0" borderId="0" xfId="0" applyFont="1" applyAlignment="1">
      <alignment horizontal="left" wrapText="1"/>
    </xf>
    <xf numFmtId="168" fontId="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center" vertical="center" textRotation="90" wrapText="1"/>
    </xf>
    <xf numFmtId="0" fontId="22" fillId="0" borderId="29" xfId="0" applyFont="1" applyBorder="1" applyAlignment="1">
      <alignment horizontal="center" vertical="center" textRotation="90" wrapText="1"/>
    </xf>
    <xf numFmtId="0" fontId="21" fillId="2" borderId="19" xfId="0" applyFont="1" applyFill="1" applyBorder="1" applyAlignment="1">
      <alignment horizontal="center"/>
    </xf>
    <xf numFmtId="0" fontId="21" fillId="2" borderId="20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 wrapText="1"/>
    </xf>
    <xf numFmtId="0" fontId="14" fillId="0" borderId="2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172" fontId="32" fillId="0" borderId="19" xfId="1" applyNumberFormat="1" applyFont="1" applyBorder="1" applyAlignment="1">
      <alignment horizontal="left" vertical="center"/>
    </xf>
    <xf numFmtId="172" fontId="32" fillId="0" borderId="20" xfId="1" applyNumberFormat="1" applyFont="1" applyBorder="1" applyAlignment="1">
      <alignment horizontal="left" vertical="center"/>
    </xf>
    <xf numFmtId="0" fontId="34" fillId="0" borderId="20" xfId="0" applyFont="1" applyBorder="1" applyAlignment="1">
      <alignment horizontal="left" vertical="top" wrapText="1"/>
    </xf>
    <xf numFmtId="0" fontId="34" fillId="0" borderId="14" xfId="0" applyFont="1" applyBorder="1" applyAlignment="1">
      <alignment horizontal="left" vertical="top" wrapText="1"/>
    </xf>
    <xf numFmtId="165" fontId="10" fillId="2" borderId="22" xfId="1" applyFont="1" applyFill="1" applyBorder="1" applyAlignment="1" applyProtection="1">
      <alignment horizontal="center" vertical="center"/>
      <protection locked="0"/>
    </xf>
    <xf numFmtId="165" fontId="10" fillId="2" borderId="23" xfId="1" applyFont="1" applyFill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21" xfId="0" applyFont="1" applyFill="1" applyBorder="1" applyAlignment="1" applyProtection="1">
      <alignment horizontal="center" vertical="center"/>
      <protection locked="0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/>
    </xf>
    <xf numFmtId="0" fontId="22" fillId="0" borderId="20" xfId="0" applyFont="1" applyBorder="1" applyAlignment="1">
      <alignment horizontal="left" vertical="top" wrapText="1"/>
    </xf>
    <xf numFmtId="0" fontId="22" fillId="0" borderId="14" xfId="0" applyFont="1" applyBorder="1" applyAlignment="1">
      <alignment horizontal="left" vertical="top" wrapText="1"/>
    </xf>
    <xf numFmtId="0" fontId="34" fillId="0" borderId="0" xfId="0" applyFont="1" applyAlignment="1">
      <alignment horizontal="center" wrapText="1"/>
    </xf>
    <xf numFmtId="0" fontId="9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left"/>
      <protection locked="0"/>
    </xf>
    <xf numFmtId="0" fontId="21" fillId="3" borderId="4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21" fillId="0" borderId="8" xfId="0" applyFont="1" applyBorder="1" applyAlignment="1">
      <alignment horizontal="center" wrapText="1"/>
    </xf>
    <xf numFmtId="0" fontId="21" fillId="0" borderId="0" xfId="0" applyFont="1" applyAlignment="1">
      <alignment horizontal="center" wrapText="1"/>
    </xf>
    <xf numFmtId="0" fontId="26" fillId="3" borderId="1" xfId="0" applyFont="1" applyFill="1" applyBorder="1" applyAlignment="1">
      <alignment horizontal="center" vertical="center" wrapText="1"/>
    </xf>
    <xf numFmtId="168" fontId="8" fillId="0" borderId="0" xfId="0" applyNumberFormat="1" applyFont="1" applyAlignment="1">
      <alignment horizontal="left" vertical="center"/>
    </xf>
    <xf numFmtId="0" fontId="27" fillId="0" borderId="11" xfId="0" applyFont="1" applyBorder="1" applyAlignment="1">
      <alignment horizontal="center"/>
    </xf>
    <xf numFmtId="168" fontId="27" fillId="3" borderId="12" xfId="0" applyNumberFormat="1" applyFont="1" applyFill="1" applyBorder="1" applyAlignment="1">
      <alignment horizontal="center" vertical="center"/>
    </xf>
    <xf numFmtId="0" fontId="27" fillId="3" borderId="13" xfId="0" applyFont="1" applyFill="1" applyBorder="1" applyAlignment="1">
      <alignment horizontal="center" vertical="center"/>
    </xf>
    <xf numFmtId="0" fontId="22" fillId="0" borderId="7" xfId="0" applyFont="1" applyBorder="1" applyAlignment="1">
      <alignment textRotation="90" wrapText="1"/>
    </xf>
    <xf numFmtId="0" fontId="22" fillId="0" borderId="10" xfId="0" applyFont="1" applyBorder="1" applyAlignment="1">
      <alignment textRotation="90" wrapText="1"/>
    </xf>
    <xf numFmtId="1" fontId="17" fillId="2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14" fillId="0" borderId="0" xfId="0" applyFont="1" applyAlignment="1">
      <alignment horizontal="center" wrapText="1"/>
    </xf>
    <xf numFmtId="0" fontId="14" fillId="0" borderId="3" xfId="0" applyFont="1" applyBorder="1" applyAlignment="1">
      <alignment horizontal="center" wrapText="1"/>
    </xf>
    <xf numFmtId="0" fontId="12" fillId="2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167" fontId="6" fillId="0" borderId="2" xfId="0" applyNumberFormat="1" applyFont="1" applyBorder="1" applyAlignment="1">
      <alignment horizontal="left" vertical="center" wrapText="1"/>
    </xf>
    <xf numFmtId="167" fontId="6" fillId="0" borderId="0" xfId="0" applyNumberFormat="1" applyFont="1" applyAlignment="1">
      <alignment horizontal="left" vertical="center" wrapText="1"/>
    </xf>
  </cellXfs>
  <cellStyles count="2">
    <cellStyle name="Comma" xfId="1" builtinId="3"/>
    <cellStyle name="Normal" xfId="0" builtinId="0"/>
  </cellStyles>
  <dxfs count="36"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9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12700</xdr:rowOff>
        </xdr:from>
        <xdr:to>
          <xdr:col>14</xdr:col>
          <xdr:colOff>342900</xdr:colOff>
          <xdr:row>9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8"/>
  <sheetViews>
    <sheetView workbookViewId="0">
      <selection activeCell="I34" sqref="I34"/>
    </sheetView>
  </sheetViews>
  <sheetFormatPr defaultColWidth="9" defaultRowHeight="12.5"/>
  <cols>
    <col min="1" max="1" width="8.7265625" customWidth="1"/>
    <col min="2" max="2" width="18.453125" customWidth="1"/>
    <col min="3" max="3" width="14" customWidth="1"/>
    <col min="4" max="4" width="16.453125" customWidth="1"/>
    <col min="5" max="5" width="14.54296875" customWidth="1"/>
    <col min="6" max="6" width="12.81640625" customWidth="1"/>
    <col min="7" max="7" width="16.54296875" customWidth="1"/>
  </cols>
  <sheetData>
    <row r="1" spans="1:7" ht="14">
      <c r="A1" s="205" t="s">
        <v>0</v>
      </c>
      <c r="B1" s="206"/>
      <c r="C1" s="206"/>
      <c r="D1" s="206"/>
      <c r="E1" s="206"/>
      <c r="F1" s="206"/>
      <c r="G1" s="207"/>
    </row>
    <row r="2" spans="1:7" ht="14">
      <c r="A2" s="208" t="s">
        <v>1</v>
      </c>
      <c r="B2" s="209"/>
      <c r="C2" s="210" t="s">
        <v>2</v>
      </c>
      <c r="D2" s="210"/>
      <c r="E2" s="210"/>
      <c r="F2" s="146"/>
      <c r="G2" s="147"/>
    </row>
    <row r="3" spans="1:7" ht="15.5">
      <c r="A3" s="211" t="s">
        <v>3</v>
      </c>
      <c r="B3" s="199"/>
      <c r="C3" s="212" t="s">
        <v>4</v>
      </c>
      <c r="D3" s="212"/>
      <c r="E3" s="212"/>
      <c r="F3" s="146"/>
      <c r="G3" s="148"/>
    </row>
    <row r="4" spans="1:7" ht="15.5">
      <c r="A4" s="203" t="s">
        <v>5</v>
      </c>
      <c r="B4" s="149" t="s">
        <v>6</v>
      </c>
      <c r="C4" s="202">
        <v>728072</v>
      </c>
      <c r="D4" s="202"/>
      <c r="E4" s="150"/>
      <c r="F4" s="81"/>
      <c r="G4" s="148"/>
    </row>
    <row r="5" spans="1:7" ht="15.5">
      <c r="A5" s="203"/>
      <c r="B5" s="151" t="s">
        <v>7</v>
      </c>
      <c r="C5">
        <v>1000000</v>
      </c>
      <c r="D5" s="152" t="s">
        <v>8</v>
      </c>
      <c r="E5" s="153"/>
      <c r="F5" s="81"/>
      <c r="G5" s="148"/>
    </row>
    <row r="6" spans="1:7" ht="15.5">
      <c r="A6" s="203"/>
      <c r="B6" s="151" t="s">
        <v>9</v>
      </c>
      <c r="C6" s="153"/>
      <c r="D6" s="152" t="s">
        <v>10</v>
      </c>
      <c r="E6" s="153"/>
      <c r="F6" s="81" t="s">
        <v>11</v>
      </c>
      <c r="G6" s="148" t="s">
        <v>12</v>
      </c>
    </row>
    <row r="7" spans="1:7" ht="15.5">
      <c r="A7" s="204"/>
      <c r="B7" s="154" t="s">
        <v>13</v>
      </c>
      <c r="C7" s="155">
        <f>SUM(C4+C6+C5+E5+E6)</f>
        <v>1728072</v>
      </c>
      <c r="D7" s="156" t="e">
        <f>C7-#REF!</f>
        <v>#REF!</v>
      </c>
      <c r="E7" s="157"/>
      <c r="F7" s="158" t="e">
        <f>D7</f>
        <v>#REF!</v>
      </c>
      <c r="G7" s="159" t="e">
        <f>#REF!</f>
        <v>#REF!</v>
      </c>
    </row>
    <row r="8" spans="1:7" ht="34.5">
      <c r="A8" s="160" t="s">
        <v>14</v>
      </c>
      <c r="B8" s="161" t="s">
        <v>15</v>
      </c>
      <c r="C8" s="162" t="s">
        <v>16</v>
      </c>
      <c r="D8" s="163" t="s">
        <v>17</v>
      </c>
      <c r="E8" s="163" t="s">
        <v>18</v>
      </c>
      <c r="F8" s="163" t="s">
        <v>19</v>
      </c>
      <c r="G8" s="164" t="s">
        <v>20</v>
      </c>
    </row>
    <row r="9" spans="1:7" ht="15.5">
      <c r="A9" s="63">
        <v>28</v>
      </c>
      <c r="B9" s="165" t="s">
        <v>21</v>
      </c>
      <c r="C9" s="166" t="s">
        <v>22</v>
      </c>
      <c r="D9" s="65" t="s">
        <v>23</v>
      </c>
      <c r="E9" s="167">
        <v>15100</v>
      </c>
      <c r="F9" s="47" t="e">
        <f>D7-E9</f>
        <v>#REF!</v>
      </c>
      <c r="G9" s="168" t="e">
        <f>#REF!</f>
        <v>#REF!</v>
      </c>
    </row>
    <row r="10" spans="1:7" ht="15.5">
      <c r="A10" s="63">
        <f>$A9+1</f>
        <v>29</v>
      </c>
      <c r="B10" s="165" t="s">
        <v>24</v>
      </c>
      <c r="C10" s="166" t="s">
        <v>22</v>
      </c>
      <c r="D10" s="65" t="s">
        <v>25</v>
      </c>
      <c r="E10" s="167">
        <v>15100</v>
      </c>
      <c r="F10" s="47" t="e">
        <f t="shared" ref="F10:F37" si="0">F9-E10</f>
        <v>#REF!</v>
      </c>
      <c r="G10" s="168" t="e">
        <f t="shared" ref="G10:G37" si="1">G9+E10</f>
        <v>#REF!</v>
      </c>
    </row>
    <row r="11" spans="1:7" ht="15.5">
      <c r="A11" s="63">
        <f t="shared" ref="A11:A37" si="2">$A10+1</f>
        <v>30</v>
      </c>
      <c r="B11" s="165" t="s">
        <v>26</v>
      </c>
      <c r="C11" s="166" t="s">
        <v>27</v>
      </c>
      <c r="D11" s="65" t="s">
        <v>25</v>
      </c>
      <c r="E11" s="167">
        <v>15100</v>
      </c>
      <c r="F11" s="47" t="e">
        <f t="shared" si="0"/>
        <v>#REF!</v>
      </c>
      <c r="G11" s="168" t="e">
        <f t="shared" si="1"/>
        <v>#REF!</v>
      </c>
    </row>
    <row r="12" spans="1:7" ht="15.5">
      <c r="A12" s="63">
        <f t="shared" si="2"/>
        <v>31</v>
      </c>
      <c r="B12" s="165" t="s">
        <v>28</v>
      </c>
      <c r="C12" s="166" t="s">
        <v>27</v>
      </c>
      <c r="D12" s="65" t="s">
        <v>29</v>
      </c>
      <c r="E12" s="167">
        <v>6135.04</v>
      </c>
      <c r="F12" s="47" t="e">
        <f t="shared" si="0"/>
        <v>#REF!</v>
      </c>
      <c r="G12" s="168" t="e">
        <f t="shared" si="1"/>
        <v>#REF!</v>
      </c>
    </row>
    <row r="13" spans="1:7" ht="15.5">
      <c r="A13" s="63">
        <f t="shared" si="2"/>
        <v>32</v>
      </c>
      <c r="B13" s="165" t="s">
        <v>30</v>
      </c>
      <c r="C13" s="166" t="s">
        <v>31</v>
      </c>
      <c r="D13" s="65" t="s">
        <v>29</v>
      </c>
      <c r="E13" s="167">
        <v>11798.41</v>
      </c>
      <c r="F13" s="47" t="e">
        <f t="shared" si="0"/>
        <v>#REF!</v>
      </c>
      <c r="G13" s="168" t="e">
        <f t="shared" si="1"/>
        <v>#REF!</v>
      </c>
    </row>
    <row r="14" spans="1:7" ht="15.5">
      <c r="A14" s="63">
        <f t="shared" si="2"/>
        <v>33</v>
      </c>
      <c r="B14" s="165" t="s">
        <v>32</v>
      </c>
      <c r="C14" s="166" t="s">
        <v>33</v>
      </c>
      <c r="D14" s="65" t="s">
        <v>34</v>
      </c>
      <c r="E14" s="167">
        <v>11323.33</v>
      </c>
      <c r="F14" s="47" t="e">
        <f t="shared" si="0"/>
        <v>#REF!</v>
      </c>
      <c r="G14" s="168" t="e">
        <f t="shared" si="1"/>
        <v>#REF!</v>
      </c>
    </row>
    <row r="15" spans="1:7" ht="15.5">
      <c r="A15" s="63">
        <f t="shared" si="2"/>
        <v>34</v>
      </c>
      <c r="B15" s="165" t="s">
        <v>35</v>
      </c>
      <c r="C15" s="166">
        <v>41498</v>
      </c>
      <c r="D15" s="65" t="s">
        <v>36</v>
      </c>
      <c r="E15" s="167">
        <v>3776</v>
      </c>
      <c r="F15" s="47" t="e">
        <f t="shared" si="0"/>
        <v>#REF!</v>
      </c>
      <c r="G15" s="168" t="e">
        <f t="shared" si="1"/>
        <v>#REF!</v>
      </c>
    </row>
    <row r="16" spans="1:7" ht="15.5">
      <c r="A16" s="63">
        <f t="shared" si="2"/>
        <v>35</v>
      </c>
      <c r="B16" s="64" t="s">
        <v>37</v>
      </c>
      <c r="C16" s="166" t="s">
        <v>38</v>
      </c>
      <c r="D16" s="65" t="s">
        <v>39</v>
      </c>
      <c r="E16" s="167">
        <v>11799</v>
      </c>
      <c r="F16" s="47" t="e">
        <f t="shared" si="0"/>
        <v>#REF!</v>
      </c>
      <c r="G16" s="168" t="e">
        <f t="shared" si="1"/>
        <v>#REF!</v>
      </c>
    </row>
    <row r="17" spans="1:7" ht="15.5">
      <c r="A17" s="63">
        <f t="shared" si="2"/>
        <v>36</v>
      </c>
      <c r="B17" s="64" t="s">
        <v>40</v>
      </c>
      <c r="C17" s="166" t="s">
        <v>41</v>
      </c>
      <c r="D17" s="65" t="s">
        <v>25</v>
      </c>
      <c r="E17" s="167">
        <v>18000</v>
      </c>
      <c r="F17" s="47" t="e">
        <f t="shared" si="0"/>
        <v>#REF!</v>
      </c>
      <c r="G17" s="168" t="e">
        <f t="shared" si="1"/>
        <v>#REF!</v>
      </c>
    </row>
    <row r="18" spans="1:7" ht="15.5">
      <c r="A18" s="63">
        <f t="shared" si="2"/>
        <v>37</v>
      </c>
      <c r="B18" s="64" t="s">
        <v>42</v>
      </c>
      <c r="C18" s="166" t="s">
        <v>43</v>
      </c>
      <c r="D18" s="65" t="s">
        <v>25</v>
      </c>
      <c r="E18" s="167">
        <v>15100</v>
      </c>
      <c r="F18" s="47" t="e">
        <f t="shared" si="0"/>
        <v>#REF!</v>
      </c>
      <c r="G18" s="168" t="e">
        <f t="shared" si="1"/>
        <v>#REF!</v>
      </c>
    </row>
    <row r="19" spans="1:7" ht="15.5">
      <c r="A19" s="63">
        <f t="shared" si="2"/>
        <v>38</v>
      </c>
      <c r="B19" s="64" t="s">
        <v>44</v>
      </c>
      <c r="C19" s="166" t="s">
        <v>38</v>
      </c>
      <c r="D19" s="65" t="s">
        <v>25</v>
      </c>
      <c r="E19" s="167">
        <v>15100</v>
      </c>
      <c r="F19" s="47" t="e">
        <f t="shared" si="0"/>
        <v>#REF!</v>
      </c>
      <c r="G19" s="168" t="e">
        <f t="shared" si="1"/>
        <v>#REF!</v>
      </c>
    </row>
    <row r="20" spans="1:7" ht="15.5">
      <c r="A20" s="63">
        <f t="shared" si="2"/>
        <v>39</v>
      </c>
      <c r="B20" s="64" t="s">
        <v>45</v>
      </c>
      <c r="C20" s="166" t="s">
        <v>46</v>
      </c>
      <c r="D20" s="65" t="s">
        <v>25</v>
      </c>
      <c r="E20" s="167">
        <v>41250</v>
      </c>
      <c r="F20" s="47" t="e">
        <f t="shared" si="0"/>
        <v>#REF!</v>
      </c>
      <c r="G20" s="168" t="e">
        <f t="shared" si="1"/>
        <v>#REF!</v>
      </c>
    </row>
    <row r="21" spans="1:7" ht="15.5">
      <c r="A21" s="63">
        <f t="shared" si="2"/>
        <v>40</v>
      </c>
      <c r="B21" s="64" t="s">
        <v>47</v>
      </c>
      <c r="C21" s="166">
        <v>41640</v>
      </c>
      <c r="D21" s="65" t="s">
        <v>25</v>
      </c>
      <c r="E21" s="167">
        <v>7500</v>
      </c>
      <c r="F21" s="47" t="e">
        <f t="shared" si="0"/>
        <v>#REF!</v>
      </c>
      <c r="G21" s="168" t="e">
        <f t="shared" si="1"/>
        <v>#REF!</v>
      </c>
    </row>
    <row r="22" spans="1:7" ht="15.5">
      <c r="A22" s="63">
        <f t="shared" si="2"/>
        <v>41</v>
      </c>
      <c r="B22" s="64" t="s">
        <v>48</v>
      </c>
      <c r="C22" s="166" t="s">
        <v>49</v>
      </c>
      <c r="D22" s="65" t="s">
        <v>34</v>
      </c>
      <c r="E22" s="167">
        <v>27000</v>
      </c>
      <c r="F22" s="47" t="e">
        <f t="shared" si="0"/>
        <v>#REF!</v>
      </c>
      <c r="G22" s="168" t="e">
        <f t="shared" si="1"/>
        <v>#REF!</v>
      </c>
    </row>
    <row r="23" spans="1:7" ht="15.5">
      <c r="A23" s="63">
        <f t="shared" si="2"/>
        <v>42</v>
      </c>
      <c r="B23" s="64" t="s">
        <v>50</v>
      </c>
      <c r="C23" s="166" t="s">
        <v>51</v>
      </c>
      <c r="D23" s="65" t="s">
        <v>34</v>
      </c>
      <c r="E23" s="167">
        <v>11250</v>
      </c>
      <c r="F23" s="47" t="e">
        <f t="shared" si="0"/>
        <v>#REF!</v>
      </c>
      <c r="G23" s="168" t="e">
        <f t="shared" si="1"/>
        <v>#REF!</v>
      </c>
    </row>
    <row r="24" spans="1:7" ht="15.5">
      <c r="A24" s="63">
        <f t="shared" si="2"/>
        <v>43</v>
      </c>
      <c r="B24" s="64" t="s">
        <v>52</v>
      </c>
      <c r="C24" s="166">
        <v>41405</v>
      </c>
      <c r="D24" s="65" t="s">
        <v>34</v>
      </c>
      <c r="E24" s="167">
        <v>11400</v>
      </c>
      <c r="F24" s="47" t="e">
        <f t="shared" si="0"/>
        <v>#REF!</v>
      </c>
      <c r="G24" s="168" t="e">
        <f t="shared" si="1"/>
        <v>#REF!</v>
      </c>
    </row>
    <row r="25" spans="1:7" ht="15.5">
      <c r="A25" s="63">
        <f t="shared" si="2"/>
        <v>44</v>
      </c>
      <c r="B25" s="169" t="s">
        <v>53</v>
      </c>
      <c r="C25" s="170" t="s">
        <v>54</v>
      </c>
      <c r="D25" s="171" t="s">
        <v>25</v>
      </c>
      <c r="E25" s="172">
        <v>45000</v>
      </c>
      <c r="F25" s="47" t="e">
        <f t="shared" si="0"/>
        <v>#REF!</v>
      </c>
      <c r="G25" s="168" t="e">
        <f t="shared" si="1"/>
        <v>#REF!</v>
      </c>
    </row>
    <row r="26" spans="1:7" ht="15.5">
      <c r="A26" s="63">
        <f t="shared" si="2"/>
        <v>45</v>
      </c>
      <c r="B26" s="173" t="s">
        <v>55</v>
      </c>
      <c r="C26" s="174" t="s">
        <v>56</v>
      </c>
      <c r="D26" s="65" t="s">
        <v>23</v>
      </c>
      <c r="E26" s="167">
        <v>8775</v>
      </c>
      <c r="F26" s="47" t="e">
        <f t="shared" si="0"/>
        <v>#REF!</v>
      </c>
      <c r="G26" s="168" t="e">
        <f t="shared" si="1"/>
        <v>#REF!</v>
      </c>
    </row>
    <row r="27" spans="1:7" ht="15.5">
      <c r="A27" s="63">
        <f t="shared" si="2"/>
        <v>46</v>
      </c>
      <c r="B27" s="165" t="s">
        <v>57</v>
      </c>
      <c r="C27" s="166">
        <v>41285</v>
      </c>
      <c r="D27" s="65" t="s">
        <v>29</v>
      </c>
      <c r="E27" s="167">
        <v>21550</v>
      </c>
      <c r="F27" s="47" t="e">
        <f t="shared" si="0"/>
        <v>#REF!</v>
      </c>
      <c r="G27" s="168" t="e">
        <f t="shared" si="1"/>
        <v>#REF!</v>
      </c>
    </row>
    <row r="28" spans="1:7" ht="15.5">
      <c r="A28" s="63">
        <f t="shared" si="2"/>
        <v>47</v>
      </c>
      <c r="B28" s="165" t="s">
        <v>58</v>
      </c>
      <c r="C28" s="166">
        <v>41730</v>
      </c>
      <c r="D28" s="65" t="s">
        <v>39</v>
      </c>
      <c r="E28" s="167">
        <v>1080</v>
      </c>
      <c r="F28" s="47" t="e">
        <f t="shared" si="0"/>
        <v>#REF!</v>
      </c>
      <c r="G28" s="168" t="e">
        <f t="shared" si="1"/>
        <v>#REF!</v>
      </c>
    </row>
    <row r="29" spans="1:7" ht="15.5">
      <c r="A29" s="63">
        <f t="shared" si="2"/>
        <v>48</v>
      </c>
      <c r="B29" s="165" t="s">
        <v>59</v>
      </c>
      <c r="C29" s="174" t="s">
        <v>60</v>
      </c>
      <c r="D29" s="65" t="s">
        <v>25</v>
      </c>
      <c r="E29" s="175">
        <v>142800</v>
      </c>
      <c r="F29" s="47" t="e">
        <f t="shared" si="0"/>
        <v>#REF!</v>
      </c>
      <c r="G29" s="168" t="e">
        <f t="shared" si="1"/>
        <v>#REF!</v>
      </c>
    </row>
    <row r="30" spans="1:7" ht="15.5">
      <c r="A30" s="63">
        <f t="shared" si="2"/>
        <v>49</v>
      </c>
      <c r="B30" s="165" t="s">
        <v>61</v>
      </c>
      <c r="C30" s="174">
        <v>41404</v>
      </c>
      <c r="D30" s="65" t="s">
        <v>25</v>
      </c>
      <c r="E30" s="175">
        <v>38220</v>
      </c>
      <c r="F30" s="47" t="e">
        <f t="shared" si="0"/>
        <v>#REF!</v>
      </c>
      <c r="G30" s="168" t="e">
        <f t="shared" si="1"/>
        <v>#REF!</v>
      </c>
    </row>
    <row r="31" spans="1:7" ht="15.5">
      <c r="A31" s="63">
        <f t="shared" si="2"/>
        <v>50</v>
      </c>
      <c r="B31" s="165" t="s">
        <v>62</v>
      </c>
      <c r="C31" s="166" t="s">
        <v>63</v>
      </c>
      <c r="D31" s="65" t="s">
        <v>25</v>
      </c>
      <c r="E31" s="175">
        <v>24056.25</v>
      </c>
      <c r="F31" s="47" t="e">
        <f t="shared" si="0"/>
        <v>#REF!</v>
      </c>
      <c r="G31" s="168" t="e">
        <f t="shared" si="1"/>
        <v>#REF!</v>
      </c>
    </row>
    <row r="32" spans="1:7" ht="15.5">
      <c r="A32" s="63">
        <f t="shared" si="2"/>
        <v>51</v>
      </c>
      <c r="B32" s="165" t="s">
        <v>64</v>
      </c>
      <c r="C32" s="166" t="s">
        <v>27</v>
      </c>
      <c r="D32" s="65" t="s">
        <v>34</v>
      </c>
      <c r="E32" s="175">
        <v>9908.2000000000007</v>
      </c>
      <c r="F32" s="47" t="e">
        <f t="shared" si="0"/>
        <v>#REF!</v>
      </c>
      <c r="G32" s="168" t="e">
        <f t="shared" si="1"/>
        <v>#REF!</v>
      </c>
    </row>
    <row r="33" spans="1:7" ht="15.5">
      <c r="A33" s="63">
        <f t="shared" si="2"/>
        <v>52</v>
      </c>
      <c r="B33" s="165" t="s">
        <v>65</v>
      </c>
      <c r="C33" s="166" t="s">
        <v>66</v>
      </c>
      <c r="D33" s="65" t="s">
        <v>34</v>
      </c>
      <c r="E33" s="175">
        <v>16200</v>
      </c>
      <c r="F33" s="47" t="e">
        <f t="shared" si="0"/>
        <v>#REF!</v>
      </c>
      <c r="G33" s="168" t="e">
        <f t="shared" si="1"/>
        <v>#REF!</v>
      </c>
    </row>
    <row r="34" spans="1:7" ht="15.5">
      <c r="A34" s="63">
        <f t="shared" si="2"/>
        <v>53</v>
      </c>
      <c r="B34" s="165" t="s">
        <v>67</v>
      </c>
      <c r="C34" s="166" t="s">
        <v>43</v>
      </c>
      <c r="D34" s="65" t="s">
        <v>34</v>
      </c>
      <c r="E34" s="175">
        <v>15100</v>
      </c>
      <c r="F34" s="47" t="e">
        <f t="shared" si="0"/>
        <v>#REF!</v>
      </c>
      <c r="G34" s="168" t="e">
        <f t="shared" si="1"/>
        <v>#REF!</v>
      </c>
    </row>
    <row r="35" spans="1:7" ht="15.5">
      <c r="A35" s="63">
        <f t="shared" si="2"/>
        <v>54</v>
      </c>
      <c r="B35" s="176" t="s">
        <v>68</v>
      </c>
      <c r="C35" s="166">
        <v>41437</v>
      </c>
      <c r="D35" s="65" t="s">
        <v>34</v>
      </c>
      <c r="E35" s="177">
        <v>2250</v>
      </c>
      <c r="F35" s="47" t="e">
        <f t="shared" si="0"/>
        <v>#REF!</v>
      </c>
      <c r="G35" s="168" t="e">
        <f t="shared" si="1"/>
        <v>#REF!</v>
      </c>
    </row>
    <row r="36" spans="1:7" ht="15.5">
      <c r="A36" s="63">
        <f t="shared" si="2"/>
        <v>55</v>
      </c>
      <c r="B36" s="176" t="s">
        <v>69</v>
      </c>
      <c r="C36" s="166" t="s">
        <v>70</v>
      </c>
      <c r="D36" s="65" t="s">
        <v>71</v>
      </c>
      <c r="E36" s="177">
        <v>68650</v>
      </c>
      <c r="F36" s="47" t="e">
        <f t="shared" si="0"/>
        <v>#REF!</v>
      </c>
      <c r="G36" s="168" t="e">
        <f t="shared" si="1"/>
        <v>#REF!</v>
      </c>
    </row>
    <row r="37" spans="1:7" ht="15.5">
      <c r="A37" s="63">
        <f t="shared" si="2"/>
        <v>56</v>
      </c>
      <c r="B37" s="176" t="s">
        <v>72</v>
      </c>
      <c r="C37" s="166">
        <v>41436</v>
      </c>
      <c r="D37" s="65" t="s">
        <v>71</v>
      </c>
      <c r="E37" s="177">
        <v>52800</v>
      </c>
      <c r="F37" s="47" t="e">
        <f t="shared" si="0"/>
        <v>#REF!</v>
      </c>
      <c r="G37" s="168" t="e">
        <f t="shared" si="1"/>
        <v>#REF!</v>
      </c>
    </row>
    <row r="38" spans="1:7">
      <c r="E38" s="178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C4:D4"/>
    <mergeCell ref="A4:A7"/>
    <mergeCell ref="A1:G1"/>
    <mergeCell ref="A2:B2"/>
    <mergeCell ref="C2:E2"/>
    <mergeCell ref="A3:B3"/>
    <mergeCell ref="C3:E3"/>
  </mergeCells>
  <conditionalFormatting sqref="B5">
    <cfRule type="expression" dxfId="22" priority="1">
      <formula>$C$43&gt;0</formula>
    </cfRule>
  </conditionalFormatting>
  <conditionalFormatting sqref="D5">
    <cfRule type="expression" dxfId="21" priority="4">
      <formula>$E$5&gt;0</formula>
    </cfRule>
  </conditionalFormatting>
  <conditionalFormatting sqref="B6">
    <cfRule type="expression" dxfId="20" priority="2">
      <formula>$C$44&gt;0</formula>
    </cfRule>
  </conditionalFormatting>
  <conditionalFormatting sqref="D6">
    <cfRule type="expression" dxfId="19" priority="3">
      <formula>$E$6&gt;0</formula>
    </cfRule>
  </conditionalFormatting>
  <conditionalFormatting sqref="F9:G37">
    <cfRule type="cellIs" dxfId="18" priority="5" stopIfTrue="1" operator="equal">
      <formula>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8"/>
  <sheetViews>
    <sheetView workbookViewId="0">
      <selection sqref="A1:G38"/>
    </sheetView>
  </sheetViews>
  <sheetFormatPr defaultColWidth="9" defaultRowHeight="12.5"/>
  <cols>
    <col min="1" max="1" width="8.7265625" customWidth="1"/>
    <col min="2" max="2" width="18.453125" customWidth="1"/>
    <col min="3" max="3" width="14" customWidth="1"/>
    <col min="4" max="4" width="16.453125" customWidth="1"/>
    <col min="5" max="5" width="14.54296875" customWidth="1"/>
    <col min="6" max="6" width="12.81640625" customWidth="1"/>
    <col min="7" max="7" width="16.54296875" customWidth="1"/>
  </cols>
  <sheetData>
    <row r="1" spans="1:7" ht="14">
      <c r="A1" s="205" t="s">
        <v>0</v>
      </c>
      <c r="B1" s="206"/>
      <c r="C1" s="206"/>
      <c r="D1" s="206"/>
      <c r="E1" s="206"/>
      <c r="F1" s="206"/>
      <c r="G1" s="207"/>
    </row>
    <row r="2" spans="1:7" ht="14">
      <c r="A2" s="208" t="s">
        <v>1</v>
      </c>
      <c r="B2" s="209"/>
      <c r="C2" s="210" t="s">
        <v>2</v>
      </c>
      <c r="D2" s="210"/>
      <c r="E2" s="210"/>
      <c r="F2" s="146"/>
      <c r="G2" s="147"/>
    </row>
    <row r="3" spans="1:7" ht="15.5">
      <c r="A3" s="211" t="s">
        <v>3</v>
      </c>
      <c r="B3" s="199"/>
      <c r="C3" s="212" t="s">
        <v>4</v>
      </c>
      <c r="D3" s="212"/>
      <c r="E3" s="212"/>
      <c r="F3" s="146"/>
      <c r="G3" s="148"/>
    </row>
    <row r="4" spans="1:7" ht="15.5">
      <c r="A4" s="203" t="s">
        <v>5</v>
      </c>
      <c r="B4" s="149" t="s">
        <v>6</v>
      </c>
      <c r="C4" s="202">
        <v>728072</v>
      </c>
      <c r="D4" s="202"/>
      <c r="E4" s="150"/>
      <c r="F4" s="81"/>
      <c r="G4" s="148"/>
    </row>
    <row r="5" spans="1:7" ht="15.5">
      <c r="A5" s="203"/>
      <c r="B5" s="151" t="s">
        <v>7</v>
      </c>
      <c r="C5">
        <v>1000000</v>
      </c>
      <c r="D5" s="152" t="s">
        <v>8</v>
      </c>
      <c r="E5" s="153"/>
      <c r="F5" s="81"/>
      <c r="G5" s="148"/>
    </row>
    <row r="6" spans="1:7" ht="15.5">
      <c r="A6" s="203"/>
      <c r="B6" s="151" t="s">
        <v>9</v>
      </c>
      <c r="C6" s="153"/>
      <c r="D6" s="152" t="s">
        <v>10</v>
      </c>
      <c r="E6" s="153"/>
      <c r="F6" s="81" t="s">
        <v>11</v>
      </c>
      <c r="G6" s="148" t="s">
        <v>12</v>
      </c>
    </row>
    <row r="7" spans="1:7" ht="15.5">
      <c r="A7" s="204"/>
      <c r="B7" s="154" t="s">
        <v>13</v>
      </c>
      <c r="C7" s="155">
        <f>SUM(C4+C6+C5+E5+E6)</f>
        <v>1728072</v>
      </c>
      <c r="D7" s="156" t="e">
        <f>C7-#REF!</f>
        <v>#REF!</v>
      </c>
      <c r="E7" s="157"/>
      <c r="F7" s="158" t="e">
        <f>D7</f>
        <v>#REF!</v>
      </c>
      <c r="G7" s="159" t="e">
        <f>#REF!</f>
        <v>#REF!</v>
      </c>
    </row>
    <row r="8" spans="1:7" ht="34.5">
      <c r="A8" s="160" t="s">
        <v>14</v>
      </c>
      <c r="B8" s="161" t="s">
        <v>15</v>
      </c>
      <c r="C8" s="162" t="s">
        <v>16</v>
      </c>
      <c r="D8" s="163" t="s">
        <v>17</v>
      </c>
      <c r="E8" s="163" t="s">
        <v>18</v>
      </c>
      <c r="F8" s="163" t="s">
        <v>19</v>
      </c>
      <c r="G8" s="164" t="s">
        <v>20</v>
      </c>
    </row>
    <row r="9" spans="1:7" ht="15.5">
      <c r="A9" s="63">
        <v>28</v>
      </c>
      <c r="B9" s="165" t="s">
        <v>21</v>
      </c>
      <c r="C9" s="166" t="s">
        <v>22</v>
      </c>
      <c r="D9" s="65" t="s">
        <v>23</v>
      </c>
      <c r="E9" s="167">
        <v>15100</v>
      </c>
      <c r="F9" s="47" t="e">
        <f>D7-E9</f>
        <v>#REF!</v>
      </c>
      <c r="G9" s="168" t="e">
        <f>#REF!</f>
        <v>#REF!</v>
      </c>
    </row>
    <row r="10" spans="1:7" ht="15.5">
      <c r="A10" s="63">
        <f>$A9+1</f>
        <v>29</v>
      </c>
      <c r="B10" s="165" t="s">
        <v>24</v>
      </c>
      <c r="C10" s="166" t="s">
        <v>22</v>
      </c>
      <c r="D10" s="65" t="s">
        <v>25</v>
      </c>
      <c r="E10" s="167">
        <v>15100</v>
      </c>
      <c r="F10" s="47" t="e">
        <f t="shared" ref="F10:F37" si="0">F9-E10</f>
        <v>#REF!</v>
      </c>
      <c r="G10" s="168" t="e">
        <f t="shared" ref="G10:G37" si="1">G9+E10</f>
        <v>#REF!</v>
      </c>
    </row>
    <row r="11" spans="1:7" ht="15.5">
      <c r="A11" s="63">
        <f t="shared" ref="A11:A37" si="2">$A10+1</f>
        <v>30</v>
      </c>
      <c r="B11" s="165" t="s">
        <v>26</v>
      </c>
      <c r="C11" s="166" t="s">
        <v>27</v>
      </c>
      <c r="D11" s="65" t="s">
        <v>25</v>
      </c>
      <c r="E11" s="167">
        <v>15100</v>
      </c>
      <c r="F11" s="47" t="e">
        <f t="shared" si="0"/>
        <v>#REF!</v>
      </c>
      <c r="G11" s="168" t="e">
        <f t="shared" si="1"/>
        <v>#REF!</v>
      </c>
    </row>
    <row r="12" spans="1:7" ht="15.5">
      <c r="A12" s="63">
        <f t="shared" si="2"/>
        <v>31</v>
      </c>
      <c r="B12" s="165" t="s">
        <v>28</v>
      </c>
      <c r="C12" s="166" t="s">
        <v>27</v>
      </c>
      <c r="D12" s="65" t="s">
        <v>29</v>
      </c>
      <c r="E12" s="167">
        <v>6135.04</v>
      </c>
      <c r="F12" s="47" t="e">
        <f t="shared" si="0"/>
        <v>#REF!</v>
      </c>
      <c r="G12" s="168" t="e">
        <f t="shared" si="1"/>
        <v>#REF!</v>
      </c>
    </row>
    <row r="13" spans="1:7" ht="15.5">
      <c r="A13" s="63">
        <f t="shared" si="2"/>
        <v>32</v>
      </c>
      <c r="B13" s="165" t="s">
        <v>30</v>
      </c>
      <c r="C13" s="166" t="s">
        <v>31</v>
      </c>
      <c r="D13" s="65" t="s">
        <v>29</v>
      </c>
      <c r="E13" s="167">
        <v>11798.41</v>
      </c>
      <c r="F13" s="47" t="e">
        <f t="shared" si="0"/>
        <v>#REF!</v>
      </c>
      <c r="G13" s="168" t="e">
        <f t="shared" si="1"/>
        <v>#REF!</v>
      </c>
    </row>
    <row r="14" spans="1:7" ht="15.5">
      <c r="A14" s="63">
        <f t="shared" si="2"/>
        <v>33</v>
      </c>
      <c r="B14" s="165" t="s">
        <v>32</v>
      </c>
      <c r="C14" s="166" t="s">
        <v>33</v>
      </c>
      <c r="D14" s="65" t="s">
        <v>34</v>
      </c>
      <c r="E14" s="167">
        <v>11323.33</v>
      </c>
      <c r="F14" s="47" t="e">
        <f t="shared" si="0"/>
        <v>#REF!</v>
      </c>
      <c r="G14" s="168" t="e">
        <f t="shared" si="1"/>
        <v>#REF!</v>
      </c>
    </row>
    <row r="15" spans="1:7" ht="15.5">
      <c r="A15" s="63">
        <f t="shared" si="2"/>
        <v>34</v>
      </c>
      <c r="B15" s="165" t="s">
        <v>35</v>
      </c>
      <c r="C15" s="166">
        <v>41498</v>
      </c>
      <c r="D15" s="65" t="s">
        <v>36</v>
      </c>
      <c r="E15" s="167">
        <v>3776</v>
      </c>
      <c r="F15" s="47" t="e">
        <f t="shared" si="0"/>
        <v>#REF!</v>
      </c>
      <c r="G15" s="168" t="e">
        <f t="shared" si="1"/>
        <v>#REF!</v>
      </c>
    </row>
    <row r="16" spans="1:7" ht="15.5">
      <c r="A16" s="63">
        <f t="shared" si="2"/>
        <v>35</v>
      </c>
      <c r="B16" s="64" t="s">
        <v>37</v>
      </c>
      <c r="C16" s="166" t="s">
        <v>38</v>
      </c>
      <c r="D16" s="65" t="s">
        <v>39</v>
      </c>
      <c r="E16" s="167">
        <v>11799</v>
      </c>
      <c r="F16" s="47" t="e">
        <f t="shared" si="0"/>
        <v>#REF!</v>
      </c>
      <c r="G16" s="168" t="e">
        <f t="shared" si="1"/>
        <v>#REF!</v>
      </c>
    </row>
    <row r="17" spans="1:7" ht="15.5">
      <c r="A17" s="63">
        <f t="shared" si="2"/>
        <v>36</v>
      </c>
      <c r="B17" s="64" t="s">
        <v>40</v>
      </c>
      <c r="C17" s="166" t="s">
        <v>41</v>
      </c>
      <c r="D17" s="65" t="s">
        <v>25</v>
      </c>
      <c r="E17" s="167">
        <v>18000</v>
      </c>
      <c r="F17" s="47" t="e">
        <f t="shared" si="0"/>
        <v>#REF!</v>
      </c>
      <c r="G17" s="168" t="e">
        <f t="shared" si="1"/>
        <v>#REF!</v>
      </c>
    </row>
    <row r="18" spans="1:7" ht="15.5">
      <c r="A18" s="63">
        <f t="shared" si="2"/>
        <v>37</v>
      </c>
      <c r="B18" s="64" t="s">
        <v>42</v>
      </c>
      <c r="C18" s="166" t="s">
        <v>43</v>
      </c>
      <c r="D18" s="65" t="s">
        <v>25</v>
      </c>
      <c r="E18" s="167">
        <v>15100</v>
      </c>
      <c r="F18" s="47" t="e">
        <f t="shared" si="0"/>
        <v>#REF!</v>
      </c>
      <c r="G18" s="168" t="e">
        <f t="shared" si="1"/>
        <v>#REF!</v>
      </c>
    </row>
    <row r="19" spans="1:7" ht="15.5">
      <c r="A19" s="63">
        <f t="shared" si="2"/>
        <v>38</v>
      </c>
      <c r="B19" s="64" t="s">
        <v>44</v>
      </c>
      <c r="C19" s="166" t="s">
        <v>38</v>
      </c>
      <c r="D19" s="65" t="s">
        <v>25</v>
      </c>
      <c r="E19" s="167">
        <v>15100</v>
      </c>
      <c r="F19" s="47" t="e">
        <f t="shared" si="0"/>
        <v>#REF!</v>
      </c>
      <c r="G19" s="168" t="e">
        <f t="shared" si="1"/>
        <v>#REF!</v>
      </c>
    </row>
    <row r="20" spans="1:7" ht="15.5">
      <c r="A20" s="63">
        <f t="shared" si="2"/>
        <v>39</v>
      </c>
      <c r="B20" s="64" t="s">
        <v>45</v>
      </c>
      <c r="C20" s="166" t="s">
        <v>46</v>
      </c>
      <c r="D20" s="65" t="s">
        <v>25</v>
      </c>
      <c r="E20" s="167">
        <v>41250</v>
      </c>
      <c r="F20" s="47" t="e">
        <f t="shared" si="0"/>
        <v>#REF!</v>
      </c>
      <c r="G20" s="168" t="e">
        <f t="shared" si="1"/>
        <v>#REF!</v>
      </c>
    </row>
    <row r="21" spans="1:7" ht="15.5">
      <c r="A21" s="63">
        <f t="shared" si="2"/>
        <v>40</v>
      </c>
      <c r="B21" s="64" t="s">
        <v>47</v>
      </c>
      <c r="C21" s="166">
        <v>41640</v>
      </c>
      <c r="D21" s="65" t="s">
        <v>25</v>
      </c>
      <c r="E21" s="167">
        <v>7500</v>
      </c>
      <c r="F21" s="47" t="e">
        <f t="shared" si="0"/>
        <v>#REF!</v>
      </c>
      <c r="G21" s="168" t="e">
        <f t="shared" si="1"/>
        <v>#REF!</v>
      </c>
    </row>
    <row r="22" spans="1:7" ht="15.5">
      <c r="A22" s="63">
        <f t="shared" si="2"/>
        <v>41</v>
      </c>
      <c r="B22" s="64" t="s">
        <v>48</v>
      </c>
      <c r="C22" s="166" t="s">
        <v>49</v>
      </c>
      <c r="D22" s="65" t="s">
        <v>34</v>
      </c>
      <c r="E22" s="167">
        <v>27000</v>
      </c>
      <c r="F22" s="47" t="e">
        <f t="shared" si="0"/>
        <v>#REF!</v>
      </c>
      <c r="G22" s="168" t="e">
        <f t="shared" si="1"/>
        <v>#REF!</v>
      </c>
    </row>
    <row r="23" spans="1:7" ht="15.5">
      <c r="A23" s="63">
        <f t="shared" si="2"/>
        <v>42</v>
      </c>
      <c r="B23" s="64" t="s">
        <v>50</v>
      </c>
      <c r="C23" s="166" t="s">
        <v>51</v>
      </c>
      <c r="D23" s="65" t="s">
        <v>34</v>
      </c>
      <c r="E23" s="167">
        <v>11250</v>
      </c>
      <c r="F23" s="47" t="e">
        <f t="shared" si="0"/>
        <v>#REF!</v>
      </c>
      <c r="G23" s="168" t="e">
        <f t="shared" si="1"/>
        <v>#REF!</v>
      </c>
    </row>
    <row r="24" spans="1:7" ht="15.5">
      <c r="A24" s="63">
        <f t="shared" si="2"/>
        <v>43</v>
      </c>
      <c r="B24" s="64" t="s">
        <v>52</v>
      </c>
      <c r="C24" s="166">
        <v>41405</v>
      </c>
      <c r="D24" s="65" t="s">
        <v>34</v>
      </c>
      <c r="E24" s="167">
        <v>11400</v>
      </c>
      <c r="F24" s="47" t="e">
        <f t="shared" si="0"/>
        <v>#REF!</v>
      </c>
      <c r="G24" s="168" t="e">
        <f t="shared" si="1"/>
        <v>#REF!</v>
      </c>
    </row>
    <row r="25" spans="1:7" ht="15.5">
      <c r="A25" s="63">
        <f t="shared" si="2"/>
        <v>44</v>
      </c>
      <c r="B25" s="169" t="s">
        <v>53</v>
      </c>
      <c r="C25" s="170" t="s">
        <v>54</v>
      </c>
      <c r="D25" s="171" t="s">
        <v>25</v>
      </c>
      <c r="E25" s="172">
        <v>45000</v>
      </c>
      <c r="F25" s="47" t="e">
        <f t="shared" si="0"/>
        <v>#REF!</v>
      </c>
      <c r="G25" s="168" t="e">
        <f t="shared" si="1"/>
        <v>#REF!</v>
      </c>
    </row>
    <row r="26" spans="1:7" ht="15.5">
      <c r="A26" s="63">
        <f t="shared" si="2"/>
        <v>45</v>
      </c>
      <c r="B26" s="173" t="s">
        <v>55</v>
      </c>
      <c r="C26" s="174" t="s">
        <v>56</v>
      </c>
      <c r="D26" s="65" t="s">
        <v>23</v>
      </c>
      <c r="E26" s="167">
        <v>8775</v>
      </c>
      <c r="F26" s="47" t="e">
        <f t="shared" si="0"/>
        <v>#REF!</v>
      </c>
      <c r="G26" s="168" t="e">
        <f t="shared" si="1"/>
        <v>#REF!</v>
      </c>
    </row>
    <row r="27" spans="1:7" ht="15.5">
      <c r="A27" s="63">
        <f t="shared" si="2"/>
        <v>46</v>
      </c>
      <c r="B27" s="165" t="s">
        <v>57</v>
      </c>
      <c r="C27" s="166">
        <v>41285</v>
      </c>
      <c r="D27" s="65" t="s">
        <v>29</v>
      </c>
      <c r="E27" s="167">
        <v>21550</v>
      </c>
      <c r="F27" s="47" t="e">
        <f t="shared" si="0"/>
        <v>#REF!</v>
      </c>
      <c r="G27" s="168" t="e">
        <f t="shared" si="1"/>
        <v>#REF!</v>
      </c>
    </row>
    <row r="28" spans="1:7" ht="15.5">
      <c r="A28" s="63">
        <f t="shared" si="2"/>
        <v>47</v>
      </c>
      <c r="B28" s="165" t="s">
        <v>58</v>
      </c>
      <c r="C28" s="166">
        <v>41730</v>
      </c>
      <c r="D28" s="65" t="s">
        <v>39</v>
      </c>
      <c r="E28" s="167">
        <v>1080</v>
      </c>
      <c r="F28" s="47" t="e">
        <f t="shared" si="0"/>
        <v>#REF!</v>
      </c>
      <c r="G28" s="168" t="e">
        <f t="shared" si="1"/>
        <v>#REF!</v>
      </c>
    </row>
    <row r="29" spans="1:7" ht="15.5">
      <c r="A29" s="63">
        <f t="shared" si="2"/>
        <v>48</v>
      </c>
      <c r="B29" s="165" t="s">
        <v>59</v>
      </c>
      <c r="C29" s="174" t="s">
        <v>60</v>
      </c>
      <c r="D29" s="65" t="s">
        <v>25</v>
      </c>
      <c r="E29" s="175">
        <v>142800</v>
      </c>
      <c r="F29" s="47" t="e">
        <f t="shared" si="0"/>
        <v>#REF!</v>
      </c>
      <c r="G29" s="168" t="e">
        <f t="shared" si="1"/>
        <v>#REF!</v>
      </c>
    </row>
    <row r="30" spans="1:7" ht="15.5">
      <c r="A30" s="63">
        <f t="shared" si="2"/>
        <v>49</v>
      </c>
      <c r="B30" s="165" t="s">
        <v>61</v>
      </c>
      <c r="C30" s="174">
        <v>41404</v>
      </c>
      <c r="D30" s="65" t="s">
        <v>25</v>
      </c>
      <c r="E30" s="175">
        <v>38220</v>
      </c>
      <c r="F30" s="47" t="e">
        <f t="shared" si="0"/>
        <v>#REF!</v>
      </c>
      <c r="G30" s="168" t="e">
        <f t="shared" si="1"/>
        <v>#REF!</v>
      </c>
    </row>
    <row r="31" spans="1:7" ht="15.5">
      <c r="A31" s="63">
        <f t="shared" si="2"/>
        <v>50</v>
      </c>
      <c r="B31" s="165" t="s">
        <v>62</v>
      </c>
      <c r="C31" s="166" t="s">
        <v>63</v>
      </c>
      <c r="D31" s="65" t="s">
        <v>25</v>
      </c>
      <c r="E31" s="175">
        <v>24056.25</v>
      </c>
      <c r="F31" s="47" t="e">
        <f t="shared" si="0"/>
        <v>#REF!</v>
      </c>
      <c r="G31" s="168" t="e">
        <f t="shared" si="1"/>
        <v>#REF!</v>
      </c>
    </row>
    <row r="32" spans="1:7" ht="15.5">
      <c r="A32" s="63">
        <f t="shared" si="2"/>
        <v>51</v>
      </c>
      <c r="B32" s="165" t="s">
        <v>64</v>
      </c>
      <c r="C32" s="166" t="s">
        <v>27</v>
      </c>
      <c r="D32" s="65" t="s">
        <v>34</v>
      </c>
      <c r="E32" s="175">
        <v>9908.2000000000007</v>
      </c>
      <c r="F32" s="47" t="e">
        <f t="shared" si="0"/>
        <v>#REF!</v>
      </c>
      <c r="G32" s="168" t="e">
        <f t="shared" si="1"/>
        <v>#REF!</v>
      </c>
    </row>
    <row r="33" spans="1:7" ht="15.5">
      <c r="A33" s="63">
        <f t="shared" si="2"/>
        <v>52</v>
      </c>
      <c r="B33" s="165" t="s">
        <v>65</v>
      </c>
      <c r="C33" s="166" t="s">
        <v>66</v>
      </c>
      <c r="D33" s="65" t="s">
        <v>34</v>
      </c>
      <c r="E33" s="175">
        <v>16200</v>
      </c>
      <c r="F33" s="47" t="e">
        <f t="shared" si="0"/>
        <v>#REF!</v>
      </c>
      <c r="G33" s="168" t="e">
        <f t="shared" si="1"/>
        <v>#REF!</v>
      </c>
    </row>
    <row r="34" spans="1:7" ht="15.5">
      <c r="A34" s="63">
        <f t="shared" si="2"/>
        <v>53</v>
      </c>
      <c r="B34" s="165" t="s">
        <v>67</v>
      </c>
      <c r="C34" s="166" t="s">
        <v>43</v>
      </c>
      <c r="D34" s="65" t="s">
        <v>34</v>
      </c>
      <c r="E34" s="175">
        <v>15100</v>
      </c>
      <c r="F34" s="47" t="e">
        <f t="shared" si="0"/>
        <v>#REF!</v>
      </c>
      <c r="G34" s="168" t="e">
        <f t="shared" si="1"/>
        <v>#REF!</v>
      </c>
    </row>
    <row r="35" spans="1:7" ht="15.5">
      <c r="A35" s="63">
        <f t="shared" si="2"/>
        <v>54</v>
      </c>
      <c r="B35" s="176" t="s">
        <v>68</v>
      </c>
      <c r="C35" s="166">
        <v>41437</v>
      </c>
      <c r="D35" s="65" t="s">
        <v>34</v>
      </c>
      <c r="E35" s="177">
        <v>2250</v>
      </c>
      <c r="F35" s="47" t="e">
        <f t="shared" si="0"/>
        <v>#REF!</v>
      </c>
      <c r="G35" s="168" t="e">
        <f t="shared" si="1"/>
        <v>#REF!</v>
      </c>
    </row>
    <row r="36" spans="1:7" ht="15.5">
      <c r="A36" s="63">
        <f t="shared" si="2"/>
        <v>55</v>
      </c>
      <c r="B36" s="176" t="s">
        <v>69</v>
      </c>
      <c r="C36" s="166" t="s">
        <v>70</v>
      </c>
      <c r="D36" s="65" t="s">
        <v>71</v>
      </c>
      <c r="E36" s="177">
        <v>68650</v>
      </c>
      <c r="F36" s="47" t="e">
        <f t="shared" si="0"/>
        <v>#REF!</v>
      </c>
      <c r="G36" s="168" t="e">
        <f t="shared" si="1"/>
        <v>#REF!</v>
      </c>
    </row>
    <row r="37" spans="1:7" ht="15.5">
      <c r="A37" s="63">
        <f t="shared" si="2"/>
        <v>56</v>
      </c>
      <c r="B37" s="176" t="s">
        <v>72</v>
      </c>
      <c r="C37" s="166">
        <v>41436</v>
      </c>
      <c r="D37" s="65" t="s">
        <v>71</v>
      </c>
      <c r="E37" s="177">
        <v>52800</v>
      </c>
      <c r="F37" s="47" t="e">
        <f t="shared" si="0"/>
        <v>#REF!</v>
      </c>
      <c r="G37" s="168" t="e">
        <f t="shared" si="1"/>
        <v>#REF!</v>
      </c>
    </row>
    <row r="38" spans="1:7">
      <c r="E38" s="178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C4:D4"/>
    <mergeCell ref="A4:A7"/>
    <mergeCell ref="A1:G1"/>
    <mergeCell ref="A2:B2"/>
    <mergeCell ref="C2:E2"/>
    <mergeCell ref="A3:B3"/>
    <mergeCell ref="C3:E3"/>
  </mergeCells>
  <conditionalFormatting sqref="B5">
    <cfRule type="expression" dxfId="17" priority="1">
      <formula>$C$43&gt;0</formula>
    </cfRule>
  </conditionalFormatting>
  <conditionalFormatting sqref="D5">
    <cfRule type="expression" dxfId="16" priority="4">
      <formula>$E$5&gt;0</formula>
    </cfRule>
  </conditionalFormatting>
  <conditionalFormatting sqref="B6">
    <cfRule type="expression" dxfId="15" priority="2">
      <formula>$C$44&gt;0</formula>
    </cfRule>
  </conditionalFormatting>
  <conditionalFormatting sqref="D6">
    <cfRule type="expression" dxfId="14" priority="3">
      <formula>$E$6&gt;0</formula>
    </cfRule>
  </conditionalFormatting>
  <conditionalFormatting sqref="F9:G37">
    <cfRule type="cellIs" dxfId="13" priority="5" stopIfTrue="1" operator="equal">
      <formula>0</formula>
    </cfRule>
  </conditionalFormatting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O397"/>
  <sheetViews>
    <sheetView tabSelected="1" workbookViewId="0">
      <pane ySplit="8" topLeftCell="A104" activePane="bottomLeft" state="frozen"/>
      <selection pane="bottomLeft" activeCell="C4" sqref="C4:D4"/>
    </sheetView>
  </sheetViews>
  <sheetFormatPr defaultColWidth="9" defaultRowHeight="18.75" customHeight="1"/>
  <cols>
    <col min="1" max="1" width="9" customWidth="1"/>
    <col min="2" max="2" width="19.1796875" customWidth="1"/>
    <col min="3" max="3" width="14" style="21" customWidth="1"/>
    <col min="4" max="4" width="21.54296875" style="96" customWidth="1"/>
    <col min="5" max="5" width="13.81640625" style="22" customWidth="1"/>
    <col min="6" max="6" width="17.1796875" style="23" customWidth="1"/>
    <col min="7" max="7" width="14.54296875" style="97" customWidth="1"/>
    <col min="8" max="8" width="55.81640625" bestFit="1" customWidth="1"/>
    <col min="9" max="11" width="11" bestFit="1" customWidth="1"/>
    <col min="12" max="12" width="16.26953125" bestFit="1" customWidth="1"/>
  </cols>
  <sheetData>
    <row r="1" spans="1:10" ht="18.75" customHeight="1">
      <c r="A1" s="194" t="s">
        <v>73</v>
      </c>
      <c r="B1" s="195"/>
      <c r="C1" s="195"/>
      <c r="D1" s="196"/>
      <c r="E1" s="195"/>
      <c r="F1" s="195"/>
      <c r="G1" s="197"/>
    </row>
    <row r="2" spans="1:10" ht="18.75" customHeight="1">
      <c r="A2" s="198" t="s">
        <v>1</v>
      </c>
      <c r="B2" s="199"/>
      <c r="C2" s="200" t="s">
        <v>74</v>
      </c>
      <c r="D2" s="200"/>
      <c r="E2" s="200"/>
      <c r="F2" s="200"/>
      <c r="G2" s="98"/>
    </row>
    <row r="3" spans="1:10" ht="18.75" customHeight="1">
      <c r="A3" s="198" t="s">
        <v>3</v>
      </c>
      <c r="B3" s="199"/>
      <c r="C3" s="201" t="s">
        <v>75</v>
      </c>
      <c r="D3" s="201"/>
      <c r="E3" s="201"/>
      <c r="F3" s="24"/>
      <c r="G3" s="98"/>
    </row>
    <row r="4" spans="1:10" ht="18.75" customHeight="1">
      <c r="A4" s="192" t="s">
        <v>5</v>
      </c>
      <c r="B4" s="27" t="s">
        <v>6</v>
      </c>
      <c r="C4" s="187">
        <v>2275347.6</v>
      </c>
      <c r="D4" s="187"/>
      <c r="E4" s="28"/>
      <c r="F4" s="29"/>
      <c r="G4" s="98"/>
    </row>
    <row r="5" spans="1:10" ht="15.5">
      <c r="A5" s="192"/>
      <c r="B5" s="30"/>
      <c r="C5" s="99"/>
      <c r="D5" s="100"/>
      <c r="E5" s="99"/>
      <c r="F5" s="100"/>
      <c r="G5" s="101"/>
    </row>
    <row r="6" spans="1:10" ht="0.75" customHeight="1">
      <c r="A6" s="192"/>
      <c r="B6" s="30" t="s">
        <v>76</v>
      </c>
      <c r="C6" s="99"/>
      <c r="D6" s="100" t="s">
        <v>77</v>
      </c>
      <c r="E6" s="102"/>
      <c r="F6" s="100" t="s">
        <v>78</v>
      </c>
      <c r="G6" s="101"/>
    </row>
    <row r="7" spans="1:10" ht="29.25" customHeight="1">
      <c r="A7" s="193"/>
      <c r="B7" s="30"/>
      <c r="C7" s="103"/>
      <c r="D7" s="188" t="s">
        <v>13</v>
      </c>
      <c r="E7" s="189"/>
      <c r="F7" s="190">
        <f>G5+G6+C4+C5+C6+E5+E6</f>
        <v>2275347.6</v>
      </c>
      <c r="G7" s="191"/>
    </row>
    <row r="8" spans="1:10" s="20" customFormat="1" ht="39">
      <c r="A8" s="104" t="s">
        <v>14</v>
      </c>
      <c r="B8" s="105" t="s">
        <v>15</v>
      </c>
      <c r="C8" s="105" t="s">
        <v>16</v>
      </c>
      <c r="D8" s="106" t="s">
        <v>533</v>
      </c>
      <c r="E8" s="40" t="s">
        <v>18</v>
      </c>
      <c r="F8" s="40" t="s">
        <v>19</v>
      </c>
      <c r="G8" s="107" t="s">
        <v>20</v>
      </c>
    </row>
    <row r="9" spans="1:10" ht="14">
      <c r="A9" s="108">
        <v>1</v>
      </c>
      <c r="B9" s="109" t="s">
        <v>79</v>
      </c>
      <c r="C9" s="110">
        <v>45678</v>
      </c>
      <c r="D9" s="111" t="s">
        <v>80</v>
      </c>
      <c r="E9" s="112">
        <v>2583.4</v>
      </c>
      <c r="F9" s="113">
        <f>$F$7-E9</f>
        <v>2272764.2000000002</v>
      </c>
      <c r="G9" s="114">
        <f>E9</f>
        <v>2583.4</v>
      </c>
      <c r="H9" s="94" t="s">
        <v>81</v>
      </c>
    </row>
    <row r="10" spans="1:10" ht="14">
      <c r="A10" s="108">
        <v>2</v>
      </c>
      <c r="B10" s="109" t="s">
        <v>82</v>
      </c>
      <c r="C10" s="110">
        <v>45682</v>
      </c>
      <c r="D10" s="111" t="s">
        <v>80</v>
      </c>
      <c r="E10" s="112">
        <v>2921.85</v>
      </c>
      <c r="F10" s="113">
        <f t="shared" ref="F10:F11" si="0">IF(E10="","",F9-E10)</f>
        <v>2269842.35</v>
      </c>
      <c r="G10" s="114">
        <f t="shared" ref="G10:G11" si="1">IF(E10="","",G9+E10)</f>
        <v>5505.25</v>
      </c>
      <c r="H10" s="94" t="s">
        <v>83</v>
      </c>
    </row>
    <row r="11" spans="1:10" ht="14">
      <c r="A11" s="108">
        <v>3</v>
      </c>
      <c r="B11" s="109" t="s">
        <v>84</v>
      </c>
      <c r="C11" s="110">
        <v>45687</v>
      </c>
      <c r="D11" s="111" t="s">
        <v>85</v>
      </c>
      <c r="E11" s="112">
        <v>4050</v>
      </c>
      <c r="F11" s="113">
        <f t="shared" si="0"/>
        <v>2265792.35</v>
      </c>
      <c r="G11" s="114">
        <f t="shared" si="1"/>
        <v>9555.25</v>
      </c>
      <c r="H11" s="94" t="s">
        <v>86</v>
      </c>
    </row>
    <row r="12" spans="1:10" ht="14">
      <c r="A12" s="108">
        <v>4</v>
      </c>
      <c r="B12" s="109" t="s">
        <v>87</v>
      </c>
      <c r="C12" s="110">
        <v>45698</v>
      </c>
      <c r="D12" s="111" t="s">
        <v>85</v>
      </c>
      <c r="E12" s="112">
        <v>4050</v>
      </c>
      <c r="F12" s="113">
        <f t="shared" ref="F12:F13" si="2">IF(E12="","",F11-E12)</f>
        <v>2261742.35</v>
      </c>
      <c r="G12" s="114">
        <f t="shared" ref="G12:G13" si="3">IF(E12="","",G11+E12)</f>
        <v>13605.25</v>
      </c>
      <c r="H12" s="94" t="s">
        <v>88</v>
      </c>
    </row>
    <row r="13" spans="1:10" ht="14">
      <c r="A13" s="108">
        <v>5</v>
      </c>
      <c r="B13" s="109" t="s">
        <v>89</v>
      </c>
      <c r="C13" s="110">
        <v>45704</v>
      </c>
      <c r="D13" s="111" t="s">
        <v>85</v>
      </c>
      <c r="E13" s="112">
        <v>4050</v>
      </c>
      <c r="F13" s="113">
        <f t="shared" si="2"/>
        <v>2257692.35</v>
      </c>
      <c r="G13" s="114">
        <f t="shared" si="3"/>
        <v>17655.25</v>
      </c>
      <c r="H13" s="94" t="s">
        <v>90</v>
      </c>
      <c r="J13" s="3" t="s">
        <v>123</v>
      </c>
    </row>
    <row r="14" spans="1:10" ht="14">
      <c r="A14" s="108">
        <v>6</v>
      </c>
      <c r="B14" s="109" t="s">
        <v>91</v>
      </c>
      <c r="C14" s="110">
        <v>45695</v>
      </c>
      <c r="D14" s="111" t="s">
        <v>92</v>
      </c>
      <c r="E14" s="112">
        <v>2595.5</v>
      </c>
      <c r="F14" s="113">
        <f t="shared" ref="F14" si="4">IF(E14="","",F13-E14)</f>
        <v>2255096.85</v>
      </c>
      <c r="G14" s="114">
        <f t="shared" ref="G14" si="5">IF(E14="","",G13+E14)</f>
        <v>20250.75</v>
      </c>
      <c r="H14" s="94" t="s">
        <v>93</v>
      </c>
    </row>
    <row r="15" spans="1:10" ht="14">
      <c r="A15" s="108">
        <v>7</v>
      </c>
      <c r="B15" s="109" t="s">
        <v>94</v>
      </c>
      <c r="C15" s="110">
        <v>45708</v>
      </c>
      <c r="D15" s="111" t="s">
        <v>95</v>
      </c>
      <c r="E15" s="112">
        <v>30470</v>
      </c>
      <c r="F15" s="113">
        <f t="shared" ref="F15" si="6">IF(E15="","",F14-E15)</f>
        <v>2224626.85</v>
      </c>
      <c r="G15" s="114">
        <f t="shared" ref="G15" si="7">IF(E15="","",G14+E15)</f>
        <v>50720.75</v>
      </c>
      <c r="H15" s="94" t="s">
        <v>96</v>
      </c>
    </row>
    <row r="16" spans="1:10" ht="14">
      <c r="A16" s="108">
        <v>8</v>
      </c>
      <c r="B16" s="109" t="s">
        <v>97</v>
      </c>
      <c r="C16" s="110">
        <v>45730</v>
      </c>
      <c r="D16" s="111" t="s">
        <v>98</v>
      </c>
      <c r="E16" s="112">
        <v>2595.5</v>
      </c>
      <c r="F16" s="113">
        <f t="shared" ref="F16" si="8">IF(E16="","",F15-E16)</f>
        <v>2222031.35</v>
      </c>
      <c r="G16" s="114">
        <f t="shared" ref="G16" si="9">IF(E16="","",G15+E16)</f>
        <v>53316.25</v>
      </c>
      <c r="H16" s="94" t="s">
        <v>99</v>
      </c>
    </row>
    <row r="17" spans="1:10" ht="14">
      <c r="A17" s="108">
        <v>9</v>
      </c>
      <c r="B17" s="109" t="s">
        <v>100</v>
      </c>
      <c r="C17" s="110">
        <v>45733</v>
      </c>
      <c r="D17" s="111" t="s">
        <v>98</v>
      </c>
      <c r="E17" s="112">
        <v>2595.5</v>
      </c>
      <c r="F17" s="113">
        <f t="shared" ref="F17" si="10">IF(E17="","",F16-E17)</f>
        <v>2219435.85</v>
      </c>
      <c r="G17" s="114">
        <f t="shared" ref="G17" si="11">IF(E17="","",G16+E17)</f>
        <v>55911.75</v>
      </c>
      <c r="H17" s="94" t="s">
        <v>101</v>
      </c>
    </row>
    <row r="18" spans="1:10" ht="14">
      <c r="A18" s="108">
        <v>10</v>
      </c>
      <c r="B18" s="109" t="s">
        <v>102</v>
      </c>
      <c r="C18" s="110">
        <v>45733</v>
      </c>
      <c r="D18" s="111" t="s">
        <v>80</v>
      </c>
      <c r="E18" s="112">
        <v>3629.22</v>
      </c>
      <c r="F18" s="113">
        <f t="shared" ref="F18" si="12">IF(E18="","",F17-E18)</f>
        <v>2215806.63</v>
      </c>
      <c r="G18" s="114">
        <f t="shared" ref="G18" si="13">IF(E18="","",G17+E18)</f>
        <v>59540.97</v>
      </c>
      <c r="H18" s="94" t="s">
        <v>93</v>
      </c>
    </row>
    <row r="19" spans="1:10" ht="14">
      <c r="A19" s="108">
        <v>11</v>
      </c>
      <c r="B19" s="109" t="s">
        <v>103</v>
      </c>
      <c r="C19" s="110">
        <v>45737</v>
      </c>
      <c r="D19" s="111" t="s">
        <v>80</v>
      </c>
      <c r="E19" s="112">
        <v>2921.85</v>
      </c>
      <c r="F19" s="113">
        <f t="shared" ref="F19" si="14">IF(E19="","",F18-E19)</f>
        <v>2212884.7799999998</v>
      </c>
      <c r="G19" s="114">
        <f t="shared" ref="G19" si="15">IF(E19="","",G18+E19)</f>
        <v>62462.82</v>
      </c>
      <c r="H19" s="94" t="s">
        <v>104</v>
      </c>
    </row>
    <row r="20" spans="1:10" ht="14">
      <c r="A20" s="108">
        <v>12</v>
      </c>
      <c r="B20" s="109" t="s">
        <v>105</v>
      </c>
      <c r="C20" s="110" t="s">
        <v>106</v>
      </c>
      <c r="D20" s="111" t="s">
        <v>95</v>
      </c>
      <c r="E20" s="112">
        <v>50</v>
      </c>
      <c r="F20" s="113">
        <f t="shared" ref="F20:F25" si="16">IF(E20="","",F19-E20)</f>
        <v>2212834.7799999998</v>
      </c>
      <c r="G20" s="114">
        <f t="shared" ref="G20:G25" si="17">IF(E20="","",G19+E20)</f>
        <v>62512.82</v>
      </c>
      <c r="H20" s="115" t="s">
        <v>107</v>
      </c>
    </row>
    <row r="21" spans="1:10" ht="14">
      <c r="A21" s="108">
        <v>13</v>
      </c>
      <c r="B21" s="109" t="s">
        <v>276</v>
      </c>
      <c r="C21" s="179" t="s">
        <v>106</v>
      </c>
      <c r="D21" s="180" t="s">
        <v>85</v>
      </c>
      <c r="E21" s="112">
        <v>1550</v>
      </c>
      <c r="F21" s="113">
        <f t="shared" si="16"/>
        <v>2211284.7799999998</v>
      </c>
      <c r="G21" s="114">
        <f t="shared" si="17"/>
        <v>64062.82</v>
      </c>
      <c r="H21" s="115" t="s">
        <v>107</v>
      </c>
    </row>
    <row r="22" spans="1:10" ht="14">
      <c r="A22" s="108">
        <v>14</v>
      </c>
      <c r="B22" s="181" t="s">
        <v>277</v>
      </c>
      <c r="C22" s="179" t="s">
        <v>278</v>
      </c>
      <c r="D22" s="180" t="s">
        <v>85</v>
      </c>
      <c r="E22" s="112">
        <v>2900</v>
      </c>
      <c r="F22" s="113">
        <f t="shared" si="16"/>
        <v>2208384.7799999998</v>
      </c>
      <c r="G22" s="114">
        <f t="shared" si="17"/>
        <v>66962.820000000007</v>
      </c>
      <c r="H22" s="115" t="s">
        <v>107</v>
      </c>
    </row>
    <row r="23" spans="1:10" ht="14">
      <c r="A23" s="108">
        <v>15</v>
      </c>
      <c r="B23" s="181" t="s">
        <v>279</v>
      </c>
      <c r="C23" s="110">
        <v>45749</v>
      </c>
      <c r="D23" s="180" t="s">
        <v>280</v>
      </c>
      <c r="E23" s="112">
        <v>2595.5</v>
      </c>
      <c r="F23" s="113">
        <f t="shared" si="16"/>
        <v>2205789.2799999998</v>
      </c>
      <c r="G23" s="114">
        <f t="shared" si="17"/>
        <v>69558.320000000007</v>
      </c>
      <c r="H23" s="182" t="s">
        <v>93</v>
      </c>
    </row>
    <row r="24" spans="1:10" ht="14">
      <c r="A24" s="108">
        <v>16</v>
      </c>
      <c r="B24" s="181" t="s">
        <v>281</v>
      </c>
      <c r="C24" s="110">
        <v>45754</v>
      </c>
      <c r="D24" s="180" t="s">
        <v>85</v>
      </c>
      <c r="E24" s="112">
        <v>74262.67</v>
      </c>
      <c r="F24" s="113">
        <f t="shared" si="16"/>
        <v>2131526.61</v>
      </c>
      <c r="G24" s="114">
        <f t="shared" si="17"/>
        <v>143820.99</v>
      </c>
      <c r="H24" s="182" t="s">
        <v>282</v>
      </c>
    </row>
    <row r="25" spans="1:10" ht="14">
      <c r="A25" s="108">
        <v>17</v>
      </c>
      <c r="B25" s="181" t="s">
        <v>283</v>
      </c>
      <c r="C25" s="179" t="s">
        <v>284</v>
      </c>
      <c r="D25" s="180" t="s">
        <v>85</v>
      </c>
      <c r="E25" s="112">
        <v>3200</v>
      </c>
      <c r="F25" s="113">
        <f t="shared" si="16"/>
        <v>2128326.61</v>
      </c>
      <c r="G25" s="114">
        <f t="shared" si="17"/>
        <v>147020.99</v>
      </c>
      <c r="H25" s="115" t="s">
        <v>107</v>
      </c>
    </row>
    <row r="26" spans="1:10" ht="14">
      <c r="A26" s="108">
        <v>18</v>
      </c>
      <c r="B26" s="181" t="s">
        <v>285</v>
      </c>
      <c r="C26" s="179" t="s">
        <v>286</v>
      </c>
      <c r="D26" s="180" t="s">
        <v>95</v>
      </c>
      <c r="E26" s="117">
        <v>100</v>
      </c>
      <c r="F26" s="113">
        <f t="shared" ref="F26" si="18">IF(E26="","",F25-E26)</f>
        <v>2128226.61</v>
      </c>
      <c r="G26" s="114">
        <f t="shared" ref="G26" si="19">IF(E26="","",G25+E26)</f>
        <v>147120.99</v>
      </c>
      <c r="H26" s="182" t="s">
        <v>287</v>
      </c>
    </row>
    <row r="27" spans="1:10" ht="14">
      <c r="A27" s="108">
        <v>19</v>
      </c>
      <c r="B27" s="181" t="s">
        <v>288</v>
      </c>
      <c r="C27" s="110">
        <v>45774</v>
      </c>
      <c r="D27" s="180" t="s">
        <v>80</v>
      </c>
      <c r="E27" s="117">
        <v>2347</v>
      </c>
      <c r="F27" s="113">
        <f t="shared" ref="F27" si="20">IF(E27="","",F26-E27)</f>
        <v>2125879.61</v>
      </c>
      <c r="G27" s="114">
        <f t="shared" ref="G27" si="21">IF(E27="","",G26+E27)</f>
        <v>149467.99</v>
      </c>
      <c r="H27" s="182" t="s">
        <v>104</v>
      </c>
    </row>
    <row r="28" spans="1:10" ht="14">
      <c r="A28" s="108">
        <v>20</v>
      </c>
      <c r="B28" s="181" t="s">
        <v>289</v>
      </c>
      <c r="C28" s="179" t="s">
        <v>290</v>
      </c>
      <c r="D28" s="180" t="s">
        <v>95</v>
      </c>
      <c r="E28" s="118">
        <v>1850</v>
      </c>
      <c r="F28" s="113">
        <f t="shared" ref="F28" si="22">IF(E28="","",F27-E28)</f>
        <v>2124029.61</v>
      </c>
      <c r="G28" s="114">
        <f t="shared" ref="G28" si="23">IF(E28="","",G27+E28)</f>
        <v>151317.99</v>
      </c>
      <c r="H28" s="182" t="s">
        <v>313</v>
      </c>
    </row>
    <row r="29" spans="1:10" ht="14">
      <c r="A29" s="108">
        <v>21</v>
      </c>
      <c r="B29" s="181" t="s">
        <v>291</v>
      </c>
      <c r="C29" s="110">
        <v>45757</v>
      </c>
      <c r="D29" s="180" t="s">
        <v>280</v>
      </c>
      <c r="E29" s="118">
        <v>2595.5</v>
      </c>
      <c r="F29" s="113">
        <f t="shared" ref="F29" si="24">IF(E29="","",F28-E29)</f>
        <v>2121434.11</v>
      </c>
      <c r="G29" s="114">
        <f t="shared" ref="G29" si="25">IF(E29="","",G28+E29)</f>
        <v>153913.49</v>
      </c>
      <c r="H29" s="182" t="s">
        <v>93</v>
      </c>
      <c r="J29" s="183" t="s">
        <v>300</v>
      </c>
    </row>
    <row r="30" spans="1:10" ht="14">
      <c r="A30" s="108">
        <v>22</v>
      </c>
      <c r="B30" s="181" t="s">
        <v>292</v>
      </c>
      <c r="C30" s="110">
        <v>45786</v>
      </c>
      <c r="D30" s="180" t="s">
        <v>85</v>
      </c>
      <c r="E30" s="118">
        <v>6079.6</v>
      </c>
      <c r="F30" s="113">
        <f t="shared" ref="F30" si="26">IF(E30="","",F29-E30)</f>
        <v>2115354.5099999998</v>
      </c>
      <c r="G30" s="114">
        <f t="shared" ref="G30" si="27">IF(E30="","",G29+E30)</f>
        <v>159993.09</v>
      </c>
      <c r="H30" s="182" t="s">
        <v>104</v>
      </c>
    </row>
    <row r="31" spans="1:10" ht="14">
      <c r="A31" s="108">
        <v>23</v>
      </c>
      <c r="B31" s="181" t="s">
        <v>293</v>
      </c>
      <c r="C31" s="110" t="s">
        <v>106</v>
      </c>
      <c r="D31" s="180" t="s">
        <v>80</v>
      </c>
      <c r="E31" s="118">
        <v>3525</v>
      </c>
      <c r="F31" s="113">
        <f t="shared" ref="F31" si="28">IF(E31="","",F30-E31)</f>
        <v>2111829.5099999998</v>
      </c>
      <c r="G31" s="114">
        <f t="shared" ref="G31" si="29">IF(E31="","",G30+E31)</f>
        <v>163518.09</v>
      </c>
      <c r="H31" s="182" t="s">
        <v>294</v>
      </c>
    </row>
    <row r="32" spans="1:10" ht="14">
      <c r="A32" s="108">
        <v>24</v>
      </c>
      <c r="B32" s="181" t="s">
        <v>295</v>
      </c>
      <c r="C32" s="179" t="s">
        <v>296</v>
      </c>
      <c r="D32" s="180" t="s">
        <v>80</v>
      </c>
      <c r="E32" s="118">
        <v>7050</v>
      </c>
      <c r="F32" s="113">
        <f t="shared" ref="F32" si="30">IF(E32="","",F31-E32)</f>
        <v>2104779.5099999998</v>
      </c>
      <c r="G32" s="114">
        <f t="shared" ref="G32" si="31">IF(E32="","",G31+E32)</f>
        <v>170568.09</v>
      </c>
      <c r="H32" s="182" t="s">
        <v>294</v>
      </c>
    </row>
    <row r="33" spans="1:8" ht="14">
      <c r="A33" s="108">
        <v>25</v>
      </c>
      <c r="B33" s="181" t="s">
        <v>297</v>
      </c>
      <c r="C33" s="110">
        <v>45804</v>
      </c>
      <c r="D33" s="180" t="s">
        <v>85</v>
      </c>
      <c r="E33" s="118">
        <v>2798</v>
      </c>
      <c r="F33" s="113">
        <f t="shared" ref="F33" si="32">IF(E33="","",F32-E33)</f>
        <v>2101981.5099999998</v>
      </c>
      <c r="G33" s="114">
        <f t="shared" ref="G33" si="33">IF(E33="","",G32+E33)</f>
        <v>173366.09</v>
      </c>
      <c r="H33" s="182" t="s">
        <v>104</v>
      </c>
    </row>
    <row r="34" spans="1:8" ht="14">
      <c r="A34" s="108">
        <v>26</v>
      </c>
      <c r="B34" s="181" t="s">
        <v>298</v>
      </c>
      <c r="C34" s="179" t="s">
        <v>286</v>
      </c>
      <c r="D34" s="180" t="s">
        <v>80</v>
      </c>
      <c r="E34" s="118">
        <v>7050</v>
      </c>
      <c r="F34" s="113">
        <f t="shared" ref="F34" si="34">IF(E34="","",F33-E34)</f>
        <v>2094931.5099999998</v>
      </c>
      <c r="G34" s="114">
        <f t="shared" ref="G34" si="35">IF(E34="","",G33+E34)</f>
        <v>180416.09</v>
      </c>
      <c r="H34" s="182" t="s">
        <v>294</v>
      </c>
    </row>
    <row r="35" spans="1:8" ht="14">
      <c r="A35" s="108">
        <v>27</v>
      </c>
      <c r="B35" s="181" t="s">
        <v>299</v>
      </c>
      <c r="C35" s="110">
        <v>45825</v>
      </c>
      <c r="D35" s="180" t="s">
        <v>280</v>
      </c>
      <c r="E35" s="118">
        <v>2301.5</v>
      </c>
      <c r="F35" s="113">
        <f t="shared" ref="F35" si="36">IF(E35="","",F34-E35)</f>
        <v>2092630.0099999998</v>
      </c>
      <c r="G35" s="114">
        <f t="shared" ref="G35" si="37">IF(E35="","",G34+E35)</f>
        <v>182717.59</v>
      </c>
      <c r="H35" s="182" t="s">
        <v>93</v>
      </c>
    </row>
    <row r="36" spans="1:8" ht="14">
      <c r="A36" s="108">
        <v>28</v>
      </c>
      <c r="B36" s="181" t="s">
        <v>301</v>
      </c>
      <c r="C36" s="110">
        <v>45824</v>
      </c>
      <c r="D36" s="180" t="s">
        <v>98</v>
      </c>
      <c r="E36" s="118">
        <v>2595</v>
      </c>
      <c r="F36" s="113">
        <f t="shared" ref="F36" si="38">IF(E36="","",F35-E36)</f>
        <v>2090035.0099999998</v>
      </c>
      <c r="G36" s="114">
        <f t="shared" ref="G36" si="39">IF(E36="","",G35+E36)</f>
        <v>185312.59</v>
      </c>
      <c r="H36" s="182" t="s">
        <v>93</v>
      </c>
    </row>
    <row r="37" spans="1:8" ht="14">
      <c r="A37" s="108">
        <v>29</v>
      </c>
      <c r="B37" s="181" t="s">
        <v>302</v>
      </c>
      <c r="C37" s="179" t="s">
        <v>303</v>
      </c>
      <c r="D37" s="180" t="s">
        <v>85</v>
      </c>
      <c r="E37" s="118">
        <v>7050</v>
      </c>
      <c r="F37" s="113">
        <f t="shared" ref="F37" si="40">IF(E37="","",F36-E37)</f>
        <v>2082985.0099999998</v>
      </c>
      <c r="G37" s="114">
        <f t="shared" ref="G37" si="41">IF(E37="","",G36+E37)</f>
        <v>192362.59</v>
      </c>
      <c r="H37" s="182" t="s">
        <v>294</v>
      </c>
    </row>
    <row r="38" spans="1:8" ht="14">
      <c r="A38" s="108">
        <v>30</v>
      </c>
      <c r="B38" s="181" t="s">
        <v>304</v>
      </c>
      <c r="C38" s="179" t="s">
        <v>305</v>
      </c>
      <c r="D38" s="180" t="s">
        <v>80</v>
      </c>
      <c r="E38" s="118">
        <v>100</v>
      </c>
      <c r="F38" s="113">
        <f t="shared" ref="F38" si="42">IF(E38="","",F37-E38)</f>
        <v>2082885.0099999998</v>
      </c>
      <c r="G38" s="114">
        <f t="shared" ref="G38" si="43">IF(E38="","",G37+E38)</f>
        <v>192462.59</v>
      </c>
      <c r="H38" s="182" t="s">
        <v>287</v>
      </c>
    </row>
    <row r="39" spans="1:8" ht="14">
      <c r="A39" s="108">
        <v>31</v>
      </c>
      <c r="B39" s="181" t="s">
        <v>306</v>
      </c>
      <c r="C39" s="179" t="s">
        <v>303</v>
      </c>
      <c r="D39" s="180" t="s">
        <v>80</v>
      </c>
      <c r="E39" s="118">
        <v>100</v>
      </c>
      <c r="F39" s="113">
        <f t="shared" ref="F39" si="44">IF(E39="","",F38-E39)</f>
        <v>2082785.0099999998</v>
      </c>
      <c r="G39" s="114">
        <f t="shared" ref="G39" si="45">IF(E39="","",G38+E39)</f>
        <v>192562.59</v>
      </c>
      <c r="H39" s="182" t="s">
        <v>287</v>
      </c>
    </row>
    <row r="40" spans="1:8" ht="14">
      <c r="A40" s="108">
        <v>32</v>
      </c>
      <c r="B40" s="181" t="s">
        <v>307</v>
      </c>
      <c r="C40" s="179" t="s">
        <v>308</v>
      </c>
      <c r="D40" s="111" t="s">
        <v>318</v>
      </c>
      <c r="E40" s="118">
        <v>602</v>
      </c>
      <c r="F40" s="113">
        <f t="shared" ref="F40" si="46">IF(E40="","",F39-E40)</f>
        <v>2082183.0099999998</v>
      </c>
      <c r="G40" s="114">
        <f t="shared" ref="G40" si="47">IF(E40="","",G39+E40)</f>
        <v>193164.59</v>
      </c>
      <c r="H40" s="182" t="s">
        <v>312</v>
      </c>
    </row>
    <row r="41" spans="1:8" ht="14">
      <c r="A41" s="108">
        <v>33</v>
      </c>
      <c r="B41" s="181" t="s">
        <v>309</v>
      </c>
      <c r="C41" s="179" t="s">
        <v>310</v>
      </c>
      <c r="D41" s="180" t="s">
        <v>311</v>
      </c>
      <c r="E41" s="118">
        <v>2058</v>
      </c>
      <c r="F41" s="113">
        <f t="shared" ref="F41" si="48">IF(E41="","",F40-E41)</f>
        <v>2080125.0099999998</v>
      </c>
      <c r="G41" s="114">
        <f t="shared" ref="G41" si="49">IF(E41="","",G40+E41)</f>
        <v>195222.59</v>
      </c>
      <c r="H41" s="182" t="s">
        <v>312</v>
      </c>
    </row>
    <row r="42" spans="1:8" ht="14">
      <c r="A42" s="108">
        <v>34</v>
      </c>
      <c r="B42" s="109" t="s">
        <v>315</v>
      </c>
      <c r="C42" s="110">
        <v>45850</v>
      </c>
      <c r="D42" s="111" t="s">
        <v>316</v>
      </c>
      <c r="E42" s="118">
        <v>2646</v>
      </c>
      <c r="F42" s="113">
        <f t="shared" ref="F42" si="50">IF(E42="","",F41-E42)</f>
        <v>2077479.0099999998</v>
      </c>
      <c r="G42" s="114">
        <f t="shared" ref="G42" si="51">IF(E42="","",G41+E42)</f>
        <v>197868.59</v>
      </c>
      <c r="H42" s="94" t="s">
        <v>319</v>
      </c>
    </row>
    <row r="43" spans="1:8" ht="14">
      <c r="A43" s="108">
        <v>35</v>
      </c>
      <c r="B43" s="109" t="s">
        <v>317</v>
      </c>
      <c r="C43" s="110">
        <v>45840</v>
      </c>
      <c r="D43" s="111" t="s">
        <v>318</v>
      </c>
      <c r="E43" s="118">
        <v>14800</v>
      </c>
      <c r="F43" s="113">
        <f t="shared" ref="F43" si="52">IF(E43="","",F42-E43)</f>
        <v>2062679.0099999998</v>
      </c>
      <c r="G43" s="114">
        <f t="shared" ref="G43" si="53">IF(E43="","",G42+E43)</f>
        <v>212668.59</v>
      </c>
      <c r="H43" s="94" t="s">
        <v>320</v>
      </c>
    </row>
    <row r="44" spans="1:8" ht="14">
      <c r="A44" s="108">
        <v>36</v>
      </c>
      <c r="B44" s="109" t="s">
        <v>321</v>
      </c>
      <c r="C44" s="110">
        <v>45840</v>
      </c>
      <c r="D44" s="111" t="s">
        <v>322</v>
      </c>
      <c r="E44" s="118">
        <v>4945</v>
      </c>
      <c r="F44" s="113">
        <f t="shared" ref="F44" si="54">IF(E44="","",F43-E44)</f>
        <v>2057734.0099999998</v>
      </c>
      <c r="G44" s="114">
        <f t="shared" ref="G44" si="55">IF(E44="","",G43+E44)</f>
        <v>217613.59</v>
      </c>
      <c r="H44" s="94" t="s">
        <v>323</v>
      </c>
    </row>
    <row r="45" spans="1:8" ht="14">
      <c r="A45" s="108">
        <v>37</v>
      </c>
      <c r="B45" s="109" t="s">
        <v>324</v>
      </c>
      <c r="C45" s="110" t="s">
        <v>325</v>
      </c>
      <c r="D45" s="111" t="s">
        <v>326</v>
      </c>
      <c r="E45" s="118">
        <v>200</v>
      </c>
      <c r="F45" s="113">
        <f t="shared" ref="F45" si="56">IF(E45="","",F44-E45)</f>
        <v>2057534.0099999998</v>
      </c>
      <c r="G45" s="114">
        <f t="shared" ref="G45" si="57">IF(E45="","",G44+E45)</f>
        <v>217813.59</v>
      </c>
      <c r="H45" s="182" t="s">
        <v>312</v>
      </c>
    </row>
    <row r="46" spans="1:8" ht="14">
      <c r="A46" s="108">
        <v>38</v>
      </c>
      <c r="B46" s="109" t="s">
        <v>327</v>
      </c>
      <c r="C46" s="110" t="s">
        <v>328</v>
      </c>
      <c r="D46" s="111" t="s">
        <v>322</v>
      </c>
      <c r="E46" s="118">
        <v>5500</v>
      </c>
      <c r="F46" s="113">
        <f t="shared" ref="F46" si="58">IF(E46="","",F45-E46)</f>
        <v>2052034.0099999998</v>
      </c>
      <c r="G46" s="114">
        <f t="shared" ref="G46" si="59">IF(E46="","",G45+E46)</f>
        <v>223313.59</v>
      </c>
      <c r="H46" s="94" t="s">
        <v>344</v>
      </c>
    </row>
    <row r="47" spans="1:8" ht="14">
      <c r="A47" s="108">
        <v>39</v>
      </c>
      <c r="B47" s="109" t="s">
        <v>329</v>
      </c>
      <c r="C47" s="110" t="s">
        <v>330</v>
      </c>
      <c r="D47" s="111" t="s">
        <v>331</v>
      </c>
      <c r="E47" s="118">
        <v>2488</v>
      </c>
      <c r="F47" s="113">
        <f t="shared" ref="F47" si="60">IF(E47="","",F46-E47)</f>
        <v>2049546.0099999998</v>
      </c>
      <c r="G47" s="114">
        <f t="shared" ref="G47" si="61">IF(E47="","",G46+E47)</f>
        <v>225801.59</v>
      </c>
      <c r="H47" s="182" t="s">
        <v>312</v>
      </c>
    </row>
    <row r="48" spans="1:8" ht="14">
      <c r="A48" s="108">
        <v>40</v>
      </c>
      <c r="B48" s="109" t="s">
        <v>332</v>
      </c>
      <c r="C48" s="110" t="s">
        <v>333</v>
      </c>
      <c r="D48" s="111" t="s">
        <v>334</v>
      </c>
      <c r="E48" s="118">
        <v>1525</v>
      </c>
      <c r="F48" s="113">
        <f t="shared" ref="F48" si="62">IF(E48="","",F47-E48)</f>
        <v>2048021.0099999998</v>
      </c>
      <c r="G48" s="114">
        <f t="shared" ref="G48" si="63">IF(E48="","",G47+E48)</f>
        <v>227326.59</v>
      </c>
      <c r="H48" s="94" t="s">
        <v>313</v>
      </c>
    </row>
    <row r="49" spans="1:8" ht="14">
      <c r="A49" s="108">
        <v>41</v>
      </c>
      <c r="B49" s="109" t="s">
        <v>335</v>
      </c>
      <c r="C49" s="110" t="s">
        <v>336</v>
      </c>
      <c r="D49" s="111" t="s">
        <v>85</v>
      </c>
      <c r="E49" s="118">
        <v>120.8</v>
      </c>
      <c r="F49" s="113">
        <f t="shared" ref="F49" si="64">IF(E49="","",F48-E49)</f>
        <v>2047900.2099999997</v>
      </c>
      <c r="G49" s="114">
        <f t="shared" ref="G49" si="65">IF(E49="","",G48+E49)</f>
        <v>227447.38999999998</v>
      </c>
      <c r="H49" s="94" t="s">
        <v>313</v>
      </c>
    </row>
    <row r="50" spans="1:8" ht="14">
      <c r="A50" s="108">
        <v>42</v>
      </c>
      <c r="B50" s="109" t="s">
        <v>337</v>
      </c>
      <c r="C50" s="110" t="s">
        <v>338</v>
      </c>
      <c r="D50" s="111" t="s">
        <v>318</v>
      </c>
      <c r="E50" s="118">
        <v>100</v>
      </c>
      <c r="F50" s="113">
        <f t="shared" ref="F50" si="66">IF(E50="","",F49-E50)</f>
        <v>2047800.2099999997</v>
      </c>
      <c r="G50" s="114">
        <f t="shared" ref="G50" si="67">IF(E50="","",G49+E50)</f>
        <v>227547.38999999998</v>
      </c>
      <c r="H50" s="182" t="s">
        <v>287</v>
      </c>
    </row>
    <row r="51" spans="1:8" ht="14">
      <c r="A51" s="108">
        <v>43</v>
      </c>
      <c r="B51" s="109" t="s">
        <v>339</v>
      </c>
      <c r="C51" s="110" t="s">
        <v>338</v>
      </c>
      <c r="D51" s="111" t="s">
        <v>326</v>
      </c>
      <c r="E51" s="118">
        <v>100</v>
      </c>
      <c r="F51" s="113">
        <f t="shared" ref="F51" si="68">IF(E51="","",F50-E51)</f>
        <v>2047700.2099999997</v>
      </c>
      <c r="G51" s="114">
        <f t="shared" ref="G51" si="69">IF(E51="","",G50+E51)</f>
        <v>227647.38999999998</v>
      </c>
      <c r="H51" s="182" t="s">
        <v>287</v>
      </c>
    </row>
    <row r="52" spans="1:8" ht="14">
      <c r="A52" s="108">
        <v>44</v>
      </c>
      <c r="B52" s="109" t="s">
        <v>340</v>
      </c>
      <c r="C52" s="110" t="s">
        <v>341</v>
      </c>
      <c r="D52" s="111" t="s">
        <v>334</v>
      </c>
      <c r="E52" s="118">
        <v>662</v>
      </c>
      <c r="F52" s="113">
        <f t="shared" ref="F52" si="70">IF(E52="","",F51-E52)</f>
        <v>2047038.2099999997</v>
      </c>
      <c r="G52" s="114">
        <f t="shared" ref="G52" si="71">IF(E52="","",G51+E52)</f>
        <v>228309.38999999998</v>
      </c>
      <c r="H52" s="182" t="s">
        <v>312</v>
      </c>
    </row>
    <row r="53" spans="1:8" ht="14">
      <c r="A53" s="108">
        <v>45</v>
      </c>
      <c r="B53" s="109" t="s">
        <v>342</v>
      </c>
      <c r="C53" s="110" t="s">
        <v>325</v>
      </c>
      <c r="D53" s="111" t="s">
        <v>343</v>
      </c>
      <c r="E53" s="118">
        <v>1173</v>
      </c>
      <c r="F53" s="113">
        <f t="shared" ref="F53" si="72">IF(E53="","",F52-E53)</f>
        <v>2045865.2099999997</v>
      </c>
      <c r="G53" s="114">
        <f t="shared" ref="G53" si="73">IF(E53="","",G52+E53)</f>
        <v>229482.38999999998</v>
      </c>
      <c r="H53" s="94" t="s">
        <v>344</v>
      </c>
    </row>
    <row r="54" spans="1:8" ht="14">
      <c r="A54" s="108">
        <v>46</v>
      </c>
      <c r="B54" s="109" t="s">
        <v>345</v>
      </c>
      <c r="C54" s="110">
        <v>45884</v>
      </c>
      <c r="D54" s="111" t="s">
        <v>322</v>
      </c>
      <c r="E54" s="118">
        <v>1960</v>
      </c>
      <c r="F54" s="113">
        <f t="shared" ref="F54" si="74">IF(E54="","",F53-E54)</f>
        <v>2043905.2099999997</v>
      </c>
      <c r="G54" s="114">
        <f t="shared" ref="G54" si="75">IF(E54="","",G53+E54)</f>
        <v>231442.38999999998</v>
      </c>
      <c r="H54" s="94" t="s">
        <v>347</v>
      </c>
    </row>
    <row r="55" spans="1:8" ht="14">
      <c r="A55" s="108">
        <v>47</v>
      </c>
      <c r="B55" s="109" t="s">
        <v>348</v>
      </c>
      <c r="C55" s="110">
        <v>45881</v>
      </c>
      <c r="D55" s="111" t="s">
        <v>322</v>
      </c>
      <c r="E55" s="118">
        <v>2450</v>
      </c>
      <c r="F55" s="113">
        <f t="shared" ref="F55" si="76">IF(E55="","",F54-E55)</f>
        <v>2041455.2099999997</v>
      </c>
      <c r="G55" s="114">
        <f t="shared" ref="G55" si="77">IF(E55="","",G54+E55)</f>
        <v>233892.38999999998</v>
      </c>
      <c r="H55" s="94" t="s">
        <v>346</v>
      </c>
    </row>
    <row r="56" spans="1:8" ht="14">
      <c r="A56" s="108">
        <v>48</v>
      </c>
      <c r="B56" s="109" t="s">
        <v>349</v>
      </c>
      <c r="C56" s="110">
        <v>45871</v>
      </c>
      <c r="D56" s="111" t="s">
        <v>311</v>
      </c>
      <c r="E56" s="118">
        <v>30825</v>
      </c>
      <c r="F56" s="113">
        <f t="shared" ref="F56" si="78">IF(E56="","",F55-E56)</f>
        <v>2010630.2099999997</v>
      </c>
      <c r="G56" s="114">
        <f t="shared" ref="G56" si="79">IF(E56="","",G55+E56)</f>
        <v>264717.39</v>
      </c>
      <c r="H56" s="94" t="s">
        <v>350</v>
      </c>
    </row>
    <row r="57" spans="1:8" ht="14">
      <c r="A57" s="108">
        <v>49</v>
      </c>
      <c r="B57" s="109" t="s">
        <v>351</v>
      </c>
      <c r="C57" s="110">
        <v>45873</v>
      </c>
      <c r="D57" s="111" t="s">
        <v>353</v>
      </c>
      <c r="E57" s="118">
        <v>28319.599999999999</v>
      </c>
      <c r="F57" s="113">
        <f t="shared" ref="F57" si="80">IF(E57="","",F56-E57)</f>
        <v>1982310.6099999996</v>
      </c>
      <c r="G57" s="114">
        <f t="shared" ref="G57" si="81">IF(E57="","",G56+E57)</f>
        <v>293036.99</v>
      </c>
      <c r="H57" s="94" t="s">
        <v>354</v>
      </c>
    </row>
    <row r="58" spans="1:8" ht="14">
      <c r="A58" s="108">
        <v>50</v>
      </c>
      <c r="B58" s="109" t="s">
        <v>352</v>
      </c>
      <c r="C58" s="110">
        <v>45864</v>
      </c>
      <c r="D58" s="111" t="s">
        <v>343</v>
      </c>
      <c r="E58" s="118">
        <v>13599</v>
      </c>
      <c r="F58" s="113">
        <f t="shared" ref="F58" si="82">IF(E58="","",F57-E58)</f>
        <v>1968711.6099999996</v>
      </c>
      <c r="G58" s="114">
        <f t="shared" ref="G58" si="83">IF(E58="","",G57+E58)</f>
        <v>306635.99</v>
      </c>
      <c r="H58" s="94" t="s">
        <v>350</v>
      </c>
    </row>
    <row r="59" spans="1:8" ht="14">
      <c r="A59" s="108">
        <v>51</v>
      </c>
      <c r="B59" s="109" t="s">
        <v>355</v>
      </c>
      <c r="C59" s="110">
        <v>45890</v>
      </c>
      <c r="D59" s="111" t="s">
        <v>322</v>
      </c>
      <c r="E59" s="118">
        <v>1635</v>
      </c>
      <c r="F59" s="113">
        <f t="shared" ref="F59" si="84">IF(E59="","",F58-E59)</f>
        <v>1967076.6099999996</v>
      </c>
      <c r="G59" s="114">
        <f t="shared" ref="G59" si="85">IF(E59="","",G58+E59)</f>
        <v>308270.99</v>
      </c>
      <c r="H59" s="94" t="s">
        <v>356</v>
      </c>
    </row>
    <row r="60" spans="1:8" ht="14">
      <c r="A60" s="108">
        <v>52</v>
      </c>
      <c r="B60" s="109" t="s">
        <v>358</v>
      </c>
      <c r="C60" s="110" t="s">
        <v>359</v>
      </c>
      <c r="D60" s="111" t="s">
        <v>85</v>
      </c>
      <c r="E60" s="118">
        <v>11830</v>
      </c>
      <c r="F60" s="113">
        <f t="shared" ref="F60" si="86">IF(E60="","",F59-E60)</f>
        <v>1955246.6099999996</v>
      </c>
      <c r="G60" s="114">
        <f t="shared" ref="G60" si="87">IF(E60="","",G59+E60)</f>
        <v>320100.99</v>
      </c>
      <c r="H60" s="94" t="s">
        <v>360</v>
      </c>
    </row>
    <row r="61" spans="1:8" ht="14">
      <c r="A61" s="108">
        <v>53</v>
      </c>
      <c r="B61" s="109" t="s">
        <v>361</v>
      </c>
      <c r="C61" s="110" t="s">
        <v>362</v>
      </c>
      <c r="D61" s="111" t="s">
        <v>353</v>
      </c>
      <c r="E61" s="118">
        <v>7050</v>
      </c>
      <c r="F61" s="113">
        <f t="shared" ref="F61" si="88">IF(E61="","",F60-E61)</f>
        <v>1948196.6099999996</v>
      </c>
      <c r="G61" s="114">
        <f t="shared" ref="G61" si="89">IF(E61="","",G60+E61)</f>
        <v>327150.99</v>
      </c>
      <c r="H61" s="182" t="s">
        <v>294</v>
      </c>
    </row>
    <row r="62" spans="1:8" ht="14">
      <c r="A62" s="108">
        <v>54</v>
      </c>
      <c r="B62" s="109" t="s">
        <v>357</v>
      </c>
      <c r="C62" s="110" t="s">
        <v>363</v>
      </c>
      <c r="D62" s="111" t="s">
        <v>353</v>
      </c>
      <c r="E62" s="118">
        <v>5597.8</v>
      </c>
      <c r="F62" s="113">
        <f t="shared" ref="F62" si="90">IF(E62="","",F61-E62)</f>
        <v>1942598.8099999996</v>
      </c>
      <c r="G62" s="114">
        <f t="shared" ref="G62" si="91">IF(E62="","",G61+E62)</f>
        <v>332748.78999999998</v>
      </c>
      <c r="H62" s="182" t="s">
        <v>312</v>
      </c>
    </row>
    <row r="63" spans="1:8" ht="14">
      <c r="A63" s="108">
        <v>55</v>
      </c>
      <c r="B63" s="109" t="s">
        <v>364</v>
      </c>
      <c r="C63" s="110">
        <v>45919</v>
      </c>
      <c r="D63" s="111" t="s">
        <v>343</v>
      </c>
      <c r="E63" s="118">
        <v>2616</v>
      </c>
      <c r="F63" s="113">
        <f t="shared" ref="F63" si="92">IF(E63="","",F62-E63)</f>
        <v>1939982.8099999996</v>
      </c>
      <c r="G63" s="114">
        <f t="shared" ref="G63" si="93">IF(E63="","",G62+E63)</f>
        <v>335364.78999999998</v>
      </c>
      <c r="H63" s="94" t="s">
        <v>93</v>
      </c>
    </row>
    <row r="64" spans="1:8" ht="14">
      <c r="A64" s="108">
        <v>56</v>
      </c>
      <c r="B64" s="109" t="s">
        <v>365</v>
      </c>
      <c r="C64" s="110">
        <v>45907</v>
      </c>
      <c r="D64" s="111" t="s">
        <v>311</v>
      </c>
      <c r="E64" s="118">
        <v>45250</v>
      </c>
      <c r="F64" s="113">
        <f t="shared" ref="F64" si="94">IF(E64="","",F63-E64)</f>
        <v>1894732.8099999996</v>
      </c>
      <c r="G64" s="114">
        <f t="shared" ref="G64" si="95">IF(E64="","",G63+E64)</f>
        <v>380614.79</v>
      </c>
      <c r="H64" s="94" t="s">
        <v>367</v>
      </c>
    </row>
    <row r="65" spans="1:8" ht="14">
      <c r="A65" s="108">
        <v>57</v>
      </c>
      <c r="B65" s="109" t="s">
        <v>366</v>
      </c>
      <c r="C65" s="110" t="s">
        <v>368</v>
      </c>
      <c r="D65" s="111" t="s">
        <v>311</v>
      </c>
      <c r="E65" s="118">
        <v>5420</v>
      </c>
      <c r="F65" s="113">
        <f t="shared" ref="F65" si="96">IF(E65="","",F64-E65)</f>
        <v>1889312.8099999996</v>
      </c>
      <c r="G65" s="114">
        <f t="shared" ref="G65" si="97">IF(E65="","",G64+E65)</f>
        <v>386034.79</v>
      </c>
      <c r="H65" s="94" t="s">
        <v>313</v>
      </c>
    </row>
    <row r="66" spans="1:8" ht="14">
      <c r="A66" s="108">
        <v>58</v>
      </c>
      <c r="B66" s="109" t="s">
        <v>369</v>
      </c>
      <c r="C66" s="110" t="s">
        <v>368</v>
      </c>
      <c r="D66" s="111" t="s">
        <v>318</v>
      </c>
      <c r="E66" s="118">
        <v>7050</v>
      </c>
      <c r="F66" s="113">
        <f t="shared" ref="F66" si="98">IF(E66="","",F65-E66)</f>
        <v>1882262.8099999996</v>
      </c>
      <c r="G66" s="114">
        <f t="shared" ref="G66" si="99">IF(E66="","",G65+E66)</f>
        <v>393084.79</v>
      </c>
      <c r="H66" s="182" t="s">
        <v>294</v>
      </c>
    </row>
    <row r="67" spans="1:8" ht="14">
      <c r="A67" s="108">
        <v>59</v>
      </c>
      <c r="B67" s="109" t="s">
        <v>370</v>
      </c>
      <c r="C67" s="110" t="s">
        <v>368</v>
      </c>
      <c r="D67" s="111" t="s">
        <v>353</v>
      </c>
      <c r="E67" s="118">
        <v>8320</v>
      </c>
      <c r="F67" s="113">
        <f t="shared" ref="F67:F72" si="100">IF(E67="","",F66-E67)</f>
        <v>1873942.8099999996</v>
      </c>
      <c r="G67" s="114">
        <f t="shared" ref="G67:G72" si="101">IF(E67="","",G66+E67)</f>
        <v>401404.79</v>
      </c>
      <c r="H67" s="94" t="s">
        <v>313</v>
      </c>
    </row>
    <row r="68" spans="1:8" ht="14">
      <c r="A68" s="108">
        <v>60</v>
      </c>
      <c r="B68" s="109" t="s">
        <v>371</v>
      </c>
      <c r="C68" s="110" t="s">
        <v>368</v>
      </c>
      <c r="D68" s="111" t="s">
        <v>326</v>
      </c>
      <c r="E68" s="118">
        <v>100</v>
      </c>
      <c r="F68" s="113">
        <f t="shared" si="100"/>
        <v>1873842.8099999996</v>
      </c>
      <c r="G68" s="114">
        <f t="shared" si="101"/>
        <v>401504.79</v>
      </c>
      <c r="H68" s="182" t="s">
        <v>287</v>
      </c>
    </row>
    <row r="69" spans="1:8" ht="14">
      <c r="A69" s="108">
        <v>61</v>
      </c>
      <c r="B69" s="109" t="s">
        <v>372</v>
      </c>
      <c r="C69" s="110">
        <v>45884</v>
      </c>
      <c r="D69" s="111" t="s">
        <v>318</v>
      </c>
      <c r="E69" s="118">
        <v>17224.5</v>
      </c>
      <c r="F69" s="113">
        <f t="shared" si="100"/>
        <v>1856618.3099999996</v>
      </c>
      <c r="G69" s="114">
        <f t="shared" si="101"/>
        <v>418729.29</v>
      </c>
      <c r="H69" s="94" t="s">
        <v>350</v>
      </c>
    </row>
    <row r="70" spans="1:8" ht="14">
      <c r="A70" s="108">
        <v>62</v>
      </c>
      <c r="B70" s="109" t="s">
        <v>373</v>
      </c>
      <c r="C70" s="110">
        <v>45881</v>
      </c>
      <c r="D70" s="111" t="s">
        <v>343</v>
      </c>
      <c r="E70" s="118">
        <v>9938</v>
      </c>
      <c r="F70" s="113">
        <f t="shared" si="100"/>
        <v>1846680.3099999996</v>
      </c>
      <c r="G70" s="114">
        <f t="shared" si="101"/>
        <v>428667.29</v>
      </c>
      <c r="H70" s="94" t="s">
        <v>374</v>
      </c>
    </row>
    <row r="71" spans="1:8" ht="14">
      <c r="A71" s="108">
        <v>63</v>
      </c>
      <c r="B71" s="109" t="s">
        <v>375</v>
      </c>
      <c r="C71" s="110">
        <v>45887</v>
      </c>
      <c r="D71" s="111" t="s">
        <v>311</v>
      </c>
      <c r="E71" s="118">
        <v>9770.6</v>
      </c>
      <c r="F71" s="113">
        <f t="shared" si="100"/>
        <v>1836909.7099999995</v>
      </c>
      <c r="G71" s="114">
        <f t="shared" si="101"/>
        <v>438437.88999999996</v>
      </c>
      <c r="H71" s="94" t="s">
        <v>376</v>
      </c>
    </row>
    <row r="72" spans="1:8" ht="14">
      <c r="A72" s="108">
        <v>64</v>
      </c>
      <c r="B72" s="109" t="s">
        <v>377</v>
      </c>
      <c r="C72" s="110">
        <v>45894</v>
      </c>
      <c r="D72" s="111" t="s">
        <v>318</v>
      </c>
      <c r="E72" s="118">
        <v>16050</v>
      </c>
      <c r="F72" s="113">
        <f t="shared" si="100"/>
        <v>1820859.7099999995</v>
      </c>
      <c r="G72" s="114">
        <f t="shared" si="101"/>
        <v>454487.88999999996</v>
      </c>
      <c r="H72" s="182" t="s">
        <v>282</v>
      </c>
    </row>
    <row r="73" spans="1:8" ht="14">
      <c r="A73" s="108">
        <v>65</v>
      </c>
      <c r="B73" s="109" t="s">
        <v>378</v>
      </c>
      <c r="C73" s="110">
        <v>45911</v>
      </c>
      <c r="D73" s="111" t="s">
        <v>343</v>
      </c>
      <c r="E73" s="112">
        <v>28848.38</v>
      </c>
      <c r="F73" s="113">
        <f t="shared" ref="F73" si="102">IF(E73="","",F72-E73)</f>
        <v>1792011.3299999996</v>
      </c>
      <c r="G73" s="114">
        <f t="shared" ref="G73" si="103">IF(E73="","",G72+E73)</f>
        <v>483336.26999999996</v>
      </c>
      <c r="H73" s="94" t="s">
        <v>379</v>
      </c>
    </row>
    <row r="74" spans="1:8" ht="14">
      <c r="A74" s="108">
        <v>66</v>
      </c>
      <c r="B74" s="109" t="s">
        <v>381</v>
      </c>
      <c r="C74" s="110">
        <v>45863</v>
      </c>
      <c r="D74" s="111" t="s">
        <v>353</v>
      </c>
      <c r="E74" s="112">
        <v>3825.98</v>
      </c>
      <c r="F74" s="113">
        <f t="shared" ref="F74" si="104">IF(E74="","",F73-E74)</f>
        <v>1788185.3499999996</v>
      </c>
      <c r="G74" s="114">
        <f t="shared" ref="G74" si="105">IF(E74="","",G73+E74)</f>
        <v>487162.24999999994</v>
      </c>
      <c r="H74" s="94" t="s">
        <v>380</v>
      </c>
    </row>
    <row r="75" spans="1:8" ht="14">
      <c r="A75" s="108">
        <v>67</v>
      </c>
      <c r="B75" s="109" t="s">
        <v>382</v>
      </c>
      <c r="C75" s="110">
        <v>45886</v>
      </c>
      <c r="D75" s="111" t="s">
        <v>326</v>
      </c>
      <c r="E75" s="112">
        <v>51734.98</v>
      </c>
      <c r="F75" s="113">
        <f t="shared" ref="F75" si="106">IF(E75="","",F74-E75)</f>
        <v>1736450.3699999996</v>
      </c>
      <c r="G75" s="114">
        <f t="shared" ref="G75" si="107">IF(E75="","",G74+E75)</f>
        <v>538897.23</v>
      </c>
      <c r="H75" s="94" t="s">
        <v>367</v>
      </c>
    </row>
    <row r="76" spans="1:8" ht="14">
      <c r="A76" s="108">
        <v>68</v>
      </c>
      <c r="B76" s="109" t="s">
        <v>383</v>
      </c>
      <c r="C76" s="110">
        <v>45843</v>
      </c>
      <c r="D76" s="111" t="s">
        <v>322</v>
      </c>
      <c r="E76" s="112">
        <v>19667.5</v>
      </c>
      <c r="F76" s="113">
        <f t="shared" ref="F76" si="108">IF(E76="","",F75-E76)</f>
        <v>1716782.8699999996</v>
      </c>
      <c r="G76" s="114">
        <f t="shared" ref="G76" si="109">IF(E76="","",G75+E76)</f>
        <v>558564.73</v>
      </c>
      <c r="H76" s="94" t="s">
        <v>96</v>
      </c>
    </row>
    <row r="77" spans="1:8" ht="14">
      <c r="A77" s="108">
        <v>69</v>
      </c>
      <c r="B77" s="109" t="s">
        <v>384</v>
      </c>
      <c r="C77" s="110">
        <v>45904</v>
      </c>
      <c r="D77" s="111" t="s">
        <v>326</v>
      </c>
      <c r="E77" s="112">
        <v>33588.25</v>
      </c>
      <c r="F77" s="113">
        <f t="shared" ref="F77" si="110">IF(E77="","",F76-E77)</f>
        <v>1683194.6199999996</v>
      </c>
      <c r="G77" s="114">
        <f t="shared" ref="G77" si="111">IF(E77="","",G76+E77)</f>
        <v>592152.98</v>
      </c>
      <c r="H77" s="94" t="s">
        <v>379</v>
      </c>
    </row>
    <row r="78" spans="1:8" ht="14">
      <c r="A78" s="108">
        <v>70</v>
      </c>
      <c r="B78" s="109" t="s">
        <v>385</v>
      </c>
      <c r="C78" s="110" t="s">
        <v>362</v>
      </c>
      <c r="D78" s="111" t="s">
        <v>311</v>
      </c>
      <c r="E78" s="112">
        <v>7100</v>
      </c>
      <c r="F78" s="113">
        <f t="shared" ref="F78" si="112">IF(E78="","",F77-E78)</f>
        <v>1676094.6199999996</v>
      </c>
      <c r="G78" s="114">
        <f t="shared" ref="G78" si="113">IF(E78="","",G77+E78)</f>
        <v>599252.98</v>
      </c>
      <c r="H78" s="94" t="s">
        <v>386</v>
      </c>
    </row>
    <row r="79" spans="1:8" ht="14">
      <c r="A79" s="108">
        <v>71</v>
      </c>
      <c r="B79" s="109" t="s">
        <v>387</v>
      </c>
      <c r="C79" s="110">
        <v>45897</v>
      </c>
      <c r="D79" s="111" t="s">
        <v>353</v>
      </c>
      <c r="E79" s="112">
        <v>40647.050000000003</v>
      </c>
      <c r="F79" s="113">
        <f t="shared" ref="F79" si="114">IF(E79="","",F78-E79)</f>
        <v>1635447.5699999996</v>
      </c>
      <c r="G79" s="114">
        <f t="shared" ref="G79" si="115">IF(E79="","",G78+E79)</f>
        <v>639900.03</v>
      </c>
      <c r="H79" s="94" t="s">
        <v>388</v>
      </c>
    </row>
    <row r="80" spans="1:8" ht="14">
      <c r="A80" s="108">
        <v>72</v>
      </c>
      <c r="B80" s="109" t="s">
        <v>390</v>
      </c>
      <c r="C80" s="110" t="s">
        <v>389</v>
      </c>
      <c r="D80" s="111" t="s">
        <v>318</v>
      </c>
      <c r="E80" s="118">
        <v>7050</v>
      </c>
      <c r="F80" s="113">
        <f t="shared" ref="F80" si="116">IF(E80="","",F79-E80)</f>
        <v>1628397.5699999996</v>
      </c>
      <c r="G80" s="114">
        <f t="shared" ref="G80" si="117">IF(E80="","",G79+E80)</f>
        <v>646950.03</v>
      </c>
      <c r="H80" s="182" t="s">
        <v>294</v>
      </c>
    </row>
    <row r="81" spans="1:8" ht="14">
      <c r="A81" s="108">
        <v>73</v>
      </c>
      <c r="B81" s="109" t="s">
        <v>391</v>
      </c>
      <c r="C81" s="110" t="s">
        <v>389</v>
      </c>
      <c r="D81" s="111" t="s">
        <v>326</v>
      </c>
      <c r="E81" s="118">
        <v>100</v>
      </c>
      <c r="F81" s="113">
        <f t="shared" ref="F81" si="118">IF(E81="","",F80-E81)</f>
        <v>1628297.5699999996</v>
      </c>
      <c r="G81" s="114">
        <f t="shared" ref="G81" si="119">IF(E81="","",G80+E81)</f>
        <v>647050.03</v>
      </c>
      <c r="H81" s="182" t="s">
        <v>287</v>
      </c>
    </row>
    <row r="82" spans="1:8" ht="14">
      <c r="A82" s="108">
        <v>74</v>
      </c>
      <c r="B82" s="109" t="s">
        <v>392</v>
      </c>
      <c r="C82" s="110" t="s">
        <v>393</v>
      </c>
      <c r="D82" s="111" t="s">
        <v>343</v>
      </c>
      <c r="E82" s="118">
        <v>5344</v>
      </c>
      <c r="F82" s="113">
        <f t="shared" ref="F82" si="120">IF(E82="","",F81-E82)</f>
        <v>1622953.5699999996</v>
      </c>
      <c r="G82" s="114">
        <f t="shared" ref="G82" si="121">IF(E82="","",G81+E82)</f>
        <v>652394.03</v>
      </c>
      <c r="H82" s="94" t="s">
        <v>394</v>
      </c>
    </row>
    <row r="83" spans="1:8" ht="14">
      <c r="A83" s="108">
        <v>75</v>
      </c>
      <c r="B83" s="109" t="s">
        <v>395</v>
      </c>
      <c r="C83" s="110" t="s">
        <v>389</v>
      </c>
      <c r="D83" s="111" t="s">
        <v>353</v>
      </c>
      <c r="E83" s="118">
        <v>100</v>
      </c>
      <c r="F83" s="113">
        <f t="shared" ref="F83:F88" si="122">IF(E83="","",F82-E83)</f>
        <v>1622853.5699999996</v>
      </c>
      <c r="G83" s="114">
        <f t="shared" ref="G83:G88" si="123">IF(E83="","",G82+E83)</f>
        <v>652494.03</v>
      </c>
      <c r="H83" s="182" t="s">
        <v>287</v>
      </c>
    </row>
    <row r="84" spans="1:8" ht="14">
      <c r="A84" s="108">
        <v>76</v>
      </c>
      <c r="B84" s="109" t="s">
        <v>396</v>
      </c>
      <c r="C84" s="110" t="s">
        <v>389</v>
      </c>
      <c r="D84" s="111" t="s">
        <v>311</v>
      </c>
      <c r="E84" s="118">
        <v>100</v>
      </c>
      <c r="F84" s="113">
        <f t="shared" si="122"/>
        <v>1622753.5699999996</v>
      </c>
      <c r="G84" s="114">
        <f t="shared" si="123"/>
        <v>652594.03</v>
      </c>
      <c r="H84" s="182" t="s">
        <v>287</v>
      </c>
    </row>
    <row r="85" spans="1:8" ht="14">
      <c r="A85" s="108">
        <v>77</v>
      </c>
      <c r="B85" s="109" t="s">
        <v>397</v>
      </c>
      <c r="C85" s="110">
        <v>45933</v>
      </c>
      <c r="D85" s="111" t="s">
        <v>326</v>
      </c>
      <c r="E85" s="118">
        <v>4076.85</v>
      </c>
      <c r="F85" s="113">
        <f t="shared" si="122"/>
        <v>1618676.7199999995</v>
      </c>
      <c r="G85" s="114">
        <f t="shared" si="123"/>
        <v>656670.88</v>
      </c>
      <c r="H85" s="94" t="s">
        <v>398</v>
      </c>
    </row>
    <row r="86" spans="1:8" ht="14">
      <c r="A86" s="108">
        <v>78</v>
      </c>
      <c r="B86" s="109" t="s">
        <v>399</v>
      </c>
      <c r="C86" s="110" t="s">
        <v>400</v>
      </c>
      <c r="D86" s="111" t="s">
        <v>326</v>
      </c>
      <c r="E86" s="118">
        <v>403.35</v>
      </c>
      <c r="F86" s="113">
        <f t="shared" si="122"/>
        <v>1618273.3699999994</v>
      </c>
      <c r="G86" s="114">
        <f t="shared" si="123"/>
        <v>657074.23</v>
      </c>
      <c r="H86" s="94" t="s">
        <v>401</v>
      </c>
    </row>
    <row r="87" spans="1:8" ht="14">
      <c r="A87" s="108">
        <v>79</v>
      </c>
      <c r="B87" s="109" t="s">
        <v>402</v>
      </c>
      <c r="C87" s="110">
        <v>45930</v>
      </c>
      <c r="D87" s="111" t="s">
        <v>403</v>
      </c>
      <c r="E87" s="118">
        <v>5495.28</v>
      </c>
      <c r="F87" s="113">
        <f t="shared" si="122"/>
        <v>1612778.0899999994</v>
      </c>
      <c r="G87" s="114">
        <f t="shared" si="123"/>
        <v>662569.51</v>
      </c>
      <c r="H87" s="94" t="s">
        <v>404</v>
      </c>
    </row>
    <row r="88" spans="1:8" ht="14">
      <c r="A88" s="108">
        <v>80</v>
      </c>
      <c r="B88" s="109" t="s">
        <v>405</v>
      </c>
      <c r="C88" s="110" t="s">
        <v>406</v>
      </c>
      <c r="D88" s="111" t="s">
        <v>98</v>
      </c>
      <c r="E88" s="118">
        <v>9608</v>
      </c>
      <c r="F88" s="113">
        <f t="shared" si="122"/>
        <v>1603170.0899999994</v>
      </c>
      <c r="G88" s="114">
        <f t="shared" si="123"/>
        <v>672177.51</v>
      </c>
      <c r="H88" s="182" t="s">
        <v>312</v>
      </c>
    </row>
    <row r="89" spans="1:8" ht="14">
      <c r="A89" s="108">
        <v>81</v>
      </c>
      <c r="B89" s="109" t="s">
        <v>407</v>
      </c>
      <c r="C89" s="110">
        <v>45940</v>
      </c>
      <c r="D89" s="111" t="s">
        <v>318</v>
      </c>
      <c r="E89" s="118">
        <v>57278.71</v>
      </c>
      <c r="F89" s="113">
        <f t="shared" ref="F89" si="124">IF(E89="","",F88-E89)</f>
        <v>1545891.3799999994</v>
      </c>
      <c r="G89" s="114">
        <f t="shared" ref="G89" si="125">IF(E89="","",G88+E89)</f>
        <v>729456.22</v>
      </c>
      <c r="H89" s="94" t="s">
        <v>408</v>
      </c>
    </row>
    <row r="90" spans="1:8" ht="14">
      <c r="A90" s="108">
        <v>82</v>
      </c>
      <c r="B90" s="109" t="s">
        <v>409</v>
      </c>
      <c r="C90" s="110">
        <v>45918</v>
      </c>
      <c r="D90" s="111" t="s">
        <v>318</v>
      </c>
      <c r="E90" s="118">
        <v>57006.51</v>
      </c>
      <c r="F90" s="113">
        <f t="shared" ref="F90" si="126">IF(E90="","",F89-E90)</f>
        <v>1488884.8699999994</v>
      </c>
      <c r="G90" s="114">
        <f t="shared" ref="G90" si="127">IF(E90="","",G89+E90)</f>
        <v>786462.73</v>
      </c>
      <c r="H90" s="94" t="s">
        <v>410</v>
      </c>
    </row>
    <row r="91" spans="1:8" ht="14">
      <c r="A91" s="108">
        <v>83</v>
      </c>
      <c r="B91" s="109" t="s">
        <v>411</v>
      </c>
      <c r="C91" s="110">
        <v>45907</v>
      </c>
      <c r="D91" s="111" t="s">
        <v>412</v>
      </c>
      <c r="E91" s="118">
        <v>7605.5</v>
      </c>
      <c r="F91" s="113">
        <f t="shared" ref="F91" si="128">IF(E91="","",F90-E91)</f>
        <v>1481279.3699999994</v>
      </c>
      <c r="G91" s="114">
        <f t="shared" ref="G91" si="129">IF(E91="","",G90+E91)</f>
        <v>794068.23</v>
      </c>
      <c r="H91" s="94" t="s">
        <v>413</v>
      </c>
    </row>
    <row r="92" spans="1:8" ht="14">
      <c r="A92" s="108">
        <v>84</v>
      </c>
      <c r="B92" s="109" t="s">
        <v>414</v>
      </c>
      <c r="C92" s="110" t="s">
        <v>415</v>
      </c>
      <c r="D92" s="111" t="s">
        <v>416</v>
      </c>
      <c r="E92" s="118">
        <v>1725</v>
      </c>
      <c r="F92" s="113">
        <f t="shared" ref="F92" si="130">IF(E92="","",F91-E92)</f>
        <v>1479554.3699999994</v>
      </c>
      <c r="G92" s="114">
        <f t="shared" ref="G92" si="131">IF(E92="","",G91+E92)</f>
        <v>795793.23</v>
      </c>
      <c r="H92" s="94" t="s">
        <v>417</v>
      </c>
    </row>
    <row r="93" spans="1:8" ht="14">
      <c r="A93" s="108">
        <v>85</v>
      </c>
      <c r="B93" s="109" t="s">
        <v>418</v>
      </c>
      <c r="C93" s="110" t="s">
        <v>449</v>
      </c>
      <c r="D93" s="111" t="s">
        <v>419</v>
      </c>
      <c r="E93" s="112">
        <v>325</v>
      </c>
      <c r="F93" s="113">
        <f t="shared" ref="F93" si="132">IF(E93="","",F92-E93)</f>
        <v>1479229.3699999994</v>
      </c>
      <c r="G93" s="114">
        <f t="shared" ref="G93" si="133">IF(E93="","",G92+E93)</f>
        <v>796118.23</v>
      </c>
      <c r="H93" s="94" t="s">
        <v>417</v>
      </c>
    </row>
    <row r="94" spans="1:8" ht="14">
      <c r="A94" s="108">
        <v>86</v>
      </c>
      <c r="B94" s="109" t="s">
        <v>420</v>
      </c>
      <c r="C94" s="110">
        <v>45913</v>
      </c>
      <c r="D94" s="111" t="s">
        <v>353</v>
      </c>
      <c r="E94" s="112">
        <v>62952.97</v>
      </c>
      <c r="F94" s="113">
        <f t="shared" ref="F94" si="134">IF(E94="","",F93-E94)</f>
        <v>1416276.3999999994</v>
      </c>
      <c r="G94" s="114">
        <f t="shared" ref="G94" si="135">IF(E94="","",G93+E94)</f>
        <v>859071.2</v>
      </c>
      <c r="H94" s="94" t="s">
        <v>410</v>
      </c>
    </row>
    <row r="95" spans="1:8" ht="14">
      <c r="A95" s="108">
        <v>87</v>
      </c>
      <c r="B95" s="109" t="s">
        <v>421</v>
      </c>
      <c r="C95" s="110">
        <v>45987</v>
      </c>
      <c r="D95" s="111" t="s">
        <v>422</v>
      </c>
      <c r="E95" s="112">
        <v>4938.45</v>
      </c>
      <c r="F95" s="113">
        <f t="shared" ref="F95" si="136">IF(E95="","",F94-E95)</f>
        <v>1411337.9499999995</v>
      </c>
      <c r="G95" s="114">
        <f t="shared" ref="G95" si="137">IF(E95="","",G94+E95)</f>
        <v>864009.64999999991</v>
      </c>
      <c r="H95" s="94" t="s">
        <v>423</v>
      </c>
    </row>
    <row r="96" spans="1:8" ht="14">
      <c r="A96" s="108">
        <v>88</v>
      </c>
      <c r="B96" s="109" t="s">
        <v>424</v>
      </c>
      <c r="C96" s="110" t="s">
        <v>448</v>
      </c>
      <c r="D96" s="111" t="s">
        <v>353</v>
      </c>
      <c r="E96" s="112">
        <v>1685</v>
      </c>
      <c r="F96" s="113">
        <f t="shared" ref="F96" si="138">IF(E96="","",F95-E96)</f>
        <v>1409652.9499999995</v>
      </c>
      <c r="G96" s="114">
        <f t="shared" ref="G96" si="139">IF(E96="","",G95+E96)</f>
        <v>865694.64999999991</v>
      </c>
      <c r="H96" s="94" t="s">
        <v>313</v>
      </c>
    </row>
    <row r="97" spans="1:8" ht="14">
      <c r="A97" s="108">
        <v>89</v>
      </c>
      <c r="B97" s="109" t="s">
        <v>425</v>
      </c>
      <c r="C97" s="110">
        <v>45977</v>
      </c>
      <c r="D97" s="111" t="s">
        <v>403</v>
      </c>
      <c r="E97" s="112">
        <v>29725.1</v>
      </c>
      <c r="F97" s="113">
        <f t="shared" ref="F97" si="140">IF(E97="","",F96-E97)</f>
        <v>1379927.8499999994</v>
      </c>
      <c r="G97" s="114">
        <f t="shared" ref="G97" si="141">IF(E97="","",G96+E97)</f>
        <v>895419.74999999988</v>
      </c>
      <c r="H97" s="94" t="s">
        <v>96</v>
      </c>
    </row>
    <row r="98" spans="1:8" ht="14">
      <c r="A98" s="108">
        <v>90</v>
      </c>
      <c r="B98" s="109" t="s">
        <v>426</v>
      </c>
      <c r="C98" s="110">
        <v>45989</v>
      </c>
      <c r="D98" s="111" t="s">
        <v>427</v>
      </c>
      <c r="E98" s="112">
        <v>2995.55</v>
      </c>
      <c r="F98" s="113">
        <f t="shared" ref="F98" si="142">IF(E98="","",F97-E98)</f>
        <v>1376932.2999999993</v>
      </c>
      <c r="G98" s="114">
        <f t="shared" ref="G98" si="143">IF(E98="","",G97+E98)</f>
        <v>898415.29999999993</v>
      </c>
      <c r="H98" s="94" t="s">
        <v>93</v>
      </c>
    </row>
    <row r="99" spans="1:8" ht="14">
      <c r="A99" s="108">
        <v>91</v>
      </c>
      <c r="B99" s="109" t="s">
        <v>428</v>
      </c>
      <c r="C99" s="110">
        <v>45990</v>
      </c>
      <c r="D99" s="111" t="s">
        <v>422</v>
      </c>
      <c r="E99" s="112">
        <v>178.89</v>
      </c>
      <c r="F99" s="113">
        <f t="shared" ref="F99" si="144">IF(E99="","",F98-E99)</f>
        <v>1376753.4099999995</v>
      </c>
      <c r="G99" s="114">
        <f t="shared" ref="G99" si="145">IF(E99="","",G98+E99)</f>
        <v>898594.19</v>
      </c>
      <c r="H99" s="94" t="s">
        <v>429</v>
      </c>
    </row>
    <row r="100" spans="1:8" ht="14">
      <c r="A100" s="108">
        <v>92</v>
      </c>
      <c r="B100" s="109" t="s">
        <v>430</v>
      </c>
      <c r="C100" s="110">
        <v>45938</v>
      </c>
      <c r="D100" s="111" t="s">
        <v>311</v>
      </c>
      <c r="E100" s="112">
        <v>5614.96</v>
      </c>
      <c r="F100" s="113">
        <f t="shared" ref="F100" si="146">IF(E100="","",F99-E100)</f>
        <v>1371138.4499999995</v>
      </c>
      <c r="G100" s="114">
        <f t="shared" ref="G100" si="147">IF(E100="","",G99+E100)</f>
        <v>904209.14999999991</v>
      </c>
      <c r="H100" s="94" t="s">
        <v>431</v>
      </c>
    </row>
    <row r="101" spans="1:8" ht="14">
      <c r="A101" s="108">
        <v>93</v>
      </c>
      <c r="B101" s="109" t="s">
        <v>433</v>
      </c>
      <c r="C101" s="110" t="s">
        <v>434</v>
      </c>
      <c r="D101" s="111" t="s">
        <v>311</v>
      </c>
      <c r="E101" s="112">
        <v>7050</v>
      </c>
      <c r="F101" s="113">
        <f t="shared" ref="F101" si="148">IF(E101="","",F100-E101)</f>
        <v>1364088.4499999995</v>
      </c>
      <c r="G101" s="114">
        <f t="shared" ref="G101" si="149">IF(E101="","",G100+E101)</f>
        <v>911259.14999999991</v>
      </c>
      <c r="H101" s="182" t="s">
        <v>294</v>
      </c>
    </row>
    <row r="102" spans="1:8" ht="14">
      <c r="A102" s="108">
        <v>94</v>
      </c>
      <c r="B102" s="109" t="s">
        <v>435</v>
      </c>
      <c r="C102" s="110" t="s">
        <v>362</v>
      </c>
      <c r="D102" s="111" t="s">
        <v>343</v>
      </c>
      <c r="E102" s="112">
        <v>3100</v>
      </c>
      <c r="F102" s="113">
        <f t="shared" ref="F102" si="150">IF(E102="","",F101-E102)</f>
        <v>1360988.4499999995</v>
      </c>
      <c r="G102" s="114">
        <f t="shared" ref="G102" si="151">IF(E102="","",G101+E102)</f>
        <v>914359.14999999991</v>
      </c>
      <c r="H102" s="94" t="s">
        <v>436</v>
      </c>
    </row>
    <row r="103" spans="1:8" ht="14">
      <c r="A103" s="108">
        <v>95</v>
      </c>
      <c r="B103" s="109" t="s">
        <v>437</v>
      </c>
      <c r="C103" s="110" t="s">
        <v>438</v>
      </c>
      <c r="D103" s="111" t="s">
        <v>427</v>
      </c>
      <c r="E103" s="112">
        <v>2969.3</v>
      </c>
      <c r="F103" s="113">
        <f t="shared" ref="F103" si="152">IF(E103="","",F102-E103)</f>
        <v>1358019.1499999994</v>
      </c>
      <c r="G103" s="114">
        <f t="shared" ref="G103" si="153">IF(E103="","",G102+E103)</f>
        <v>917328.45</v>
      </c>
      <c r="H103" s="182" t="s">
        <v>312</v>
      </c>
    </row>
    <row r="104" spans="1:8" ht="14">
      <c r="A104" s="108">
        <v>96</v>
      </c>
      <c r="B104" s="109" t="s">
        <v>439</v>
      </c>
      <c r="C104" s="110">
        <v>45974</v>
      </c>
      <c r="D104" s="111" t="s">
        <v>440</v>
      </c>
      <c r="E104" s="112">
        <v>3207.1</v>
      </c>
      <c r="F104" s="113">
        <f t="shared" ref="F104" si="154">IF(E104="","",F103-E104)</f>
        <v>1354812.0499999993</v>
      </c>
      <c r="G104" s="114">
        <f t="shared" ref="G104" si="155">IF(E104="","",G103+E104)</f>
        <v>920535.54999999993</v>
      </c>
      <c r="H104" s="94" t="s">
        <v>93</v>
      </c>
    </row>
    <row r="105" spans="1:8" ht="14">
      <c r="A105" s="108">
        <v>97</v>
      </c>
      <c r="B105" s="109" t="s">
        <v>441</v>
      </c>
      <c r="C105" s="110" t="s">
        <v>442</v>
      </c>
      <c r="D105" s="111" t="s">
        <v>403</v>
      </c>
      <c r="E105" s="112">
        <v>5870</v>
      </c>
      <c r="F105" s="113">
        <f t="shared" ref="F105:F116" si="156">IF(E105="","",F104-E105)</f>
        <v>1348942.0499999993</v>
      </c>
      <c r="G105" s="114">
        <f t="shared" ref="G105:G116" si="157">IF(E105="","",G104+E105)</f>
        <v>926405.54999999993</v>
      </c>
      <c r="H105" s="94" t="s">
        <v>495</v>
      </c>
    </row>
    <row r="106" spans="1:8" ht="14">
      <c r="A106" s="108">
        <v>98</v>
      </c>
      <c r="B106" s="109" t="s">
        <v>443</v>
      </c>
      <c r="C106" s="110">
        <v>45967</v>
      </c>
      <c r="D106" s="111" t="s">
        <v>311</v>
      </c>
      <c r="E106" s="112">
        <v>4584.0600000000004</v>
      </c>
      <c r="F106" s="113">
        <f t="shared" si="156"/>
        <v>1344357.9899999993</v>
      </c>
      <c r="G106" s="114">
        <f t="shared" si="157"/>
        <v>930989.61</v>
      </c>
      <c r="H106" s="94" t="s">
        <v>423</v>
      </c>
    </row>
    <row r="107" spans="1:8" ht="14">
      <c r="A107" s="108">
        <v>99</v>
      </c>
      <c r="B107" s="109" t="s">
        <v>444</v>
      </c>
      <c r="C107" s="110" t="s">
        <v>445</v>
      </c>
      <c r="D107" s="111" t="s">
        <v>318</v>
      </c>
      <c r="E107" s="112">
        <v>944</v>
      </c>
      <c r="F107" s="113">
        <f t="shared" si="156"/>
        <v>1343413.9899999993</v>
      </c>
      <c r="G107" s="114">
        <f t="shared" si="157"/>
        <v>931933.61</v>
      </c>
      <c r="H107" s="94" t="s">
        <v>313</v>
      </c>
    </row>
    <row r="108" spans="1:8" ht="14">
      <c r="A108" s="108">
        <v>100</v>
      </c>
      <c r="B108" s="109" t="s">
        <v>446</v>
      </c>
      <c r="C108" s="110" t="s">
        <v>447</v>
      </c>
      <c r="D108" s="111" t="s">
        <v>311</v>
      </c>
      <c r="E108" s="112">
        <v>100</v>
      </c>
      <c r="F108" s="113">
        <f t="shared" si="156"/>
        <v>1343313.9899999993</v>
      </c>
      <c r="G108" s="114">
        <f t="shared" si="157"/>
        <v>932033.61</v>
      </c>
      <c r="H108" s="182" t="s">
        <v>287</v>
      </c>
    </row>
    <row r="109" spans="1:8" ht="14">
      <c r="A109" s="108">
        <v>101</v>
      </c>
      <c r="B109" s="109" t="s">
        <v>450</v>
      </c>
      <c r="C109" s="110">
        <v>46001</v>
      </c>
      <c r="D109" s="111" t="s">
        <v>311</v>
      </c>
      <c r="E109" s="112">
        <v>1000</v>
      </c>
      <c r="F109" s="113">
        <f t="shared" si="156"/>
        <v>1342313.9899999993</v>
      </c>
      <c r="G109" s="114">
        <f t="shared" si="157"/>
        <v>933033.61</v>
      </c>
      <c r="H109" s="94" t="s">
        <v>451</v>
      </c>
    </row>
    <row r="110" spans="1:8" ht="14">
      <c r="A110" s="108">
        <v>102</v>
      </c>
      <c r="B110" s="109" t="s">
        <v>452</v>
      </c>
      <c r="C110" s="110" t="s">
        <v>453</v>
      </c>
      <c r="D110" s="111" t="s">
        <v>454</v>
      </c>
      <c r="E110" s="112">
        <v>65</v>
      </c>
      <c r="F110" s="113">
        <f t="shared" si="156"/>
        <v>1342248.9899999993</v>
      </c>
      <c r="G110" s="114">
        <f t="shared" si="157"/>
        <v>933098.61</v>
      </c>
      <c r="H110" s="94" t="s">
        <v>455</v>
      </c>
    </row>
    <row r="111" spans="1:8" ht="14">
      <c r="A111" s="108">
        <v>103</v>
      </c>
      <c r="B111" s="109" t="s">
        <v>456</v>
      </c>
      <c r="C111" s="110">
        <v>46017</v>
      </c>
      <c r="D111" s="111" t="s">
        <v>457</v>
      </c>
      <c r="E111" s="112">
        <v>5201.91</v>
      </c>
      <c r="F111" s="113">
        <f t="shared" si="156"/>
        <v>1337047.0799999994</v>
      </c>
      <c r="G111" s="114">
        <f t="shared" si="157"/>
        <v>938300.52</v>
      </c>
      <c r="H111" s="94" t="s">
        <v>104</v>
      </c>
    </row>
    <row r="112" spans="1:8" ht="14">
      <c r="A112" s="108">
        <v>104</v>
      </c>
      <c r="B112" s="109" t="s">
        <v>459</v>
      </c>
      <c r="C112" s="110" t="s">
        <v>460</v>
      </c>
      <c r="D112" s="111" t="s">
        <v>461</v>
      </c>
      <c r="E112" s="112">
        <v>2892.9</v>
      </c>
      <c r="F112" s="113">
        <f t="shared" si="156"/>
        <v>1334154.1799999995</v>
      </c>
      <c r="G112" s="114">
        <f t="shared" si="157"/>
        <v>941193.42</v>
      </c>
      <c r="H112" s="94" t="s">
        <v>455</v>
      </c>
    </row>
    <row r="113" spans="1:15" ht="14">
      <c r="A113" s="108">
        <v>105</v>
      </c>
      <c r="B113" s="109" t="s">
        <v>458</v>
      </c>
      <c r="C113" s="110" t="s">
        <v>447</v>
      </c>
      <c r="D113" s="111" t="s">
        <v>422</v>
      </c>
      <c r="E113" s="112">
        <v>2512</v>
      </c>
      <c r="F113" s="113">
        <f t="shared" si="156"/>
        <v>1331642.1799999995</v>
      </c>
      <c r="G113" s="114">
        <f t="shared" si="157"/>
        <v>943705.42</v>
      </c>
      <c r="H113" s="94" t="s">
        <v>313</v>
      </c>
    </row>
    <row r="114" spans="1:15" ht="14">
      <c r="A114" s="108">
        <v>106</v>
      </c>
      <c r="B114" s="109" t="s">
        <v>462</v>
      </c>
      <c r="C114" s="110" t="s">
        <v>463</v>
      </c>
      <c r="D114" s="111" t="s">
        <v>457</v>
      </c>
      <c r="E114" s="112">
        <v>1157.4000000000001</v>
      </c>
      <c r="F114" s="113">
        <f t="shared" si="156"/>
        <v>1330484.7799999996</v>
      </c>
      <c r="G114" s="114">
        <f t="shared" si="157"/>
        <v>944862.82000000007</v>
      </c>
      <c r="H114" s="94" t="s">
        <v>455</v>
      </c>
    </row>
    <row r="115" spans="1:15" ht="14">
      <c r="A115" s="108">
        <v>107</v>
      </c>
      <c r="B115" s="109" t="s">
        <v>464</v>
      </c>
      <c r="C115" s="110" t="s">
        <v>465</v>
      </c>
      <c r="D115" s="111" t="s">
        <v>422</v>
      </c>
      <c r="E115" s="112">
        <v>110.7</v>
      </c>
      <c r="F115" s="113">
        <f t="shared" si="156"/>
        <v>1330374.0799999996</v>
      </c>
      <c r="G115" s="114">
        <f t="shared" si="157"/>
        <v>944973.52</v>
      </c>
      <c r="H115" s="94" t="s">
        <v>455</v>
      </c>
    </row>
    <row r="116" spans="1:15" ht="14">
      <c r="A116" s="108">
        <v>108</v>
      </c>
      <c r="B116" s="109" t="s">
        <v>466</v>
      </c>
      <c r="C116" s="110">
        <v>46019</v>
      </c>
      <c r="D116" s="111" t="s">
        <v>457</v>
      </c>
      <c r="E116" s="112">
        <v>4408.3999999999996</v>
      </c>
      <c r="F116" s="113">
        <f t="shared" si="156"/>
        <v>1325965.6799999997</v>
      </c>
      <c r="G116" s="114">
        <f t="shared" si="157"/>
        <v>949381.92</v>
      </c>
      <c r="H116" s="94" t="s">
        <v>104</v>
      </c>
    </row>
    <row r="117" spans="1:15" ht="14">
      <c r="A117" s="108">
        <v>109</v>
      </c>
      <c r="B117" s="109" t="s">
        <v>467</v>
      </c>
      <c r="C117" s="110">
        <v>45999</v>
      </c>
      <c r="D117" s="111" t="s">
        <v>311</v>
      </c>
      <c r="E117" s="112">
        <v>4545.49</v>
      </c>
      <c r="F117" s="113">
        <f t="shared" ref="F117" si="158">IF(E117="","",F116-E117)</f>
        <v>1321420.1899999997</v>
      </c>
      <c r="G117" s="114">
        <f t="shared" ref="G117" si="159">IF(E117="","",G116+E117)</f>
        <v>953927.41</v>
      </c>
      <c r="H117" s="94" t="s">
        <v>468</v>
      </c>
      <c r="I117">
        <v>1000080476</v>
      </c>
    </row>
    <row r="118" spans="1:15" ht="14">
      <c r="A118" s="108">
        <v>110</v>
      </c>
      <c r="B118" s="109" t="s">
        <v>469</v>
      </c>
      <c r="C118" s="110">
        <v>46028</v>
      </c>
      <c r="D118" s="111" t="s">
        <v>461</v>
      </c>
      <c r="E118" s="112">
        <v>17600</v>
      </c>
      <c r="F118" s="113">
        <f t="shared" ref="F118" si="160">IF(E118="","",F117-E118)</f>
        <v>1303820.1899999997</v>
      </c>
      <c r="G118" s="114">
        <f t="shared" ref="G118" si="161">IF(E118="","",G117+E118)</f>
        <v>971527.41</v>
      </c>
      <c r="H118" s="94" t="s">
        <v>470</v>
      </c>
      <c r="I118">
        <v>1000080478</v>
      </c>
    </row>
    <row r="119" spans="1:15" ht="14">
      <c r="A119" s="108">
        <v>111</v>
      </c>
      <c r="B119" s="109" t="s">
        <v>471</v>
      </c>
      <c r="C119" s="110">
        <v>46018</v>
      </c>
      <c r="D119" s="111" t="s">
        <v>472</v>
      </c>
      <c r="E119" s="112">
        <v>16880</v>
      </c>
      <c r="F119" s="113">
        <f t="shared" ref="F119" si="162">IF(E119="","",F118-E119)</f>
        <v>1286940.1899999997</v>
      </c>
      <c r="G119" s="114">
        <f t="shared" ref="G119" si="163">IF(E119="","",G118+E119)</f>
        <v>988407.41</v>
      </c>
      <c r="H119" s="94" t="s">
        <v>473</v>
      </c>
      <c r="I119">
        <v>1000080487</v>
      </c>
    </row>
    <row r="120" spans="1:15" ht="14">
      <c r="A120" s="108">
        <v>112</v>
      </c>
      <c r="B120" s="109" t="s">
        <v>476</v>
      </c>
      <c r="C120" s="110">
        <v>46025</v>
      </c>
      <c r="D120" s="111" t="s">
        <v>472</v>
      </c>
      <c r="E120" s="112">
        <v>28945</v>
      </c>
      <c r="F120" s="113">
        <f t="shared" ref="F120" si="164">IF(E120="","",F119-E120)</f>
        <v>1257995.1899999997</v>
      </c>
      <c r="G120" s="114">
        <f t="shared" ref="G120" si="165">IF(E120="","",G119+E120)</f>
        <v>1017352.41</v>
      </c>
      <c r="H120" s="94" t="s">
        <v>477</v>
      </c>
      <c r="I120">
        <v>1000080488</v>
      </c>
    </row>
    <row r="121" spans="1:15" ht="14">
      <c r="A121" s="108">
        <v>113</v>
      </c>
      <c r="B121" s="109" t="s">
        <v>478</v>
      </c>
      <c r="C121" s="110">
        <v>45996</v>
      </c>
      <c r="D121" s="111" t="s">
        <v>479</v>
      </c>
      <c r="E121" s="112">
        <v>11454.2</v>
      </c>
      <c r="F121" s="113">
        <f t="shared" ref="F121" si="166">IF(E121="","",F120-E121)</f>
        <v>1246540.9899999998</v>
      </c>
      <c r="G121" s="114">
        <f t="shared" ref="G121" si="167">IF(E121="","",G120+E121)</f>
        <v>1028806.61</v>
      </c>
      <c r="H121" s="94" t="s">
        <v>480</v>
      </c>
      <c r="I121">
        <v>1000080538</v>
      </c>
    </row>
    <row r="122" spans="1:15" ht="14">
      <c r="A122" s="108">
        <v>114</v>
      </c>
      <c r="B122" s="109" t="s">
        <v>481</v>
      </c>
      <c r="C122" s="110" t="s">
        <v>448</v>
      </c>
      <c r="D122" s="111" t="s">
        <v>326</v>
      </c>
      <c r="E122" s="112">
        <v>102</v>
      </c>
      <c r="F122" s="113">
        <f t="shared" ref="F122" si="168">IF(E122="","",F121-E122)</f>
        <v>1246438.9899999998</v>
      </c>
      <c r="G122" s="114">
        <f t="shared" ref="G122" si="169">IF(E122="","",G121+E122)</f>
        <v>1028908.61</v>
      </c>
      <c r="H122" s="94" t="s">
        <v>313</v>
      </c>
      <c r="I122">
        <v>1000081202</v>
      </c>
    </row>
    <row r="123" spans="1:15" ht="14">
      <c r="A123" s="108">
        <v>115</v>
      </c>
      <c r="B123" s="109" t="s">
        <v>482</v>
      </c>
      <c r="C123" s="110" t="s">
        <v>483</v>
      </c>
      <c r="D123" s="111" t="s">
        <v>427</v>
      </c>
      <c r="E123" s="112">
        <v>129</v>
      </c>
      <c r="F123" s="113">
        <f t="shared" ref="F123" si="170">IF(E123="","",F122-E123)</f>
        <v>1246309.9899999998</v>
      </c>
      <c r="G123" s="114">
        <f t="shared" ref="G123" si="171">IF(E123="","",G122+E123)</f>
        <v>1029037.61</v>
      </c>
      <c r="H123" s="94" t="s">
        <v>313</v>
      </c>
      <c r="I123">
        <v>1000081201</v>
      </c>
    </row>
    <row r="124" spans="1:15" ht="14">
      <c r="A124" s="108">
        <v>116</v>
      </c>
      <c r="B124" s="109" t="s">
        <v>484</v>
      </c>
      <c r="C124" s="110" t="s">
        <v>485</v>
      </c>
      <c r="D124" s="111" t="s">
        <v>311</v>
      </c>
      <c r="E124" s="112">
        <v>2376.6999999999998</v>
      </c>
      <c r="F124" s="113">
        <f t="shared" ref="F124" si="172">IF(E124="","",F123-E124)</f>
        <v>1243933.2899999998</v>
      </c>
      <c r="G124" s="114">
        <f t="shared" ref="G124" si="173">IF(E124="","",G123+E124)</f>
        <v>1031414.3099999999</v>
      </c>
      <c r="H124" s="94" t="s">
        <v>313</v>
      </c>
      <c r="I124">
        <v>1000081130</v>
      </c>
    </row>
    <row r="125" spans="1:15" ht="14">
      <c r="A125" s="108">
        <v>117</v>
      </c>
      <c r="B125" s="109" t="s">
        <v>486</v>
      </c>
      <c r="C125" s="110" t="s">
        <v>487</v>
      </c>
      <c r="D125" s="111" t="s">
        <v>457</v>
      </c>
      <c r="E125" s="112">
        <v>100</v>
      </c>
      <c r="F125" s="113">
        <f t="shared" ref="F125" si="174">IF(E125="","",F124-E125)</f>
        <v>1243833.2899999998</v>
      </c>
      <c r="G125" s="114">
        <f t="shared" ref="G125" si="175">IF(E125="","",G124+E125)</f>
        <v>1031514.3099999999</v>
      </c>
      <c r="H125" s="182" t="s">
        <v>287</v>
      </c>
      <c r="I125">
        <v>1000081132</v>
      </c>
    </row>
    <row r="126" spans="1:15" ht="14">
      <c r="A126" s="108">
        <v>118</v>
      </c>
      <c r="B126" s="109" t="s">
        <v>489</v>
      </c>
      <c r="C126" s="110" t="s">
        <v>490</v>
      </c>
      <c r="D126" s="111" t="s">
        <v>479</v>
      </c>
      <c r="E126" s="112">
        <v>6622</v>
      </c>
      <c r="F126" s="113">
        <f t="shared" ref="F126" si="176">IF(E126="","",F125-E126)</f>
        <v>1237211.2899999998</v>
      </c>
      <c r="G126" s="114">
        <f t="shared" ref="G126" si="177">IF(E126="","",G125+E126)</f>
        <v>1038136.3099999999</v>
      </c>
      <c r="H126" s="94" t="s">
        <v>491</v>
      </c>
      <c r="I126">
        <v>1000081149</v>
      </c>
    </row>
    <row r="127" spans="1:15" ht="14">
      <c r="A127" s="108">
        <v>119</v>
      </c>
      <c r="B127" s="109" t="s">
        <v>492</v>
      </c>
      <c r="C127" s="110" t="s">
        <v>493</v>
      </c>
      <c r="D127" s="111" t="s">
        <v>403</v>
      </c>
      <c r="E127" s="112">
        <v>4320</v>
      </c>
      <c r="F127" s="113">
        <f t="shared" ref="F127" si="178">IF(E127="","",F126-E127)</f>
        <v>1232891.2899999998</v>
      </c>
      <c r="G127" s="114">
        <f t="shared" ref="G127" si="179">IF(E127="","",G126+E127)</f>
        <v>1042456.3099999999</v>
      </c>
      <c r="H127" s="94" t="s">
        <v>494</v>
      </c>
      <c r="I127">
        <v>1000081158</v>
      </c>
    </row>
    <row r="128" spans="1:15" ht="14">
      <c r="A128" s="108">
        <v>120</v>
      </c>
      <c r="B128" s="109" t="s">
        <v>496</v>
      </c>
      <c r="C128" s="110">
        <v>45998</v>
      </c>
      <c r="D128" s="111" t="s">
        <v>311</v>
      </c>
      <c r="E128" s="112">
        <v>5111.8599999999997</v>
      </c>
      <c r="F128" s="113">
        <f t="shared" ref="F128" si="180">IF(E128="","",F127-E128)</f>
        <v>1227779.4299999997</v>
      </c>
      <c r="G128" s="114">
        <f t="shared" ref="G128" si="181">IF(E128="","",G127+E128)</f>
        <v>1047568.1699999999</v>
      </c>
      <c r="H128" s="94" t="s">
        <v>398</v>
      </c>
      <c r="I128">
        <v>1000081183</v>
      </c>
      <c r="O128" s="3" t="s">
        <v>488</v>
      </c>
    </row>
    <row r="129" spans="1:14" ht="14">
      <c r="A129" s="108">
        <v>121</v>
      </c>
      <c r="B129" s="109" t="s">
        <v>497</v>
      </c>
      <c r="C129" s="110">
        <v>46022</v>
      </c>
      <c r="D129" s="111" t="s">
        <v>454</v>
      </c>
      <c r="E129" s="112">
        <v>4305.6000000000004</v>
      </c>
      <c r="F129" s="113">
        <f t="shared" ref="F129" si="182">IF(E129="","",F128-E129)</f>
        <v>1223473.8299999996</v>
      </c>
      <c r="G129" s="114">
        <f t="shared" ref="G129" si="183">IF(E129="","",G128+E129)</f>
        <v>1051873.77</v>
      </c>
      <c r="H129" s="94" t="s">
        <v>498</v>
      </c>
      <c r="I129">
        <v>1000081172</v>
      </c>
    </row>
    <row r="130" spans="1:14" ht="14">
      <c r="A130" s="108">
        <v>122</v>
      </c>
      <c r="B130" s="109" t="s">
        <v>499</v>
      </c>
      <c r="C130" s="110">
        <v>46041</v>
      </c>
      <c r="D130" s="111" t="s">
        <v>472</v>
      </c>
      <c r="E130" s="112">
        <v>67574.2</v>
      </c>
      <c r="F130" s="113">
        <f t="shared" ref="F130" si="184">IF(E130="","",F129-E130)</f>
        <v>1155899.6299999997</v>
      </c>
      <c r="G130" s="114">
        <f t="shared" ref="G130" si="185">IF(E130="","",G129+E130)</f>
        <v>1119447.97</v>
      </c>
      <c r="H130" s="94" t="s">
        <v>282</v>
      </c>
      <c r="I130">
        <v>1000081195</v>
      </c>
    </row>
    <row r="131" spans="1:14" ht="14">
      <c r="A131" s="108">
        <v>123</v>
      </c>
      <c r="B131" s="109" t="s">
        <v>500</v>
      </c>
      <c r="C131" s="110" t="s">
        <v>501</v>
      </c>
      <c r="D131" s="111" t="s">
        <v>472</v>
      </c>
      <c r="E131" s="112">
        <v>4731.6000000000004</v>
      </c>
      <c r="F131" s="113">
        <f t="shared" ref="F131" si="186">IF(E131="","",F130-E131)</f>
        <v>1151168.0299999996</v>
      </c>
      <c r="G131" s="114">
        <f t="shared" ref="G131" si="187">IF(E131="","",G130+E131)</f>
        <v>1124179.57</v>
      </c>
      <c r="H131" s="94" t="s">
        <v>502</v>
      </c>
      <c r="I131">
        <v>1000081143</v>
      </c>
    </row>
    <row r="132" spans="1:14" ht="14">
      <c r="A132" s="108">
        <v>124</v>
      </c>
      <c r="B132" s="109" t="s">
        <v>503</v>
      </c>
      <c r="C132" s="110" t="s">
        <v>504</v>
      </c>
      <c r="D132" s="111" t="s">
        <v>505</v>
      </c>
      <c r="E132" s="112">
        <v>215.7</v>
      </c>
      <c r="F132" s="113">
        <f t="shared" ref="F132" si="188">IF(E132="","",F131-E132)</f>
        <v>1150952.3299999996</v>
      </c>
      <c r="G132" s="114">
        <f t="shared" ref="G132" si="189">IF(E132="","",G131+E132)</f>
        <v>1124395.27</v>
      </c>
      <c r="H132" s="94" t="s">
        <v>455</v>
      </c>
      <c r="I132">
        <v>1000082745</v>
      </c>
      <c r="J132" s="3" t="s">
        <v>488</v>
      </c>
    </row>
    <row r="133" spans="1:14" ht="14">
      <c r="A133" s="108">
        <v>125</v>
      </c>
      <c r="B133" s="109" t="s">
        <v>506</v>
      </c>
      <c r="C133" s="110">
        <v>46079</v>
      </c>
      <c r="D133" s="111" t="s">
        <v>457</v>
      </c>
      <c r="E133" s="112">
        <v>3280.6</v>
      </c>
      <c r="F133" s="113">
        <f t="shared" ref="F133:F142" si="190">IF(E133="","",F132-E133)</f>
        <v>1147671.7299999995</v>
      </c>
      <c r="G133" s="114">
        <f t="shared" ref="G133:G142" si="191">IF(E133="","",G132+E133)</f>
        <v>1127675.8700000001</v>
      </c>
      <c r="H133" s="94" t="s">
        <v>104</v>
      </c>
      <c r="I133">
        <v>1000082748</v>
      </c>
    </row>
    <row r="134" spans="1:14" ht="14">
      <c r="A134" s="108">
        <v>126</v>
      </c>
      <c r="B134" s="109" t="s">
        <v>507</v>
      </c>
      <c r="C134" s="110" t="s">
        <v>487</v>
      </c>
      <c r="D134" s="111" t="s">
        <v>461</v>
      </c>
      <c r="E134" s="112">
        <v>100</v>
      </c>
      <c r="F134" s="113">
        <f t="shared" si="190"/>
        <v>1147571.7299999995</v>
      </c>
      <c r="G134" s="114">
        <f t="shared" si="191"/>
        <v>1127775.8700000001</v>
      </c>
      <c r="H134" s="182" t="s">
        <v>287</v>
      </c>
      <c r="I134">
        <v>1000081238</v>
      </c>
    </row>
    <row r="135" spans="1:14" ht="14">
      <c r="A135" s="108">
        <v>127</v>
      </c>
      <c r="B135" s="109" t="s">
        <v>508</v>
      </c>
      <c r="C135" s="110">
        <v>46061</v>
      </c>
      <c r="D135" s="111" t="s">
        <v>509</v>
      </c>
      <c r="E135" s="112">
        <v>7056.89</v>
      </c>
      <c r="F135" s="113">
        <f t="shared" si="190"/>
        <v>1140514.8399999996</v>
      </c>
      <c r="G135" s="114">
        <f t="shared" si="191"/>
        <v>1134832.76</v>
      </c>
      <c r="H135" s="94" t="s">
        <v>510</v>
      </c>
      <c r="I135" s="3" t="s">
        <v>511</v>
      </c>
    </row>
    <row r="136" spans="1:14" ht="14">
      <c r="A136" s="108">
        <v>128</v>
      </c>
      <c r="B136" s="109" t="s">
        <v>512</v>
      </c>
      <c r="C136" s="110">
        <v>46054</v>
      </c>
      <c r="D136" s="111" t="s">
        <v>461</v>
      </c>
      <c r="E136" s="112">
        <v>15341.2</v>
      </c>
      <c r="F136" s="113">
        <f t="shared" si="190"/>
        <v>1125173.6399999997</v>
      </c>
      <c r="G136" s="114">
        <f t="shared" si="191"/>
        <v>1150173.96</v>
      </c>
      <c r="H136" s="94" t="s">
        <v>513</v>
      </c>
      <c r="I136" s="3" t="s">
        <v>514</v>
      </c>
      <c r="N136" t="s">
        <v>488</v>
      </c>
    </row>
    <row r="137" spans="1:14" ht="14">
      <c r="A137" s="108">
        <v>129</v>
      </c>
      <c r="B137" s="109" t="s">
        <v>515</v>
      </c>
      <c r="C137" s="110">
        <v>46062</v>
      </c>
      <c r="D137" s="111" t="s">
        <v>472</v>
      </c>
      <c r="E137" s="112">
        <v>53496.58</v>
      </c>
      <c r="F137" s="113">
        <f t="shared" si="190"/>
        <v>1071677.0599999996</v>
      </c>
      <c r="G137" s="114">
        <f t="shared" si="191"/>
        <v>1203670.54</v>
      </c>
      <c r="H137" s="94" t="s">
        <v>516</v>
      </c>
      <c r="I137" s="3" t="s">
        <v>517</v>
      </c>
    </row>
    <row r="138" spans="1:14" ht="14">
      <c r="A138" s="108">
        <v>130</v>
      </c>
      <c r="B138" s="109" t="s">
        <v>518</v>
      </c>
      <c r="C138" s="110">
        <v>46048</v>
      </c>
      <c r="D138" s="111" t="s">
        <v>461</v>
      </c>
      <c r="E138" s="112">
        <v>34587.47</v>
      </c>
      <c r="F138" s="113">
        <f t="shared" si="190"/>
        <v>1037089.5899999996</v>
      </c>
      <c r="G138" s="114">
        <f t="shared" si="191"/>
        <v>1238258.01</v>
      </c>
      <c r="H138" s="94" t="s">
        <v>516</v>
      </c>
      <c r="I138" s="3" t="s">
        <v>519</v>
      </c>
    </row>
    <row r="139" spans="1:14" ht="14">
      <c r="A139" s="108">
        <v>131</v>
      </c>
      <c r="B139" s="109" t="s">
        <v>520</v>
      </c>
      <c r="C139" s="110">
        <v>46049</v>
      </c>
      <c r="D139" s="111" t="s">
        <v>457</v>
      </c>
      <c r="E139" s="112">
        <v>49588.2</v>
      </c>
      <c r="F139" s="113">
        <f t="shared" si="190"/>
        <v>987501.38999999966</v>
      </c>
      <c r="G139" s="114">
        <f t="shared" si="191"/>
        <v>1287846.21</v>
      </c>
      <c r="H139" s="94" t="s">
        <v>379</v>
      </c>
      <c r="I139" s="3" t="s">
        <v>521</v>
      </c>
    </row>
    <row r="140" spans="1:14" ht="14">
      <c r="A140" s="108">
        <v>132</v>
      </c>
      <c r="B140" s="109" t="s">
        <v>522</v>
      </c>
      <c r="C140" s="110">
        <v>46080</v>
      </c>
      <c r="D140" s="111" t="s">
        <v>523</v>
      </c>
      <c r="E140" s="112">
        <v>3280.6</v>
      </c>
      <c r="F140" s="113">
        <f t="shared" si="190"/>
        <v>984220.78999999969</v>
      </c>
      <c r="G140" s="114">
        <f t="shared" si="191"/>
        <v>1291126.81</v>
      </c>
      <c r="H140" s="94" t="s">
        <v>93</v>
      </c>
      <c r="I140">
        <v>1000081246</v>
      </c>
    </row>
    <row r="141" spans="1:14" ht="14">
      <c r="A141" s="108">
        <v>133</v>
      </c>
      <c r="B141" s="109" t="s">
        <v>524</v>
      </c>
      <c r="C141" s="110" t="s">
        <v>525</v>
      </c>
      <c r="D141" s="111" t="s">
        <v>457</v>
      </c>
      <c r="E141" s="112">
        <v>100</v>
      </c>
      <c r="F141" s="113">
        <f t="shared" si="190"/>
        <v>984120.78999999969</v>
      </c>
      <c r="G141" s="114">
        <f t="shared" si="191"/>
        <v>1291226.81</v>
      </c>
      <c r="H141" s="182" t="s">
        <v>287</v>
      </c>
      <c r="I141">
        <v>1000083425</v>
      </c>
    </row>
    <row r="142" spans="1:14" ht="14">
      <c r="A142" s="108">
        <v>134</v>
      </c>
      <c r="B142" s="109" t="s">
        <v>526</v>
      </c>
      <c r="C142" s="110">
        <v>46085</v>
      </c>
      <c r="D142" s="111" t="s">
        <v>505</v>
      </c>
      <c r="E142" s="112">
        <v>2974.75</v>
      </c>
      <c r="F142" s="113">
        <f t="shared" si="190"/>
        <v>981146.03999999969</v>
      </c>
      <c r="G142" s="114">
        <f t="shared" si="191"/>
        <v>1294201.56</v>
      </c>
      <c r="H142" s="94" t="s">
        <v>93</v>
      </c>
      <c r="I142">
        <v>1000083430</v>
      </c>
    </row>
    <row r="143" spans="1:14" ht="14">
      <c r="A143" s="108">
        <v>135</v>
      </c>
      <c r="B143" s="109" t="s">
        <v>527</v>
      </c>
      <c r="C143" s="110">
        <v>46039</v>
      </c>
      <c r="D143" s="111" t="s">
        <v>461</v>
      </c>
      <c r="E143" s="112">
        <v>34450</v>
      </c>
      <c r="F143" s="113">
        <f t="shared" ref="F143" si="192">IF(E143="","",F142-E143)</f>
        <v>946696.03999999969</v>
      </c>
      <c r="G143" s="114">
        <f t="shared" ref="G143" si="193">IF(E143="","",G142+E143)</f>
        <v>1328651.56</v>
      </c>
      <c r="H143" s="182" t="s">
        <v>282</v>
      </c>
      <c r="I143">
        <v>1000081224</v>
      </c>
    </row>
    <row r="144" spans="1:14" ht="14">
      <c r="A144" s="108">
        <v>136</v>
      </c>
      <c r="B144" s="109" t="s">
        <v>529</v>
      </c>
      <c r="C144" s="110" t="s">
        <v>530</v>
      </c>
      <c r="D144" s="111" t="s">
        <v>454</v>
      </c>
      <c r="E144" s="112">
        <v>2678</v>
      </c>
      <c r="F144" s="113">
        <f t="shared" ref="F144" si="194">IF(E144="","",F143-E144)</f>
        <v>944018.03999999969</v>
      </c>
      <c r="G144" s="114">
        <f t="shared" ref="G144" si="195">IF(E144="","",G143+E144)</f>
        <v>1331329.56</v>
      </c>
      <c r="H144" s="94" t="s">
        <v>313</v>
      </c>
      <c r="I144">
        <v>1000081225</v>
      </c>
    </row>
    <row r="145" spans="1:13" ht="14">
      <c r="A145" s="108">
        <v>137</v>
      </c>
      <c r="B145" s="109" t="s">
        <v>531</v>
      </c>
      <c r="C145" s="110" t="s">
        <v>525</v>
      </c>
      <c r="D145" s="111" t="s">
        <v>472</v>
      </c>
      <c r="E145" s="112">
        <v>100</v>
      </c>
      <c r="F145" s="113">
        <f t="shared" ref="F145" si="196">IF(E145="","",F144-E145)</f>
        <v>943918.03999999969</v>
      </c>
      <c r="G145" s="114">
        <f t="shared" ref="G145" si="197">IF(E145="","",G144+E145)</f>
        <v>1331429.56</v>
      </c>
      <c r="H145" s="182" t="s">
        <v>287</v>
      </c>
      <c r="I145">
        <v>1000084025</v>
      </c>
    </row>
    <row r="146" spans="1:13" ht="14">
      <c r="A146" s="108">
        <v>138</v>
      </c>
      <c r="B146" s="109" t="s">
        <v>532</v>
      </c>
      <c r="C146" s="110">
        <v>46036</v>
      </c>
      <c r="D146" s="111" t="s">
        <v>523</v>
      </c>
      <c r="E146" s="112">
        <v>3280.6</v>
      </c>
      <c r="F146" s="113">
        <f t="shared" ref="F146" si="198">IF(E146="","",F145-E146)</f>
        <v>940637.43999999971</v>
      </c>
      <c r="G146" s="114">
        <f t="shared" ref="G146" si="199">IF(E146="","",G145+E146)</f>
        <v>1334710.1600000001</v>
      </c>
      <c r="H146" s="94" t="s">
        <v>93</v>
      </c>
      <c r="I146">
        <v>1000081233</v>
      </c>
    </row>
    <row r="147" spans="1:13" ht="14">
      <c r="A147" s="108">
        <v>139</v>
      </c>
      <c r="B147" s="109" t="s">
        <v>534</v>
      </c>
      <c r="C147" s="110">
        <v>46084</v>
      </c>
      <c r="D147" s="111" t="s">
        <v>472</v>
      </c>
      <c r="E147" s="112">
        <v>3844.5</v>
      </c>
      <c r="F147" s="113">
        <f t="shared" ref="F147" si="200">IF(E147="","",F146-E147)</f>
        <v>936792.93999999971</v>
      </c>
      <c r="G147" s="114">
        <f t="shared" ref="G147" si="201">IF(E147="","",G146+E147)</f>
        <v>1338554.6600000001</v>
      </c>
      <c r="H147" s="94" t="s">
        <v>535</v>
      </c>
      <c r="I147">
        <v>1000084049</v>
      </c>
    </row>
    <row r="148" spans="1:13" ht="14">
      <c r="A148" s="108">
        <v>140</v>
      </c>
      <c r="B148" s="109" t="s">
        <v>536</v>
      </c>
      <c r="C148" s="110" t="s">
        <v>537</v>
      </c>
      <c r="D148" s="111" t="s">
        <v>461</v>
      </c>
      <c r="E148" s="112">
        <v>226</v>
      </c>
      <c r="F148" s="113">
        <f t="shared" ref="F148" si="202">IF(E148="","",F147-E148)</f>
        <v>936566.93999999971</v>
      </c>
      <c r="G148" s="114">
        <f t="shared" ref="G148" si="203">IF(E148="","",G147+E148)</f>
        <v>1338780.6600000001</v>
      </c>
      <c r="H148" s="94" t="s">
        <v>313</v>
      </c>
      <c r="I148">
        <v>1000084700</v>
      </c>
      <c r="L148" s="3" t="s">
        <v>533</v>
      </c>
    </row>
    <row r="149" spans="1:13" ht="14">
      <c r="A149" s="108">
        <v>141</v>
      </c>
      <c r="B149" s="109" t="s">
        <v>538</v>
      </c>
      <c r="C149" s="110" t="s">
        <v>487</v>
      </c>
      <c r="D149" s="111" t="s">
        <v>472</v>
      </c>
      <c r="E149" s="112">
        <v>9400</v>
      </c>
      <c r="F149" s="113">
        <f t="shared" ref="F149" si="204">IF(E149="","",F148-E149)</f>
        <v>927166.93999999971</v>
      </c>
      <c r="G149" s="114">
        <f t="shared" ref="G149" si="205">IF(E149="","",G148+E149)</f>
        <v>1348180.6600000001</v>
      </c>
      <c r="H149" s="94" t="s">
        <v>491</v>
      </c>
      <c r="I149">
        <v>1000084051</v>
      </c>
    </row>
    <row r="150" spans="1:13" ht="14">
      <c r="A150" s="108">
        <v>142</v>
      </c>
      <c r="B150" s="109" t="s">
        <v>539</v>
      </c>
      <c r="C150" s="110">
        <v>46009</v>
      </c>
      <c r="D150" s="111" t="s">
        <v>479</v>
      </c>
      <c r="E150" s="112">
        <v>63821.1</v>
      </c>
      <c r="F150" s="113">
        <f t="shared" ref="F150" si="206">IF(E150="","",F149-E150)</f>
        <v>863345.83999999973</v>
      </c>
      <c r="G150" s="114">
        <f t="shared" ref="G150" si="207">IF(E150="","",G149+E150)</f>
        <v>1412001.7600000002</v>
      </c>
      <c r="H150" s="94" t="s">
        <v>540</v>
      </c>
      <c r="I150" s="3">
        <v>1000084732</v>
      </c>
      <c r="J150">
        <v>1000084734</v>
      </c>
    </row>
    <row r="151" spans="1:13" ht="14">
      <c r="A151" s="108">
        <v>143</v>
      </c>
      <c r="B151" s="109" t="s">
        <v>541</v>
      </c>
      <c r="C151" s="110">
        <v>46041</v>
      </c>
      <c r="D151" s="111" t="s">
        <v>523</v>
      </c>
      <c r="E151" s="112">
        <v>3280.6</v>
      </c>
      <c r="F151" s="113">
        <f t="shared" ref="F151" si="208">IF(E151="","",F150-E151)</f>
        <v>860065.23999999976</v>
      </c>
      <c r="G151" s="114">
        <f t="shared" ref="G151" si="209">IF(E151="","",G150+E151)</f>
        <v>1415282.3600000003</v>
      </c>
      <c r="H151" s="94" t="s">
        <v>93</v>
      </c>
      <c r="I151">
        <v>1000084867</v>
      </c>
      <c r="L151" s="185" t="s">
        <v>595</v>
      </c>
      <c r="M151" s="94" t="s">
        <v>596</v>
      </c>
    </row>
    <row r="152" spans="1:13" ht="14">
      <c r="A152" s="108">
        <v>144</v>
      </c>
      <c r="B152" s="109" t="s">
        <v>542</v>
      </c>
      <c r="C152" s="110">
        <v>46108</v>
      </c>
      <c r="D152" s="111" t="s">
        <v>543</v>
      </c>
      <c r="E152" s="112">
        <v>13250</v>
      </c>
      <c r="F152" s="113">
        <f t="shared" ref="F152" si="210">IF(E152="","",F151-E152)</f>
        <v>846815.23999999976</v>
      </c>
      <c r="G152" s="114">
        <f t="shared" ref="G152" si="211">IF(E152="","",G151+E152)</f>
        <v>1428532.3600000003</v>
      </c>
      <c r="H152" s="182" t="s">
        <v>282</v>
      </c>
      <c r="I152">
        <v>1000084879</v>
      </c>
    </row>
    <row r="153" spans="1:13" ht="14">
      <c r="A153" s="108">
        <v>145</v>
      </c>
      <c r="B153" s="109" t="s">
        <v>544</v>
      </c>
      <c r="C153" s="110">
        <v>46048</v>
      </c>
      <c r="D153" s="111" t="s">
        <v>509</v>
      </c>
      <c r="E153" s="112">
        <v>37980.629999999997</v>
      </c>
      <c r="F153" s="113">
        <f t="shared" ref="F153" si="212">IF(E153="","",F152-E153)</f>
        <v>808834.60999999975</v>
      </c>
      <c r="G153" s="114">
        <f t="shared" ref="G153" si="213">IF(E153="","",G152+E153)</f>
        <v>1466512.9900000002</v>
      </c>
      <c r="H153" s="182" t="s">
        <v>282</v>
      </c>
      <c r="I153">
        <v>1000085096</v>
      </c>
    </row>
    <row r="154" spans="1:13" ht="14">
      <c r="A154" s="108">
        <v>146</v>
      </c>
      <c r="B154" s="109" t="s">
        <v>545</v>
      </c>
      <c r="C154" s="110" t="s">
        <v>546</v>
      </c>
      <c r="D154" s="111" t="s">
        <v>547</v>
      </c>
      <c r="E154" s="112">
        <v>6586</v>
      </c>
      <c r="F154" s="113">
        <f t="shared" ref="F154" si="214">IF(E154="","",F153-E154)</f>
        <v>802248.60999999975</v>
      </c>
      <c r="G154" s="114">
        <f t="shared" ref="G154" si="215">IF(E154="","",G153+E154)</f>
        <v>1473098.9900000002</v>
      </c>
      <c r="H154" s="94" t="s">
        <v>548</v>
      </c>
      <c r="I154">
        <v>1000085130</v>
      </c>
    </row>
    <row r="155" spans="1:13" ht="14">
      <c r="A155" s="108">
        <v>147</v>
      </c>
      <c r="B155" s="109" t="s">
        <v>549</v>
      </c>
      <c r="C155" s="110">
        <v>46107</v>
      </c>
      <c r="D155" s="111" t="s">
        <v>547</v>
      </c>
      <c r="E155" s="112">
        <v>26000</v>
      </c>
      <c r="F155" s="113">
        <f t="shared" ref="F155" si="216">IF(E155="","",F154-E155)</f>
        <v>776248.60999999975</v>
      </c>
      <c r="G155" s="114">
        <f t="shared" ref="G155" si="217">IF(E155="","",G154+E155)</f>
        <v>1499098.9900000002</v>
      </c>
      <c r="H155" s="94" t="s">
        <v>473</v>
      </c>
      <c r="I155">
        <v>1000086092</v>
      </c>
    </row>
    <row r="156" spans="1:13" ht="14">
      <c r="A156" s="108">
        <v>148</v>
      </c>
      <c r="B156" s="109" t="s">
        <v>550</v>
      </c>
      <c r="C156" s="110">
        <v>46094</v>
      </c>
      <c r="D156" s="111" t="s">
        <v>505</v>
      </c>
      <c r="E156" s="112">
        <v>4900</v>
      </c>
      <c r="F156" s="113">
        <f t="shared" ref="F156" si="218">IF(E156="","",F155-E156)</f>
        <v>771348.60999999975</v>
      </c>
      <c r="G156" s="114">
        <f t="shared" ref="G156" si="219">IF(E156="","",G155+E156)</f>
        <v>1503998.9900000002</v>
      </c>
      <c r="H156" s="94" t="s">
        <v>551</v>
      </c>
      <c r="I156">
        <v>1000086098</v>
      </c>
    </row>
    <row r="157" spans="1:13" ht="14">
      <c r="A157" s="108">
        <v>149</v>
      </c>
      <c r="B157" s="109" t="s">
        <v>552</v>
      </c>
      <c r="C157" s="110" t="s">
        <v>553</v>
      </c>
      <c r="D157" s="111" t="s">
        <v>505</v>
      </c>
      <c r="E157" s="112">
        <v>100</v>
      </c>
      <c r="F157" s="113">
        <f t="shared" ref="F157" si="220">IF(E157="","",F156-E157)</f>
        <v>771248.60999999975</v>
      </c>
      <c r="G157" s="114">
        <f t="shared" ref="G157" si="221">IF(E157="","",G156+E157)</f>
        <v>1504098.9900000002</v>
      </c>
      <c r="H157" s="182" t="s">
        <v>287</v>
      </c>
      <c r="I157">
        <v>1000086106</v>
      </c>
    </row>
    <row r="158" spans="1:13" ht="14">
      <c r="A158" s="108">
        <v>150</v>
      </c>
      <c r="B158" s="109" t="s">
        <v>554</v>
      </c>
      <c r="C158" s="110" t="s">
        <v>555</v>
      </c>
      <c r="D158" s="111" t="s">
        <v>457</v>
      </c>
      <c r="E158" s="112">
        <v>1109</v>
      </c>
      <c r="F158" s="113">
        <f t="shared" ref="F158" si="222">IF(E158="","",F157-E158)</f>
        <v>770139.60999999975</v>
      </c>
      <c r="G158" s="114">
        <f t="shared" ref="G158" si="223">IF(E158="","",G157+E158)</f>
        <v>1505207.9900000002</v>
      </c>
      <c r="H158" s="94" t="s">
        <v>313</v>
      </c>
      <c r="I158">
        <v>1000086118</v>
      </c>
    </row>
    <row r="159" spans="1:13" ht="14">
      <c r="A159" s="108">
        <v>151</v>
      </c>
      <c r="B159" s="109" t="s">
        <v>556</v>
      </c>
      <c r="C159" s="110">
        <v>46132</v>
      </c>
      <c r="D159" s="111" t="s">
        <v>547</v>
      </c>
      <c r="E159" s="112">
        <v>39210</v>
      </c>
      <c r="F159" s="113">
        <f t="shared" ref="F159" si="224">IF(E159="","",F158-E159)</f>
        <v>730929.60999999975</v>
      </c>
      <c r="G159" s="114">
        <f t="shared" ref="G159" si="225">IF(E159="","",G158+E159)</f>
        <v>1544417.9900000002</v>
      </c>
      <c r="H159" s="182" t="s">
        <v>282</v>
      </c>
      <c r="I159">
        <v>1000086122</v>
      </c>
    </row>
    <row r="160" spans="1:13" ht="14">
      <c r="A160" s="108">
        <v>152</v>
      </c>
      <c r="B160" s="109" t="s">
        <v>557</v>
      </c>
      <c r="C160" s="110">
        <v>46138</v>
      </c>
      <c r="D160" s="111" t="s">
        <v>558</v>
      </c>
      <c r="E160" s="112">
        <v>46050</v>
      </c>
      <c r="F160" s="113">
        <f t="shared" ref="F160" si="226">IF(E160="","",F159-E160)</f>
        <v>684879.60999999975</v>
      </c>
      <c r="G160" s="114">
        <f t="shared" ref="G160" si="227">IF(E160="","",G159+E160)</f>
        <v>1590467.9900000002</v>
      </c>
      <c r="H160" s="94" t="s">
        <v>559</v>
      </c>
      <c r="I160">
        <v>1000086127</v>
      </c>
    </row>
    <row r="161" spans="1:11" ht="14">
      <c r="A161" s="108">
        <v>153</v>
      </c>
      <c r="B161" s="109" t="s">
        <v>560</v>
      </c>
      <c r="C161" s="110" t="s">
        <v>561</v>
      </c>
      <c r="D161" s="111" t="s">
        <v>543</v>
      </c>
      <c r="E161" s="112">
        <v>5870</v>
      </c>
      <c r="F161" s="113">
        <f t="shared" ref="F161" si="228">IF(E161="","",F160-E161)</f>
        <v>679009.60999999975</v>
      </c>
      <c r="G161" s="114">
        <f t="shared" ref="G161" si="229">IF(E161="","",G160+E161)</f>
        <v>1596337.9900000002</v>
      </c>
      <c r="H161" s="94" t="s">
        <v>562</v>
      </c>
      <c r="I161">
        <v>1000086135</v>
      </c>
    </row>
    <row r="162" spans="1:11" ht="14">
      <c r="A162" s="108">
        <v>154</v>
      </c>
      <c r="B162" s="109" t="s">
        <v>563</v>
      </c>
      <c r="C162" s="110" t="s">
        <v>564</v>
      </c>
      <c r="D162" s="111" t="s">
        <v>558</v>
      </c>
      <c r="E162" s="112">
        <v>5952</v>
      </c>
      <c r="F162" s="113">
        <f t="shared" ref="F162" si="230">IF(E162="","",F161-E162)</f>
        <v>673057.60999999975</v>
      </c>
      <c r="G162" s="114">
        <f t="shared" ref="G162" si="231">IF(E162="","",G161+E162)</f>
        <v>1602289.9900000002</v>
      </c>
      <c r="H162" s="94" t="s">
        <v>548</v>
      </c>
      <c r="I162">
        <v>1000086139</v>
      </c>
    </row>
    <row r="163" spans="1:11" ht="14">
      <c r="A163" s="108">
        <v>155</v>
      </c>
      <c r="B163" s="109" t="s">
        <v>565</v>
      </c>
      <c r="C163" s="110" t="s">
        <v>566</v>
      </c>
      <c r="D163" s="111" t="s">
        <v>547</v>
      </c>
      <c r="E163" s="112">
        <v>5060</v>
      </c>
      <c r="F163" s="113">
        <f t="shared" ref="F163" si="232">IF(E163="","",F162-E163)</f>
        <v>667997.60999999975</v>
      </c>
      <c r="G163" s="114">
        <f t="shared" ref="G163" si="233">IF(E163="","",G162+E163)</f>
        <v>1607349.9900000002</v>
      </c>
      <c r="H163" s="94" t="s">
        <v>567</v>
      </c>
      <c r="I163">
        <v>1000086140</v>
      </c>
    </row>
    <row r="164" spans="1:11" ht="14">
      <c r="A164" s="108">
        <v>156</v>
      </c>
      <c r="B164" s="109" t="s">
        <v>568</v>
      </c>
      <c r="C164" s="110" t="s">
        <v>569</v>
      </c>
      <c r="D164" s="111" t="s">
        <v>472</v>
      </c>
      <c r="E164" s="112">
        <v>736.6</v>
      </c>
      <c r="F164" s="113">
        <f t="shared" ref="F164" si="234">IF(E164="","",F163-E164)</f>
        <v>667261.00999999978</v>
      </c>
      <c r="G164" s="114">
        <f t="shared" ref="G164" si="235">IF(E164="","",G163+E164)</f>
        <v>1608086.5900000003</v>
      </c>
      <c r="H164" s="94" t="s">
        <v>313</v>
      </c>
      <c r="I164">
        <v>1000086142</v>
      </c>
    </row>
    <row r="165" spans="1:11" ht="14">
      <c r="A165" s="108">
        <v>157</v>
      </c>
      <c r="B165" s="109" t="s">
        <v>570</v>
      </c>
      <c r="C165" s="110" t="s">
        <v>571</v>
      </c>
      <c r="D165" s="111" t="s">
        <v>572</v>
      </c>
      <c r="E165" s="112">
        <v>2963.3</v>
      </c>
      <c r="F165" s="113">
        <f t="shared" ref="F165" si="236">IF(E165="","",F164-E165)</f>
        <v>664297.70999999973</v>
      </c>
      <c r="G165" s="114">
        <f t="shared" ref="G165" si="237">IF(E165="","",G164+E165)</f>
        <v>1611049.8900000004</v>
      </c>
      <c r="H165" s="94" t="s">
        <v>455</v>
      </c>
      <c r="I165">
        <v>1000086544</v>
      </c>
    </row>
    <row r="166" spans="1:11" ht="14">
      <c r="A166" s="108">
        <v>158</v>
      </c>
      <c r="B166" s="109" t="s">
        <v>573</v>
      </c>
      <c r="C166" s="110">
        <v>46127</v>
      </c>
      <c r="D166" s="111" t="s">
        <v>543</v>
      </c>
      <c r="E166" s="112">
        <v>1000</v>
      </c>
      <c r="F166" s="113">
        <f t="shared" ref="F166" si="238">IF(E166="","",F165-E166)</f>
        <v>663297.70999999973</v>
      </c>
      <c r="G166" s="114">
        <f t="shared" ref="G166" si="239">IF(E166="","",G165+E166)</f>
        <v>1612049.8900000004</v>
      </c>
      <c r="H166" s="94" t="s">
        <v>574</v>
      </c>
      <c r="I166">
        <v>1000086705</v>
      </c>
    </row>
    <row r="167" spans="1:11" ht="14">
      <c r="A167" s="108">
        <v>159</v>
      </c>
      <c r="B167" s="109" t="s">
        <v>575</v>
      </c>
      <c r="C167" s="110">
        <v>46126</v>
      </c>
      <c r="D167" s="111" t="s">
        <v>543</v>
      </c>
      <c r="E167" s="112">
        <v>2373.75</v>
      </c>
      <c r="F167" s="113">
        <f t="shared" ref="F167" si="240">IF(E167="","",F166-E167)</f>
        <v>660923.95999999973</v>
      </c>
      <c r="G167" s="114">
        <f t="shared" ref="G167" si="241">IF(E167="","",G166+E167)</f>
        <v>1614423.6400000004</v>
      </c>
      <c r="H167" s="94" t="s">
        <v>576</v>
      </c>
      <c r="I167">
        <v>1000087100</v>
      </c>
    </row>
    <row r="168" spans="1:11" ht="14">
      <c r="A168" s="108">
        <v>160</v>
      </c>
      <c r="B168" s="109" t="s">
        <v>577</v>
      </c>
      <c r="C168" s="110">
        <v>46124</v>
      </c>
      <c r="D168" s="111" t="s">
        <v>543</v>
      </c>
      <c r="E168" s="124">
        <v>4630.5</v>
      </c>
      <c r="F168" s="113">
        <f t="shared" ref="F168" si="242">IF(E168="","",F167-E168)</f>
        <v>656293.45999999973</v>
      </c>
      <c r="G168" s="114">
        <f t="shared" ref="G168" si="243">IF(E168="","",G167+E168)</f>
        <v>1619054.1400000004</v>
      </c>
      <c r="H168" s="94" t="s">
        <v>398</v>
      </c>
      <c r="I168">
        <v>1000087778</v>
      </c>
    </row>
    <row r="169" spans="1:11" ht="14">
      <c r="A169" s="108">
        <v>161</v>
      </c>
      <c r="B169" s="109" t="s">
        <v>578</v>
      </c>
      <c r="C169" s="110" t="s">
        <v>579</v>
      </c>
      <c r="D169" s="111" t="s">
        <v>543</v>
      </c>
      <c r="E169" s="124">
        <v>4836.2</v>
      </c>
      <c r="F169" s="113">
        <f t="shared" ref="F169" si="244">IF(E169="","",F168-E169)</f>
        <v>651457.25999999978</v>
      </c>
      <c r="G169" s="114">
        <f t="shared" ref="G169" si="245">IF(E169="","",G168+E169)</f>
        <v>1623890.3400000003</v>
      </c>
      <c r="H169" s="94" t="s">
        <v>580</v>
      </c>
      <c r="I169">
        <v>1000087798</v>
      </c>
    </row>
    <row r="170" spans="1:11" ht="14">
      <c r="A170" s="108">
        <v>162</v>
      </c>
      <c r="B170" s="109" t="s">
        <v>581</v>
      </c>
      <c r="C170" s="110" t="s">
        <v>553</v>
      </c>
      <c r="D170" s="111" t="s">
        <v>472</v>
      </c>
      <c r="E170" s="124">
        <v>100</v>
      </c>
      <c r="F170" s="113">
        <f t="shared" ref="F170" si="246">IF(E170="","",F169-E170)</f>
        <v>651357.25999999978</v>
      </c>
      <c r="G170" s="114">
        <f t="shared" ref="G170" si="247">IF(E170="","",G169+E170)</f>
        <v>1623990.3400000003</v>
      </c>
      <c r="H170" s="182" t="s">
        <v>287</v>
      </c>
      <c r="I170">
        <v>1000087814</v>
      </c>
    </row>
    <row r="171" spans="1:11" ht="14">
      <c r="A171" s="108">
        <v>163</v>
      </c>
      <c r="B171" s="109" t="s">
        <v>583</v>
      </c>
      <c r="C171" s="110">
        <v>46099</v>
      </c>
      <c r="D171" s="111" t="s">
        <v>505</v>
      </c>
      <c r="E171" s="124">
        <v>29027.66</v>
      </c>
      <c r="F171" s="113">
        <f t="shared" ref="F171" si="248">IF(E171="","",F170-E171)</f>
        <v>622329.59999999974</v>
      </c>
      <c r="G171" s="114">
        <f t="shared" ref="G171" si="249">IF(E171="","",G170+E171)</f>
        <v>1653018.0000000002</v>
      </c>
      <c r="H171" s="94" t="s">
        <v>584</v>
      </c>
      <c r="I171" s="3">
        <v>1000087841</v>
      </c>
      <c r="J171" s="3">
        <v>1000087864</v>
      </c>
      <c r="K171" s="3">
        <v>1000087873</v>
      </c>
    </row>
    <row r="172" spans="1:11" ht="14">
      <c r="A172" s="108">
        <v>164</v>
      </c>
      <c r="B172" s="109" t="s">
        <v>582</v>
      </c>
      <c r="C172" s="110">
        <v>46159</v>
      </c>
      <c r="D172" s="111" t="s">
        <v>572</v>
      </c>
      <c r="E172" s="125">
        <v>1000</v>
      </c>
      <c r="F172" s="113">
        <f t="shared" ref="F172" si="250">IF(E172="","",F171-E172)</f>
        <v>621329.59999999974</v>
      </c>
      <c r="G172" s="114">
        <f t="shared" ref="G172" si="251">IF(E172="","",G171+E172)</f>
        <v>1654018.0000000002</v>
      </c>
      <c r="H172" s="94" t="s">
        <v>574</v>
      </c>
      <c r="I172" s="3">
        <v>1000088054</v>
      </c>
    </row>
    <row r="173" spans="1:11" ht="14">
      <c r="A173" s="108">
        <v>165</v>
      </c>
      <c r="B173" s="109" t="s">
        <v>585</v>
      </c>
      <c r="C173" s="110">
        <v>46156</v>
      </c>
      <c r="D173" s="111" t="s">
        <v>572</v>
      </c>
      <c r="E173" s="125">
        <v>3495.91</v>
      </c>
      <c r="F173" s="113">
        <f t="shared" ref="F173" si="252">IF(E173="","",F172-E173)</f>
        <v>617833.68999999971</v>
      </c>
      <c r="G173" s="114">
        <f t="shared" ref="G173" si="253">IF(E173="","",G172+E173)</f>
        <v>1657513.9100000001</v>
      </c>
      <c r="H173" s="94" t="s">
        <v>586</v>
      </c>
      <c r="I173" s="3">
        <v>1000088063</v>
      </c>
    </row>
    <row r="174" spans="1:11" ht="14">
      <c r="A174" s="108">
        <v>166</v>
      </c>
      <c r="B174" s="109" t="s">
        <v>588</v>
      </c>
      <c r="C174" s="110">
        <v>46161</v>
      </c>
      <c r="D174" s="111" t="s">
        <v>589</v>
      </c>
      <c r="E174" s="125">
        <v>4140.5</v>
      </c>
      <c r="F174" s="113">
        <f t="shared" ref="F174" si="254">IF(E174="","",F173-E174)</f>
        <v>613693.18999999971</v>
      </c>
      <c r="G174" s="114">
        <f t="shared" ref="G174" si="255">IF(E174="","",G173+E174)</f>
        <v>1661654.4100000001</v>
      </c>
      <c r="H174" s="94" t="s">
        <v>590</v>
      </c>
      <c r="I174" s="3">
        <v>1000088081</v>
      </c>
    </row>
    <row r="175" spans="1:11" ht="14">
      <c r="A175" s="108">
        <v>167</v>
      </c>
      <c r="B175" s="109" t="s">
        <v>591</v>
      </c>
      <c r="C175" s="110">
        <v>46121</v>
      </c>
      <c r="D175" s="111" t="s">
        <v>547</v>
      </c>
      <c r="E175" s="125">
        <v>24742.38</v>
      </c>
      <c r="F175" s="113">
        <f t="shared" ref="F175" si="256">IF(E175="","",F174-E175)</f>
        <v>588950.80999999971</v>
      </c>
      <c r="G175" s="114">
        <f t="shared" ref="G175" si="257">IF(E175="","",G174+E175)</f>
        <v>1686396.79</v>
      </c>
      <c r="H175" s="94" t="s">
        <v>592</v>
      </c>
      <c r="I175" s="3">
        <v>1000088236</v>
      </c>
    </row>
    <row r="176" spans="1:11" ht="14">
      <c r="A176" s="108">
        <v>168</v>
      </c>
      <c r="B176" s="109" t="s">
        <v>594</v>
      </c>
      <c r="C176" s="110">
        <v>46153</v>
      </c>
      <c r="D176" s="111" t="s">
        <v>558</v>
      </c>
      <c r="E176" s="125">
        <v>51033.5</v>
      </c>
      <c r="F176" s="113">
        <f t="shared" ref="F176" si="258">IF(E176="","",F175-E176)</f>
        <v>537917.30999999971</v>
      </c>
      <c r="G176" s="114">
        <f t="shared" ref="G176" si="259">IF(E176="","",G175+E176)</f>
        <v>1737430.29</v>
      </c>
      <c r="H176" s="94" t="s">
        <v>592</v>
      </c>
      <c r="I176" s="3">
        <v>1000088261</v>
      </c>
    </row>
    <row r="177" spans="1:9" ht="14">
      <c r="A177" s="108"/>
      <c r="B177" s="116"/>
      <c r="C177" s="110"/>
      <c r="D177" s="123" t="s">
        <v>597</v>
      </c>
      <c r="E177" s="124">
        <v>40000</v>
      </c>
      <c r="F177" s="113">
        <f t="shared" ref="F177:F198" si="260">IF(E177="","",F176-E177)</f>
        <v>497917.30999999971</v>
      </c>
      <c r="G177" s="114">
        <f t="shared" ref="G177:G198" si="261">IF(E177="","",G176+E177)</f>
        <v>1777430.29</v>
      </c>
    </row>
    <row r="178" spans="1:9" ht="18.75" customHeight="1">
      <c r="A178" s="108"/>
      <c r="B178" s="116"/>
      <c r="C178" s="110"/>
      <c r="D178" s="123" t="s">
        <v>547</v>
      </c>
      <c r="E178" s="124">
        <v>11235</v>
      </c>
      <c r="F178" s="113">
        <f t="shared" si="260"/>
        <v>486682.30999999971</v>
      </c>
      <c r="G178" s="114">
        <f t="shared" si="261"/>
        <v>1788665.29</v>
      </c>
    </row>
    <row r="179" spans="1:9" ht="18.75" customHeight="1">
      <c r="A179" s="108"/>
      <c r="B179" s="116"/>
      <c r="C179" s="110"/>
      <c r="D179" s="123" t="s">
        <v>598</v>
      </c>
      <c r="E179" s="124">
        <v>5800</v>
      </c>
      <c r="F179" s="113">
        <f t="shared" si="260"/>
        <v>480882.30999999971</v>
      </c>
      <c r="G179" s="114">
        <f t="shared" si="261"/>
        <v>1794465.29</v>
      </c>
    </row>
    <row r="180" spans="1:9" ht="18.75" customHeight="1">
      <c r="A180" s="108"/>
      <c r="B180" s="116"/>
      <c r="C180" s="110"/>
      <c r="D180" s="123" t="s">
        <v>599</v>
      </c>
      <c r="E180" s="124">
        <v>1800</v>
      </c>
      <c r="F180" s="113">
        <f t="shared" si="260"/>
        <v>479082.30999999971</v>
      </c>
      <c r="G180" s="114">
        <f t="shared" si="261"/>
        <v>1796265.29</v>
      </c>
    </row>
    <row r="181" spans="1:9" ht="18.75" customHeight="1">
      <c r="A181" s="108"/>
      <c r="B181" s="116"/>
      <c r="C181" s="122"/>
      <c r="D181" s="126" t="s">
        <v>547</v>
      </c>
      <c r="E181" s="125">
        <v>9400</v>
      </c>
      <c r="F181" s="113">
        <f t="shared" si="260"/>
        <v>469682.30999999971</v>
      </c>
      <c r="G181" s="114">
        <f t="shared" si="261"/>
        <v>1805665.29</v>
      </c>
    </row>
    <row r="182" spans="1:9" ht="18.75" customHeight="1">
      <c r="A182" s="108"/>
      <c r="B182" s="116"/>
      <c r="C182" s="110"/>
      <c r="D182" s="123" t="s">
        <v>598</v>
      </c>
      <c r="E182" s="124">
        <v>20450</v>
      </c>
      <c r="F182" s="113">
        <f t="shared" si="260"/>
        <v>449232.30999999971</v>
      </c>
      <c r="G182" s="114">
        <f t="shared" si="261"/>
        <v>1826115.29</v>
      </c>
    </row>
    <row r="183" spans="1:9" ht="18.75" customHeight="1">
      <c r="A183" s="108"/>
      <c r="B183" s="116"/>
      <c r="C183" s="110"/>
      <c r="D183" s="123" t="s">
        <v>572</v>
      </c>
      <c r="E183" s="124">
        <v>13328</v>
      </c>
      <c r="F183" s="113">
        <f t="shared" si="260"/>
        <v>435904.30999999971</v>
      </c>
      <c r="G183" s="114">
        <f t="shared" si="261"/>
        <v>1839443.29</v>
      </c>
    </row>
    <row r="184" spans="1:9" ht="18.75" customHeight="1">
      <c r="A184" s="108"/>
      <c r="B184" s="116"/>
      <c r="C184" s="110"/>
      <c r="D184" s="123" t="s">
        <v>589</v>
      </c>
      <c r="E184" s="124">
        <v>8518</v>
      </c>
      <c r="F184" s="113">
        <f t="shared" si="260"/>
        <v>427386.30999999971</v>
      </c>
      <c r="G184" s="114">
        <f t="shared" si="261"/>
        <v>1847961.29</v>
      </c>
    </row>
    <row r="185" spans="1:9" ht="18.75" customHeight="1">
      <c r="A185" s="108"/>
      <c r="B185" s="116"/>
      <c r="C185" s="110"/>
      <c r="D185" s="123" t="s">
        <v>558</v>
      </c>
      <c r="E185" s="124">
        <v>54050</v>
      </c>
      <c r="F185" s="113">
        <f t="shared" si="260"/>
        <v>373336.30999999971</v>
      </c>
      <c r="G185" s="114">
        <f t="shared" si="261"/>
        <v>1902011.29</v>
      </c>
      <c r="H185" s="94" t="s">
        <v>602</v>
      </c>
      <c r="I185">
        <v>1000088743</v>
      </c>
    </row>
    <row r="186" spans="1:9" ht="18.75" customHeight="1">
      <c r="A186" s="108"/>
      <c r="B186" s="116"/>
      <c r="C186" s="110"/>
      <c r="D186" s="123" t="s">
        <v>547</v>
      </c>
      <c r="E186" s="124">
        <v>31728.45</v>
      </c>
      <c r="F186" s="113">
        <f t="shared" si="260"/>
        <v>341607.85999999969</v>
      </c>
      <c r="G186" s="114">
        <f t="shared" si="261"/>
        <v>1933739.74</v>
      </c>
    </row>
    <row r="187" spans="1:9" ht="18.75" customHeight="1">
      <c r="A187" s="108"/>
      <c r="B187" s="116"/>
      <c r="C187" s="110"/>
      <c r="D187" s="123" t="s">
        <v>597</v>
      </c>
      <c r="E187" s="124">
        <v>5554.74</v>
      </c>
      <c r="F187" s="113">
        <f t="shared" si="260"/>
        <v>336053.1199999997</v>
      </c>
      <c r="G187" s="114">
        <f t="shared" si="261"/>
        <v>1939294.48</v>
      </c>
    </row>
    <row r="188" spans="1:9" ht="18.75" customHeight="1">
      <c r="A188" s="108"/>
      <c r="B188" s="116"/>
      <c r="C188" s="110"/>
      <c r="D188" s="123" t="s">
        <v>599</v>
      </c>
      <c r="E188" s="124">
        <v>7648</v>
      </c>
      <c r="F188" s="113">
        <f t="shared" si="260"/>
        <v>328405.1199999997</v>
      </c>
      <c r="G188" s="114">
        <f t="shared" si="261"/>
        <v>1946942.48</v>
      </c>
    </row>
    <row r="189" spans="1:9" ht="18.75" customHeight="1">
      <c r="A189" s="108"/>
      <c r="B189" s="116"/>
      <c r="C189" s="110"/>
      <c r="D189" s="123" t="s">
        <v>589</v>
      </c>
      <c r="E189" s="124">
        <v>118.7</v>
      </c>
      <c r="F189" s="113">
        <f t="shared" si="260"/>
        <v>328286.41999999969</v>
      </c>
      <c r="G189" s="114">
        <f t="shared" si="261"/>
        <v>1947061.18</v>
      </c>
    </row>
    <row r="190" spans="1:9" ht="18.75" customHeight="1">
      <c r="A190" s="108"/>
      <c r="B190" s="116"/>
      <c r="C190" s="110"/>
      <c r="D190" s="123" t="s">
        <v>597</v>
      </c>
      <c r="E190" s="124">
        <v>5510</v>
      </c>
      <c r="F190" s="113">
        <f t="shared" si="260"/>
        <v>322776.41999999969</v>
      </c>
      <c r="G190" s="114">
        <f t="shared" si="261"/>
        <v>1952571.18</v>
      </c>
    </row>
    <row r="191" spans="1:9" ht="18.75" customHeight="1">
      <c r="A191" s="108"/>
      <c r="B191" s="116"/>
      <c r="C191" s="110"/>
      <c r="D191" s="123" t="s">
        <v>547</v>
      </c>
      <c r="E191" s="124">
        <v>83.3</v>
      </c>
      <c r="F191" s="113">
        <f t="shared" si="260"/>
        <v>322693.1199999997</v>
      </c>
      <c r="G191" s="114">
        <f t="shared" si="261"/>
        <v>1952654.48</v>
      </c>
    </row>
    <row r="192" spans="1:9" ht="18.75" customHeight="1">
      <c r="A192" s="108"/>
      <c r="B192" s="116"/>
      <c r="C192" s="110"/>
      <c r="D192" s="123" t="s">
        <v>599</v>
      </c>
      <c r="E192" s="124">
        <v>7375</v>
      </c>
      <c r="F192" s="113">
        <f t="shared" si="260"/>
        <v>315318.1199999997</v>
      </c>
      <c r="G192" s="114">
        <f t="shared" si="261"/>
        <v>1960029.48</v>
      </c>
    </row>
    <row r="193" spans="1:9" ht="18.75" customHeight="1">
      <c r="A193" s="108"/>
      <c r="B193" s="116"/>
      <c r="C193" s="110"/>
      <c r="D193" s="123" t="s">
        <v>547</v>
      </c>
      <c r="E193" s="124">
        <v>100</v>
      </c>
      <c r="F193" s="113">
        <f t="shared" si="260"/>
        <v>315218.1199999997</v>
      </c>
      <c r="G193" s="114">
        <f t="shared" si="261"/>
        <v>1960129.48</v>
      </c>
    </row>
    <row r="194" spans="1:9" ht="18.75" customHeight="1">
      <c r="A194" s="108"/>
      <c r="B194" s="116"/>
      <c r="C194" s="110"/>
      <c r="D194" s="123" t="s">
        <v>600</v>
      </c>
      <c r="E194" s="124">
        <v>8525</v>
      </c>
      <c r="F194" s="113">
        <f t="shared" si="260"/>
        <v>306693.1199999997</v>
      </c>
      <c r="G194" s="114">
        <f t="shared" si="261"/>
        <v>1968654.48</v>
      </c>
    </row>
    <row r="195" spans="1:9" ht="18.75" customHeight="1">
      <c r="A195" s="108"/>
      <c r="B195" s="116"/>
      <c r="C195" s="110"/>
      <c r="D195" s="123" t="s">
        <v>598</v>
      </c>
      <c r="E195" s="124">
        <v>70</v>
      </c>
      <c r="F195" s="113">
        <f t="shared" si="260"/>
        <v>306623.1199999997</v>
      </c>
      <c r="G195" s="114">
        <f t="shared" si="261"/>
        <v>1968724.48</v>
      </c>
    </row>
    <row r="196" spans="1:9" ht="18.75" customHeight="1">
      <c r="A196" s="108"/>
      <c r="B196" s="116"/>
      <c r="C196" s="110"/>
      <c r="D196" s="123" t="s">
        <v>558</v>
      </c>
      <c r="E196" s="127">
        <v>4520</v>
      </c>
      <c r="F196" s="113">
        <f t="shared" si="260"/>
        <v>302103.1199999997</v>
      </c>
      <c r="G196" s="114">
        <f t="shared" si="261"/>
        <v>1973244.48</v>
      </c>
      <c r="H196" s="94" t="s">
        <v>603</v>
      </c>
      <c r="I196">
        <v>1000088730</v>
      </c>
    </row>
    <row r="197" spans="1:9" ht="18.75" customHeight="1">
      <c r="A197" s="119"/>
      <c r="B197" s="116"/>
      <c r="C197" s="120"/>
      <c r="D197" s="128" t="s">
        <v>547</v>
      </c>
      <c r="E197" s="127">
        <v>100</v>
      </c>
      <c r="F197" s="113">
        <f t="shared" si="260"/>
        <v>302003.1199999997</v>
      </c>
      <c r="G197" s="114">
        <f t="shared" si="261"/>
        <v>1973344.48</v>
      </c>
    </row>
    <row r="198" spans="1:9" ht="18.75" customHeight="1">
      <c r="A198" s="119"/>
      <c r="B198" s="116"/>
      <c r="C198" s="120"/>
      <c r="D198" s="129" t="s">
        <v>558</v>
      </c>
      <c r="E198" s="127">
        <v>876.4</v>
      </c>
      <c r="F198" s="113">
        <f t="shared" si="260"/>
        <v>301126.71999999968</v>
      </c>
      <c r="G198" s="114">
        <f t="shared" si="261"/>
        <v>1974220.88</v>
      </c>
    </row>
    <row r="199" spans="1:9" ht="25">
      <c r="A199" s="119"/>
      <c r="B199" s="116"/>
      <c r="C199" s="120"/>
      <c r="D199" s="186" t="s">
        <v>601</v>
      </c>
      <c r="E199" s="127">
        <v>104760</v>
      </c>
      <c r="F199" s="113">
        <f t="shared" ref="F199" si="262">IF(E199="","",F198-E199)</f>
        <v>196366.71999999968</v>
      </c>
      <c r="G199" s="114">
        <f t="shared" ref="G199" si="263">IF(E199="","",G198+E199)</f>
        <v>2078980.88</v>
      </c>
    </row>
    <row r="200" spans="1:9" ht="18.75" customHeight="1">
      <c r="A200" s="119"/>
      <c r="B200" s="116"/>
      <c r="C200" s="130"/>
      <c r="D200" s="128"/>
      <c r="E200" s="127"/>
      <c r="F200" s="113"/>
      <c r="G200" s="114"/>
    </row>
    <row r="201" spans="1:9" ht="18.75" customHeight="1">
      <c r="A201" s="119"/>
      <c r="B201" s="116"/>
      <c r="C201" s="130"/>
      <c r="D201" s="128"/>
      <c r="E201" s="127"/>
      <c r="F201" s="113"/>
      <c r="G201" s="114"/>
    </row>
    <row r="202" spans="1:9" ht="18.75" customHeight="1">
      <c r="A202" s="119"/>
      <c r="B202" s="116"/>
      <c r="C202" s="131"/>
      <c r="D202" s="128"/>
      <c r="E202" s="127"/>
      <c r="F202" s="113"/>
      <c r="G202" s="114"/>
    </row>
    <row r="203" spans="1:9" ht="18.75" customHeight="1">
      <c r="A203" s="119"/>
      <c r="B203" s="116"/>
      <c r="C203" s="130"/>
      <c r="D203" s="128"/>
      <c r="E203" s="127"/>
      <c r="F203" s="113"/>
      <c r="G203" s="114"/>
    </row>
    <row r="204" spans="1:9" ht="18.75" customHeight="1">
      <c r="A204" s="119"/>
      <c r="B204" s="116"/>
      <c r="C204" s="120"/>
      <c r="D204" s="123"/>
      <c r="E204" s="127"/>
      <c r="F204" s="113"/>
      <c r="G204" s="114"/>
    </row>
    <row r="205" spans="1:9" ht="18.75" customHeight="1">
      <c r="A205" s="119"/>
      <c r="B205" s="116"/>
      <c r="C205" s="120"/>
      <c r="D205" s="128"/>
      <c r="E205" s="127"/>
      <c r="F205" s="113"/>
      <c r="G205" s="114"/>
    </row>
    <row r="206" spans="1:9" ht="18.75" customHeight="1">
      <c r="A206" s="119"/>
      <c r="B206" s="116"/>
      <c r="C206" s="120"/>
      <c r="D206" s="128"/>
      <c r="E206" s="127"/>
      <c r="F206" s="113"/>
      <c r="G206" s="114"/>
    </row>
    <row r="207" spans="1:9" ht="18.75" customHeight="1">
      <c r="A207" s="119"/>
      <c r="B207" s="116"/>
      <c r="C207" s="130"/>
      <c r="D207" s="128"/>
      <c r="E207" s="127"/>
      <c r="F207" s="113"/>
      <c r="G207" s="114"/>
    </row>
    <row r="208" spans="1:9" ht="18.75" customHeight="1">
      <c r="A208" s="119"/>
      <c r="B208" s="116"/>
      <c r="C208" s="120"/>
      <c r="D208" s="128"/>
      <c r="E208" s="127"/>
      <c r="F208" s="113"/>
      <c r="G208" s="114"/>
    </row>
    <row r="209" spans="1:7" ht="18.75" customHeight="1">
      <c r="A209" s="119"/>
      <c r="B209" s="116"/>
      <c r="C209" s="130"/>
      <c r="D209" s="128"/>
      <c r="E209" s="127"/>
      <c r="F209" s="113"/>
      <c r="G209" s="114"/>
    </row>
    <row r="210" spans="1:7" ht="18.75" customHeight="1">
      <c r="A210" s="119"/>
      <c r="B210" s="116"/>
      <c r="C210" s="120"/>
      <c r="D210" s="128"/>
      <c r="E210" s="127"/>
      <c r="F210" s="113"/>
      <c r="G210" s="114"/>
    </row>
    <row r="211" spans="1:7" ht="18.75" customHeight="1">
      <c r="A211" s="119"/>
      <c r="B211" s="116"/>
      <c r="C211" s="130"/>
      <c r="D211" s="123"/>
      <c r="E211" s="127"/>
      <c r="F211" s="113" t="str">
        <f t="shared" ref="F211:F242" si="264">IF(E211="","",F210-E211)</f>
        <v/>
      </c>
      <c r="G211" s="114" t="str">
        <f t="shared" ref="G211:G242" si="265">IF(E211="","",G210+E211)</f>
        <v/>
      </c>
    </row>
    <row r="212" spans="1:7" ht="18.75" customHeight="1">
      <c r="A212" s="119"/>
      <c r="B212" s="116"/>
      <c r="C212" s="130"/>
      <c r="D212" s="128"/>
      <c r="E212" s="127"/>
      <c r="F212" s="113" t="str">
        <f t="shared" si="264"/>
        <v/>
      </c>
      <c r="G212" s="114" t="str">
        <f t="shared" si="265"/>
        <v/>
      </c>
    </row>
    <row r="213" spans="1:7" ht="18.75" customHeight="1">
      <c r="A213" s="108"/>
      <c r="B213" s="116"/>
      <c r="C213" s="110"/>
      <c r="D213" s="123"/>
      <c r="E213" s="124"/>
      <c r="F213" s="113" t="str">
        <f t="shared" si="264"/>
        <v/>
      </c>
      <c r="G213" s="114" t="str">
        <f t="shared" si="265"/>
        <v/>
      </c>
    </row>
    <row r="214" spans="1:7" ht="18.75" customHeight="1">
      <c r="A214" s="119"/>
      <c r="B214" s="132"/>
      <c r="C214" s="130"/>
      <c r="D214" s="128"/>
      <c r="E214" s="127"/>
      <c r="F214" s="113" t="str">
        <f t="shared" si="264"/>
        <v/>
      </c>
      <c r="G214" s="114" t="str">
        <f t="shared" si="265"/>
        <v/>
      </c>
    </row>
    <row r="215" spans="1:7" ht="18.75" customHeight="1">
      <c r="A215" s="108"/>
      <c r="B215" s="116"/>
      <c r="C215" s="110"/>
      <c r="D215" s="123"/>
      <c r="E215" s="124"/>
      <c r="F215" s="113" t="str">
        <f t="shared" si="264"/>
        <v/>
      </c>
      <c r="G215" s="114" t="str">
        <f t="shared" si="265"/>
        <v/>
      </c>
    </row>
    <row r="216" spans="1:7" ht="18.75" customHeight="1">
      <c r="A216" s="119"/>
      <c r="B216" s="116"/>
      <c r="C216" s="130"/>
      <c r="D216" s="128"/>
      <c r="E216" s="127"/>
      <c r="F216" s="113" t="str">
        <f t="shared" si="264"/>
        <v/>
      </c>
      <c r="G216" s="114" t="str">
        <f t="shared" si="265"/>
        <v/>
      </c>
    </row>
    <row r="217" spans="1:7" ht="18.75" customHeight="1">
      <c r="A217" s="119"/>
      <c r="B217" s="132"/>
      <c r="C217" s="130"/>
      <c r="D217" s="128"/>
      <c r="E217" s="124"/>
      <c r="F217" s="113" t="str">
        <f t="shared" si="264"/>
        <v/>
      </c>
      <c r="G217" s="114" t="str">
        <f t="shared" si="265"/>
        <v/>
      </c>
    </row>
    <row r="218" spans="1:7" ht="18.75" customHeight="1">
      <c r="A218" s="119"/>
      <c r="B218" s="116"/>
      <c r="C218" s="130"/>
      <c r="D218" s="128"/>
      <c r="E218" s="124"/>
      <c r="F218" s="113" t="str">
        <f t="shared" si="264"/>
        <v/>
      </c>
      <c r="G218" s="114" t="str">
        <f t="shared" si="265"/>
        <v/>
      </c>
    </row>
    <row r="219" spans="1:7" ht="18.75" customHeight="1">
      <c r="A219" s="119"/>
      <c r="B219" s="116"/>
      <c r="C219" s="120"/>
      <c r="D219" s="128"/>
      <c r="E219" s="124"/>
      <c r="F219" s="113" t="str">
        <f t="shared" si="264"/>
        <v/>
      </c>
      <c r="G219" s="114" t="str">
        <f t="shared" si="265"/>
        <v/>
      </c>
    </row>
    <row r="220" spans="1:7" ht="18.75" customHeight="1">
      <c r="A220" s="119"/>
      <c r="B220" s="116"/>
      <c r="C220" s="120"/>
      <c r="D220" s="128"/>
      <c r="E220" s="124"/>
      <c r="F220" s="113" t="str">
        <f t="shared" si="264"/>
        <v/>
      </c>
      <c r="G220" s="114" t="str">
        <f t="shared" si="265"/>
        <v/>
      </c>
    </row>
    <row r="221" spans="1:7" ht="18.75" customHeight="1">
      <c r="A221" s="119"/>
      <c r="B221" s="116"/>
      <c r="C221" s="120"/>
      <c r="D221" s="128"/>
      <c r="E221" s="124"/>
      <c r="F221" s="113" t="str">
        <f t="shared" si="264"/>
        <v/>
      </c>
      <c r="G221" s="114" t="str">
        <f t="shared" si="265"/>
        <v/>
      </c>
    </row>
    <row r="222" spans="1:7" ht="18.75" customHeight="1">
      <c r="A222" s="108"/>
      <c r="B222" s="116"/>
      <c r="C222" s="110"/>
      <c r="D222" s="123"/>
      <c r="E222" s="124"/>
      <c r="F222" s="113" t="str">
        <f t="shared" si="264"/>
        <v/>
      </c>
      <c r="G222" s="114" t="str">
        <f t="shared" si="265"/>
        <v/>
      </c>
    </row>
    <row r="223" spans="1:7" ht="18.75" customHeight="1">
      <c r="A223" s="119"/>
      <c r="B223" s="116"/>
      <c r="C223" s="120"/>
      <c r="D223" s="133"/>
      <c r="E223" s="124"/>
      <c r="F223" s="113" t="str">
        <f t="shared" si="264"/>
        <v/>
      </c>
      <c r="G223" s="114" t="str">
        <f t="shared" si="265"/>
        <v/>
      </c>
    </row>
    <row r="224" spans="1:7" ht="18.75" customHeight="1">
      <c r="A224" s="119"/>
      <c r="B224" s="116"/>
      <c r="C224" s="120"/>
      <c r="D224" s="133"/>
      <c r="E224" s="124"/>
      <c r="F224" s="113" t="str">
        <f t="shared" si="264"/>
        <v/>
      </c>
      <c r="G224" s="114" t="str">
        <f t="shared" si="265"/>
        <v/>
      </c>
    </row>
    <row r="225" spans="1:7" ht="18.75" customHeight="1">
      <c r="A225" s="119"/>
      <c r="B225" s="116"/>
      <c r="C225" s="130"/>
      <c r="D225" s="133"/>
      <c r="E225" s="124"/>
      <c r="F225" s="113" t="str">
        <f t="shared" si="264"/>
        <v/>
      </c>
      <c r="G225" s="114" t="str">
        <f t="shared" si="265"/>
        <v/>
      </c>
    </row>
    <row r="226" spans="1:7" ht="18.75" customHeight="1">
      <c r="A226" s="119"/>
      <c r="B226" s="116"/>
      <c r="C226" s="130"/>
      <c r="D226" s="128"/>
      <c r="E226" s="124"/>
      <c r="F226" s="113" t="str">
        <f t="shared" si="264"/>
        <v/>
      </c>
      <c r="G226" s="114" t="str">
        <f t="shared" si="265"/>
        <v/>
      </c>
    </row>
    <row r="227" spans="1:7" ht="18.75" customHeight="1">
      <c r="A227" s="119"/>
      <c r="B227" s="116"/>
      <c r="C227" s="130"/>
      <c r="D227" s="128"/>
      <c r="E227" s="124"/>
      <c r="F227" s="113" t="str">
        <f t="shared" si="264"/>
        <v/>
      </c>
      <c r="G227" s="114" t="str">
        <f t="shared" si="265"/>
        <v/>
      </c>
    </row>
    <row r="228" spans="1:7" ht="18.75" customHeight="1">
      <c r="A228" s="119"/>
      <c r="B228" s="116"/>
      <c r="C228" s="130"/>
      <c r="D228" s="128"/>
      <c r="E228" s="124"/>
      <c r="F228" s="113" t="str">
        <f t="shared" si="264"/>
        <v/>
      </c>
      <c r="G228" s="114" t="str">
        <f t="shared" si="265"/>
        <v/>
      </c>
    </row>
    <row r="229" spans="1:7" ht="18.75" customHeight="1">
      <c r="A229" s="119"/>
      <c r="B229" s="121"/>
      <c r="C229" s="130"/>
      <c r="D229" s="128"/>
      <c r="E229" s="124"/>
      <c r="F229" s="113" t="str">
        <f t="shared" si="264"/>
        <v/>
      </c>
      <c r="G229" s="114" t="str">
        <f t="shared" si="265"/>
        <v/>
      </c>
    </row>
    <row r="230" spans="1:7" ht="18.75" customHeight="1">
      <c r="A230" s="119"/>
      <c r="B230" s="121"/>
      <c r="C230" s="130"/>
      <c r="D230" s="129"/>
      <c r="E230" s="124"/>
      <c r="F230" s="113" t="str">
        <f t="shared" si="264"/>
        <v/>
      </c>
      <c r="G230" s="114" t="str">
        <f t="shared" si="265"/>
        <v/>
      </c>
    </row>
    <row r="231" spans="1:7" ht="18.75" customHeight="1">
      <c r="A231" s="119"/>
      <c r="B231" s="121"/>
      <c r="C231" s="130"/>
      <c r="D231" s="128"/>
      <c r="E231" s="124"/>
      <c r="F231" s="113" t="str">
        <f t="shared" si="264"/>
        <v/>
      </c>
      <c r="G231" s="114" t="str">
        <f t="shared" si="265"/>
        <v/>
      </c>
    </row>
    <row r="232" spans="1:7" ht="18.75" customHeight="1">
      <c r="A232" s="119"/>
      <c r="B232" s="121"/>
      <c r="C232" s="130"/>
      <c r="D232" s="128"/>
      <c r="E232" s="124"/>
      <c r="F232" s="113" t="str">
        <f t="shared" si="264"/>
        <v/>
      </c>
      <c r="G232" s="114" t="str">
        <f t="shared" si="265"/>
        <v/>
      </c>
    </row>
    <row r="233" spans="1:7" ht="18.75" customHeight="1">
      <c r="A233" s="119"/>
      <c r="B233" s="121"/>
      <c r="C233" s="130"/>
      <c r="D233" s="128"/>
      <c r="E233" s="124"/>
      <c r="F233" s="113" t="str">
        <f t="shared" si="264"/>
        <v/>
      </c>
      <c r="G233" s="114" t="str">
        <f t="shared" si="265"/>
        <v/>
      </c>
    </row>
    <row r="234" spans="1:7" ht="18.75" customHeight="1">
      <c r="A234" s="119"/>
      <c r="B234" s="121"/>
      <c r="C234" s="130"/>
      <c r="D234" s="128"/>
      <c r="E234" s="124"/>
      <c r="F234" s="113" t="str">
        <f t="shared" si="264"/>
        <v/>
      </c>
      <c r="G234" s="114" t="str">
        <f t="shared" si="265"/>
        <v/>
      </c>
    </row>
    <row r="235" spans="1:7" ht="18.75" customHeight="1">
      <c r="A235" s="119"/>
      <c r="B235" s="121"/>
      <c r="C235" s="130"/>
      <c r="D235" s="128"/>
      <c r="E235" s="124"/>
      <c r="F235" s="113" t="str">
        <f t="shared" si="264"/>
        <v/>
      </c>
      <c r="G235" s="114" t="str">
        <f t="shared" si="265"/>
        <v/>
      </c>
    </row>
    <row r="236" spans="1:7" ht="18.75" customHeight="1">
      <c r="A236" s="119"/>
      <c r="B236" s="121"/>
      <c r="C236" s="130"/>
      <c r="D236" s="128"/>
      <c r="E236" s="124"/>
      <c r="F236" s="113" t="str">
        <f t="shared" si="264"/>
        <v/>
      </c>
      <c r="G236" s="114" t="str">
        <f t="shared" si="265"/>
        <v/>
      </c>
    </row>
    <row r="237" spans="1:7" ht="18.75" customHeight="1">
      <c r="A237" s="119"/>
      <c r="B237" s="121"/>
      <c r="C237" s="130"/>
      <c r="D237" s="128"/>
      <c r="E237" s="124"/>
      <c r="F237" s="113" t="str">
        <f t="shared" si="264"/>
        <v/>
      </c>
      <c r="G237" s="114" t="str">
        <f t="shared" si="265"/>
        <v/>
      </c>
    </row>
    <row r="238" spans="1:7" ht="18.75" customHeight="1">
      <c r="A238" s="119"/>
      <c r="B238" s="121"/>
      <c r="C238" s="130"/>
      <c r="D238" s="128"/>
      <c r="E238" s="124"/>
      <c r="F238" s="113" t="str">
        <f t="shared" si="264"/>
        <v/>
      </c>
      <c r="G238" s="114" t="str">
        <f t="shared" si="265"/>
        <v/>
      </c>
    </row>
    <row r="239" spans="1:7" ht="18.75" customHeight="1">
      <c r="A239" s="119"/>
      <c r="B239" s="133"/>
      <c r="C239" s="120"/>
      <c r="D239" s="128"/>
      <c r="E239" s="124"/>
      <c r="F239" s="113" t="str">
        <f t="shared" si="264"/>
        <v/>
      </c>
      <c r="G239" s="114" t="str">
        <f t="shared" si="265"/>
        <v/>
      </c>
    </row>
    <row r="240" spans="1:7" ht="18.75" customHeight="1">
      <c r="A240" s="119"/>
      <c r="B240" s="133"/>
      <c r="C240" s="130"/>
      <c r="D240" s="128"/>
      <c r="E240" s="124"/>
      <c r="F240" s="113" t="str">
        <f t="shared" si="264"/>
        <v/>
      </c>
      <c r="G240" s="114" t="str">
        <f t="shared" si="265"/>
        <v/>
      </c>
    </row>
    <row r="241" spans="1:7" ht="18.75" customHeight="1">
      <c r="A241" s="119"/>
      <c r="B241" s="133"/>
      <c r="C241" s="120"/>
      <c r="D241" s="128"/>
      <c r="E241" s="124"/>
      <c r="F241" s="113" t="str">
        <f t="shared" si="264"/>
        <v/>
      </c>
      <c r="G241" s="114" t="str">
        <f t="shared" si="265"/>
        <v/>
      </c>
    </row>
    <row r="242" spans="1:7" ht="18.75" customHeight="1">
      <c r="A242" s="119"/>
      <c r="B242" s="133"/>
      <c r="C242" s="120"/>
      <c r="D242" s="128"/>
      <c r="E242" s="124"/>
      <c r="F242" s="113" t="str">
        <f t="shared" si="264"/>
        <v/>
      </c>
      <c r="G242" s="114" t="str">
        <f t="shared" si="265"/>
        <v/>
      </c>
    </row>
    <row r="243" spans="1:7" ht="18.75" customHeight="1">
      <c r="A243" s="119"/>
      <c r="B243" s="133"/>
      <c r="C243" s="130"/>
      <c r="D243" s="128"/>
      <c r="E243" s="124"/>
      <c r="F243" s="113" t="str">
        <f t="shared" ref="F243:F274" si="266">IF(E243="","",F242-E243)</f>
        <v/>
      </c>
      <c r="G243" s="114" t="str">
        <f t="shared" ref="G243:G274" si="267">IF(E243="","",G242+E243)</f>
        <v/>
      </c>
    </row>
    <row r="244" spans="1:7" ht="18.75" customHeight="1">
      <c r="A244" s="119"/>
      <c r="B244" s="133"/>
      <c r="C244" s="130"/>
      <c r="D244" s="128"/>
      <c r="E244" s="124"/>
      <c r="F244" s="113" t="str">
        <f t="shared" si="266"/>
        <v/>
      </c>
      <c r="G244" s="114" t="str">
        <f t="shared" si="267"/>
        <v/>
      </c>
    </row>
    <row r="245" spans="1:7" ht="18.75" customHeight="1">
      <c r="A245" s="119"/>
      <c r="B245" s="133"/>
      <c r="C245" s="130"/>
      <c r="D245" s="128"/>
      <c r="E245" s="124"/>
      <c r="F245" s="113" t="str">
        <f t="shared" si="266"/>
        <v/>
      </c>
      <c r="G245" s="114" t="str">
        <f t="shared" si="267"/>
        <v/>
      </c>
    </row>
    <row r="246" spans="1:7" ht="18.75" customHeight="1">
      <c r="A246" s="119"/>
      <c r="B246" s="133"/>
      <c r="C246" s="130"/>
      <c r="D246" s="128"/>
      <c r="E246" s="124"/>
      <c r="F246" s="113" t="str">
        <f t="shared" si="266"/>
        <v/>
      </c>
      <c r="G246" s="114" t="str">
        <f t="shared" si="267"/>
        <v/>
      </c>
    </row>
    <row r="247" spans="1:7" ht="18.75" customHeight="1">
      <c r="A247" s="119"/>
      <c r="B247" s="133"/>
      <c r="C247" s="130"/>
      <c r="D247" s="128"/>
      <c r="E247" s="124"/>
      <c r="F247" s="113" t="str">
        <f t="shared" si="266"/>
        <v/>
      </c>
      <c r="G247" s="114" t="str">
        <f t="shared" si="267"/>
        <v/>
      </c>
    </row>
    <row r="248" spans="1:7" ht="18.75" customHeight="1">
      <c r="A248" s="119"/>
      <c r="B248" s="133"/>
      <c r="C248" s="120"/>
      <c r="D248" s="128"/>
      <c r="E248" s="124"/>
      <c r="F248" s="113" t="str">
        <f t="shared" si="266"/>
        <v/>
      </c>
      <c r="G248" s="114" t="str">
        <f t="shared" si="267"/>
        <v/>
      </c>
    </row>
    <row r="249" spans="1:7" ht="18.75" customHeight="1">
      <c r="A249" s="119"/>
      <c r="B249" s="133"/>
      <c r="C249" s="130"/>
      <c r="D249" s="128"/>
      <c r="E249" s="124"/>
      <c r="F249" s="113" t="str">
        <f t="shared" si="266"/>
        <v/>
      </c>
      <c r="G249" s="114" t="str">
        <f t="shared" si="267"/>
        <v/>
      </c>
    </row>
    <row r="250" spans="1:7" ht="18.75" customHeight="1">
      <c r="A250" s="119"/>
      <c r="B250" s="133"/>
      <c r="C250" s="130"/>
      <c r="D250" s="128"/>
      <c r="E250" s="124"/>
      <c r="F250" s="113" t="str">
        <f t="shared" si="266"/>
        <v/>
      </c>
      <c r="G250" s="114" t="str">
        <f t="shared" si="267"/>
        <v/>
      </c>
    </row>
    <row r="251" spans="1:7" ht="18.75" customHeight="1">
      <c r="A251" s="119"/>
      <c r="B251" s="133"/>
      <c r="C251" s="130"/>
      <c r="D251" s="128"/>
      <c r="E251" s="124"/>
      <c r="F251" s="113" t="str">
        <f t="shared" si="266"/>
        <v/>
      </c>
      <c r="G251" s="114" t="str">
        <f t="shared" si="267"/>
        <v/>
      </c>
    </row>
    <row r="252" spans="1:7" ht="18.75" customHeight="1">
      <c r="A252" s="119"/>
      <c r="B252" s="133"/>
      <c r="C252" s="120"/>
      <c r="D252" s="128"/>
      <c r="E252" s="124"/>
      <c r="F252" s="113" t="str">
        <f t="shared" si="266"/>
        <v/>
      </c>
      <c r="G252" s="114" t="str">
        <f t="shared" si="267"/>
        <v/>
      </c>
    </row>
    <row r="253" spans="1:7" ht="18.75" customHeight="1">
      <c r="A253" s="119"/>
      <c r="B253" s="133"/>
      <c r="C253" s="120"/>
      <c r="D253" s="128"/>
      <c r="E253" s="124"/>
      <c r="F253" s="113" t="str">
        <f t="shared" si="266"/>
        <v/>
      </c>
      <c r="G253" s="114" t="str">
        <f t="shared" si="267"/>
        <v/>
      </c>
    </row>
    <row r="254" spans="1:7" ht="18.75" customHeight="1">
      <c r="A254" s="119"/>
      <c r="B254" s="133"/>
      <c r="C254" s="130"/>
      <c r="D254" s="128"/>
      <c r="E254" s="124"/>
      <c r="F254" s="113" t="str">
        <f t="shared" si="266"/>
        <v/>
      </c>
      <c r="G254" s="114" t="str">
        <f t="shared" si="267"/>
        <v/>
      </c>
    </row>
    <row r="255" spans="1:7" ht="18.75" customHeight="1">
      <c r="A255" s="119"/>
      <c r="B255" s="133"/>
      <c r="C255" s="130"/>
      <c r="D255" s="128"/>
      <c r="E255" s="124"/>
      <c r="F255" s="113" t="str">
        <f t="shared" si="266"/>
        <v/>
      </c>
      <c r="G255" s="114" t="str">
        <f t="shared" si="267"/>
        <v/>
      </c>
    </row>
    <row r="256" spans="1:7" ht="18.75" customHeight="1">
      <c r="A256" s="119"/>
      <c r="B256" s="133"/>
      <c r="C256" s="130"/>
      <c r="D256" s="128"/>
      <c r="E256" s="124"/>
      <c r="F256" s="113" t="str">
        <f t="shared" si="266"/>
        <v/>
      </c>
      <c r="G256" s="114" t="str">
        <f t="shared" si="267"/>
        <v/>
      </c>
    </row>
    <row r="257" spans="1:7" ht="18.75" customHeight="1">
      <c r="A257" s="119"/>
      <c r="B257" s="133"/>
      <c r="C257" s="120"/>
      <c r="D257" s="128"/>
      <c r="E257" s="124"/>
      <c r="F257" s="113" t="str">
        <f t="shared" si="266"/>
        <v/>
      </c>
      <c r="G257" s="114" t="str">
        <f t="shared" si="267"/>
        <v/>
      </c>
    </row>
    <row r="258" spans="1:7" ht="18.75" customHeight="1">
      <c r="A258" s="119"/>
      <c r="B258" s="133"/>
      <c r="C258" s="130"/>
      <c r="D258" s="128"/>
      <c r="E258" s="124"/>
      <c r="F258" s="113" t="str">
        <f t="shared" si="266"/>
        <v/>
      </c>
      <c r="G258" s="114" t="str">
        <f t="shared" si="267"/>
        <v/>
      </c>
    </row>
    <row r="259" spans="1:7" ht="18.75" customHeight="1">
      <c r="A259" s="119"/>
      <c r="B259" s="133"/>
      <c r="C259" s="120"/>
      <c r="D259" s="128"/>
      <c r="E259" s="124"/>
      <c r="F259" s="113" t="str">
        <f t="shared" si="266"/>
        <v/>
      </c>
      <c r="G259" s="114" t="str">
        <f t="shared" si="267"/>
        <v/>
      </c>
    </row>
    <row r="260" spans="1:7" ht="18.75" customHeight="1">
      <c r="A260" s="119"/>
      <c r="B260" s="133"/>
      <c r="C260" s="120"/>
      <c r="D260" s="128"/>
      <c r="E260" s="124"/>
      <c r="F260" s="113" t="str">
        <f t="shared" si="266"/>
        <v/>
      </c>
      <c r="G260" s="114" t="str">
        <f t="shared" si="267"/>
        <v/>
      </c>
    </row>
    <row r="261" spans="1:7" ht="18.75" customHeight="1">
      <c r="A261" s="119"/>
      <c r="B261" s="133"/>
      <c r="C261" s="120"/>
      <c r="D261" s="128"/>
      <c r="E261" s="124"/>
      <c r="F261" s="113" t="str">
        <f t="shared" si="266"/>
        <v/>
      </c>
      <c r="G261" s="114" t="str">
        <f t="shared" si="267"/>
        <v/>
      </c>
    </row>
    <row r="262" spans="1:7" ht="18.75" customHeight="1">
      <c r="A262" s="119"/>
      <c r="B262" s="133"/>
      <c r="C262" s="130"/>
      <c r="D262" s="128"/>
      <c r="E262" s="124"/>
      <c r="F262" s="113" t="str">
        <f t="shared" si="266"/>
        <v/>
      </c>
      <c r="G262" s="114" t="str">
        <f t="shared" si="267"/>
        <v/>
      </c>
    </row>
    <row r="263" spans="1:7" ht="18.75" customHeight="1">
      <c r="A263" s="119"/>
      <c r="B263" s="133"/>
      <c r="C263" s="130"/>
      <c r="D263" s="128"/>
      <c r="E263" s="124"/>
      <c r="F263" s="113" t="str">
        <f t="shared" si="266"/>
        <v/>
      </c>
      <c r="G263" s="114" t="str">
        <f t="shared" si="267"/>
        <v/>
      </c>
    </row>
    <row r="264" spans="1:7" ht="18.75" customHeight="1">
      <c r="A264" s="119"/>
      <c r="B264" s="133"/>
      <c r="C264" s="120"/>
      <c r="D264" s="128"/>
      <c r="E264" s="124"/>
      <c r="F264" s="113" t="str">
        <f t="shared" si="266"/>
        <v/>
      </c>
      <c r="G264" s="114" t="str">
        <f t="shared" si="267"/>
        <v/>
      </c>
    </row>
    <row r="265" spans="1:7" ht="18.75" customHeight="1">
      <c r="A265" s="119"/>
      <c r="B265" s="133"/>
      <c r="C265" s="130"/>
      <c r="D265" s="128"/>
      <c r="E265" s="124"/>
      <c r="F265" s="113" t="str">
        <f t="shared" si="266"/>
        <v/>
      </c>
      <c r="G265" s="114" t="str">
        <f t="shared" si="267"/>
        <v/>
      </c>
    </row>
    <row r="266" spans="1:7" ht="18.75" customHeight="1">
      <c r="A266" s="119"/>
      <c r="B266" s="133"/>
      <c r="C266" s="120"/>
      <c r="D266" s="128"/>
      <c r="E266" s="124"/>
      <c r="F266" s="113" t="str">
        <f t="shared" si="266"/>
        <v/>
      </c>
      <c r="G266" s="114" t="str">
        <f t="shared" si="267"/>
        <v/>
      </c>
    </row>
    <row r="267" spans="1:7" ht="18.75" customHeight="1">
      <c r="A267" s="119"/>
      <c r="B267" s="133"/>
      <c r="C267" s="120"/>
      <c r="D267" s="128"/>
      <c r="E267" s="124"/>
      <c r="F267" s="113" t="str">
        <f t="shared" si="266"/>
        <v/>
      </c>
      <c r="G267" s="114" t="str">
        <f t="shared" si="267"/>
        <v/>
      </c>
    </row>
    <row r="268" spans="1:7" ht="18.75" customHeight="1">
      <c r="A268" s="119"/>
      <c r="B268" s="133"/>
      <c r="C268" s="130"/>
      <c r="D268" s="128"/>
      <c r="E268" s="124"/>
      <c r="F268" s="113" t="str">
        <f t="shared" si="266"/>
        <v/>
      </c>
      <c r="G268" s="114" t="str">
        <f t="shared" si="267"/>
        <v/>
      </c>
    </row>
    <row r="269" spans="1:7" ht="18.75" customHeight="1">
      <c r="A269" s="119"/>
      <c r="B269" s="133"/>
      <c r="C269" s="120"/>
      <c r="D269" s="128"/>
      <c r="E269" s="124"/>
      <c r="F269" s="113" t="str">
        <f t="shared" si="266"/>
        <v/>
      </c>
      <c r="G269" s="114" t="str">
        <f t="shared" si="267"/>
        <v/>
      </c>
    </row>
    <row r="270" spans="1:7" ht="18.75" customHeight="1">
      <c r="A270" s="119"/>
      <c r="B270" s="133"/>
      <c r="C270" s="120"/>
      <c r="D270" s="128"/>
      <c r="E270" s="124"/>
      <c r="F270" s="113" t="str">
        <f t="shared" si="266"/>
        <v/>
      </c>
      <c r="G270" s="114" t="str">
        <f t="shared" si="267"/>
        <v/>
      </c>
    </row>
    <row r="271" spans="1:7" ht="18.75" customHeight="1">
      <c r="A271" s="119"/>
      <c r="B271" s="133"/>
      <c r="C271" s="120"/>
      <c r="D271" s="128"/>
      <c r="E271" s="124"/>
      <c r="F271" s="113" t="str">
        <f t="shared" si="266"/>
        <v/>
      </c>
      <c r="G271" s="114" t="str">
        <f t="shared" si="267"/>
        <v/>
      </c>
    </row>
    <row r="272" spans="1:7" ht="18.75" customHeight="1">
      <c r="A272" s="119"/>
      <c r="B272" s="133"/>
      <c r="C272" s="120"/>
      <c r="D272" s="128"/>
      <c r="E272" s="124"/>
      <c r="F272" s="113" t="str">
        <f t="shared" si="266"/>
        <v/>
      </c>
      <c r="G272" s="114" t="str">
        <f t="shared" si="267"/>
        <v/>
      </c>
    </row>
    <row r="273" spans="1:7" ht="18.75" customHeight="1">
      <c r="A273" s="119"/>
      <c r="B273" s="133"/>
      <c r="C273" s="120"/>
      <c r="D273" s="128"/>
      <c r="E273" s="124"/>
      <c r="F273" s="113" t="str">
        <f t="shared" si="266"/>
        <v/>
      </c>
      <c r="G273" s="114" t="str">
        <f t="shared" si="267"/>
        <v/>
      </c>
    </row>
    <row r="274" spans="1:7" ht="18.75" customHeight="1">
      <c r="A274" s="119"/>
      <c r="B274" s="133"/>
      <c r="C274" s="130"/>
      <c r="D274" s="128"/>
      <c r="E274" s="124"/>
      <c r="F274" s="113" t="str">
        <f t="shared" si="266"/>
        <v/>
      </c>
      <c r="G274" s="114" t="str">
        <f t="shared" si="267"/>
        <v/>
      </c>
    </row>
    <row r="275" spans="1:7" ht="18.75" customHeight="1">
      <c r="A275" s="119"/>
      <c r="B275" s="133"/>
      <c r="C275" s="130"/>
      <c r="D275" s="128"/>
      <c r="E275" s="124"/>
      <c r="F275" s="113" t="str">
        <f t="shared" ref="F275:F306" si="268">IF(E275="","",F274-E275)</f>
        <v/>
      </c>
      <c r="G275" s="114" t="str">
        <f t="shared" ref="G275:G306" si="269">IF(E275="","",G274+E275)</f>
        <v/>
      </c>
    </row>
    <row r="276" spans="1:7" ht="18.75" customHeight="1">
      <c r="A276" s="119"/>
      <c r="B276" s="133"/>
      <c r="C276" s="130"/>
      <c r="D276" s="128"/>
      <c r="E276" s="124"/>
      <c r="F276" s="113" t="str">
        <f t="shared" si="268"/>
        <v/>
      </c>
      <c r="G276" s="114" t="str">
        <f t="shared" si="269"/>
        <v/>
      </c>
    </row>
    <row r="277" spans="1:7" ht="18.75" customHeight="1">
      <c r="A277" s="119"/>
      <c r="B277" s="133"/>
      <c r="C277" s="130"/>
      <c r="D277" s="128"/>
      <c r="E277" s="124"/>
      <c r="F277" s="113" t="str">
        <f t="shared" si="268"/>
        <v/>
      </c>
      <c r="G277" s="114" t="str">
        <f t="shared" si="269"/>
        <v/>
      </c>
    </row>
    <row r="278" spans="1:7" ht="18.75" customHeight="1">
      <c r="A278" s="119"/>
      <c r="B278" s="133"/>
      <c r="C278" s="120"/>
      <c r="D278" s="128"/>
      <c r="E278" s="124"/>
      <c r="F278" s="113" t="str">
        <f t="shared" si="268"/>
        <v/>
      </c>
      <c r="G278" s="114" t="str">
        <f t="shared" si="269"/>
        <v/>
      </c>
    </row>
    <row r="279" spans="1:7" ht="18.75" customHeight="1">
      <c r="A279" s="119"/>
      <c r="B279" s="133"/>
      <c r="C279" s="120"/>
      <c r="D279" s="128"/>
      <c r="E279" s="124"/>
      <c r="F279" s="113" t="str">
        <f t="shared" si="268"/>
        <v/>
      </c>
      <c r="G279" s="114" t="str">
        <f t="shared" si="269"/>
        <v/>
      </c>
    </row>
    <row r="280" spans="1:7" ht="18.75" customHeight="1">
      <c r="A280" s="119"/>
      <c r="B280" s="133"/>
      <c r="C280" s="120"/>
      <c r="D280" s="128"/>
      <c r="E280" s="124"/>
      <c r="F280" s="113" t="str">
        <f t="shared" si="268"/>
        <v/>
      </c>
      <c r="G280" s="114" t="str">
        <f t="shared" si="269"/>
        <v/>
      </c>
    </row>
    <row r="281" spans="1:7" ht="18.75" customHeight="1">
      <c r="A281" s="119"/>
      <c r="B281" s="133"/>
      <c r="C281" s="120"/>
      <c r="D281" s="128"/>
      <c r="E281" s="124"/>
      <c r="F281" s="113" t="str">
        <f t="shared" si="268"/>
        <v/>
      </c>
      <c r="G281" s="114" t="str">
        <f t="shared" si="269"/>
        <v/>
      </c>
    </row>
    <row r="282" spans="1:7" ht="18.75" customHeight="1">
      <c r="A282" s="119"/>
      <c r="B282" s="133"/>
      <c r="C282" s="120"/>
      <c r="D282" s="128"/>
      <c r="E282" s="124"/>
      <c r="F282" s="113" t="str">
        <f t="shared" si="268"/>
        <v/>
      </c>
      <c r="G282" s="114" t="str">
        <f t="shared" si="269"/>
        <v/>
      </c>
    </row>
    <row r="283" spans="1:7" ht="18.75" customHeight="1">
      <c r="A283" s="119"/>
      <c r="B283" s="133"/>
      <c r="C283" s="120"/>
      <c r="D283" s="128"/>
      <c r="E283" s="124"/>
      <c r="F283" s="113" t="str">
        <f t="shared" si="268"/>
        <v/>
      </c>
      <c r="G283" s="114" t="str">
        <f t="shared" si="269"/>
        <v/>
      </c>
    </row>
    <row r="284" spans="1:7" ht="18.75" customHeight="1">
      <c r="A284" s="119"/>
      <c r="B284" s="133"/>
      <c r="C284" s="120"/>
      <c r="D284" s="128"/>
      <c r="E284" s="124"/>
      <c r="F284" s="113" t="str">
        <f t="shared" si="268"/>
        <v/>
      </c>
      <c r="G284" s="114" t="str">
        <f t="shared" si="269"/>
        <v/>
      </c>
    </row>
    <row r="285" spans="1:7" ht="18.75" customHeight="1">
      <c r="A285" s="119"/>
      <c r="B285" s="133"/>
      <c r="C285" s="120"/>
      <c r="D285" s="128"/>
      <c r="E285" s="124"/>
      <c r="F285" s="113" t="str">
        <f t="shared" si="268"/>
        <v/>
      </c>
      <c r="G285" s="114" t="str">
        <f t="shared" si="269"/>
        <v/>
      </c>
    </row>
    <row r="286" spans="1:7" ht="18.75" customHeight="1">
      <c r="A286" s="119"/>
      <c r="B286" s="133"/>
      <c r="C286" s="130"/>
      <c r="D286" s="128"/>
      <c r="E286" s="124"/>
      <c r="F286" s="113" t="str">
        <f t="shared" si="268"/>
        <v/>
      </c>
      <c r="G286" s="114" t="str">
        <f t="shared" si="269"/>
        <v/>
      </c>
    </row>
    <row r="287" spans="1:7" ht="18.75" customHeight="1">
      <c r="A287" s="119"/>
      <c r="B287" s="133"/>
      <c r="C287" s="130"/>
      <c r="D287" s="128"/>
      <c r="E287" s="124"/>
      <c r="F287" s="113" t="str">
        <f t="shared" si="268"/>
        <v/>
      </c>
      <c r="G287" s="114" t="str">
        <f t="shared" si="269"/>
        <v/>
      </c>
    </row>
    <row r="288" spans="1:7" ht="18.75" customHeight="1">
      <c r="A288" s="119"/>
      <c r="B288" s="133"/>
      <c r="C288" s="120"/>
      <c r="D288" s="128"/>
      <c r="E288" s="124"/>
      <c r="F288" s="113" t="str">
        <f t="shared" si="268"/>
        <v/>
      </c>
      <c r="G288" s="114" t="str">
        <f t="shared" si="269"/>
        <v/>
      </c>
    </row>
    <row r="289" spans="1:7" ht="18.75" customHeight="1">
      <c r="A289" s="119"/>
      <c r="B289" s="133"/>
      <c r="C289" s="120"/>
      <c r="D289" s="128"/>
      <c r="E289" s="124"/>
      <c r="F289" s="113" t="str">
        <f t="shared" si="268"/>
        <v/>
      </c>
      <c r="G289" s="114" t="str">
        <f t="shared" si="269"/>
        <v/>
      </c>
    </row>
    <row r="290" spans="1:7" ht="18.75" customHeight="1">
      <c r="A290" s="119"/>
      <c r="B290" s="134"/>
      <c r="C290" s="120"/>
      <c r="D290" s="128"/>
      <c r="E290" s="124"/>
      <c r="F290" s="113" t="str">
        <f t="shared" si="268"/>
        <v/>
      </c>
      <c r="G290" s="114" t="str">
        <f t="shared" si="269"/>
        <v/>
      </c>
    </row>
    <row r="291" spans="1:7" ht="18.75" customHeight="1">
      <c r="A291" s="119"/>
      <c r="B291" s="134"/>
      <c r="C291" s="130"/>
      <c r="D291" s="128"/>
      <c r="E291" s="124"/>
      <c r="F291" s="113" t="str">
        <f t="shared" si="268"/>
        <v/>
      </c>
      <c r="G291" s="114" t="str">
        <f t="shared" si="269"/>
        <v/>
      </c>
    </row>
    <row r="292" spans="1:7" ht="18.75" customHeight="1">
      <c r="A292" s="119"/>
      <c r="B292" s="134"/>
      <c r="C292" s="120"/>
      <c r="D292" s="128"/>
      <c r="E292" s="124"/>
      <c r="F292" s="113" t="str">
        <f t="shared" si="268"/>
        <v/>
      </c>
      <c r="G292" s="114" t="str">
        <f t="shared" si="269"/>
        <v/>
      </c>
    </row>
    <row r="293" spans="1:7" ht="18.75" customHeight="1">
      <c r="A293" s="119"/>
      <c r="B293" s="134"/>
      <c r="C293" s="130"/>
      <c r="D293" s="128"/>
      <c r="E293" s="135"/>
      <c r="F293" s="113" t="str">
        <f t="shared" si="268"/>
        <v/>
      </c>
      <c r="G293" s="114" t="str">
        <f t="shared" si="269"/>
        <v/>
      </c>
    </row>
    <row r="294" spans="1:7" ht="18.75" customHeight="1">
      <c r="A294" s="119"/>
      <c r="B294" s="134"/>
      <c r="C294" s="130"/>
      <c r="D294" s="128"/>
      <c r="E294" s="124"/>
      <c r="F294" s="113" t="str">
        <f t="shared" si="268"/>
        <v/>
      </c>
      <c r="G294" s="114" t="str">
        <f t="shared" si="269"/>
        <v/>
      </c>
    </row>
    <row r="295" spans="1:7" ht="18.75" customHeight="1">
      <c r="A295" s="119"/>
      <c r="B295" s="134"/>
      <c r="C295" s="130"/>
      <c r="D295" s="128"/>
      <c r="E295" s="124"/>
      <c r="F295" s="113" t="str">
        <f t="shared" si="268"/>
        <v/>
      </c>
      <c r="G295" s="114" t="str">
        <f t="shared" si="269"/>
        <v/>
      </c>
    </row>
    <row r="296" spans="1:7" ht="18.75" customHeight="1">
      <c r="A296" s="119"/>
      <c r="B296" s="134"/>
      <c r="C296" s="130"/>
      <c r="D296" s="128"/>
      <c r="E296" s="124"/>
      <c r="F296" s="113" t="str">
        <f t="shared" si="268"/>
        <v/>
      </c>
      <c r="G296" s="114" t="str">
        <f t="shared" si="269"/>
        <v/>
      </c>
    </row>
    <row r="297" spans="1:7" ht="18.75" customHeight="1">
      <c r="A297" s="119"/>
      <c r="B297" s="134"/>
      <c r="C297" s="130"/>
      <c r="D297" s="128"/>
      <c r="E297" s="124"/>
      <c r="F297" s="113" t="str">
        <f t="shared" si="268"/>
        <v/>
      </c>
      <c r="G297" s="114" t="str">
        <f t="shared" si="269"/>
        <v/>
      </c>
    </row>
    <row r="298" spans="1:7" ht="18.75" customHeight="1">
      <c r="A298" s="119"/>
      <c r="B298" s="134"/>
      <c r="C298" s="130"/>
      <c r="D298" s="128"/>
      <c r="E298" s="124"/>
      <c r="F298" s="113" t="str">
        <f t="shared" si="268"/>
        <v/>
      </c>
      <c r="G298" s="114" t="str">
        <f t="shared" si="269"/>
        <v/>
      </c>
    </row>
    <row r="299" spans="1:7" ht="18.75" customHeight="1">
      <c r="A299" s="119"/>
      <c r="B299" s="134"/>
      <c r="C299" s="130"/>
      <c r="D299" s="128"/>
      <c r="E299" s="124"/>
      <c r="F299" s="113" t="str">
        <f t="shared" si="268"/>
        <v/>
      </c>
      <c r="G299" s="114" t="str">
        <f t="shared" si="269"/>
        <v/>
      </c>
    </row>
    <row r="300" spans="1:7" ht="18.75" customHeight="1">
      <c r="A300" s="119"/>
      <c r="B300" s="134"/>
      <c r="C300" s="130"/>
      <c r="D300" s="128"/>
      <c r="E300" s="136"/>
      <c r="F300" s="113" t="str">
        <f t="shared" si="268"/>
        <v/>
      </c>
      <c r="G300" s="114" t="str">
        <f t="shared" si="269"/>
        <v/>
      </c>
    </row>
    <row r="301" spans="1:7" ht="18.75" customHeight="1">
      <c r="A301" s="119"/>
      <c r="B301" s="134"/>
      <c r="C301" s="120"/>
      <c r="D301" s="128"/>
      <c r="E301" s="124"/>
      <c r="F301" s="113" t="str">
        <f t="shared" si="268"/>
        <v/>
      </c>
      <c r="G301" s="114" t="str">
        <f t="shared" si="269"/>
        <v/>
      </c>
    </row>
    <row r="302" spans="1:7" ht="18.75" customHeight="1">
      <c r="A302" s="119"/>
      <c r="B302" s="134"/>
      <c r="C302" s="120"/>
      <c r="D302" s="128"/>
      <c r="E302" s="124"/>
      <c r="F302" s="113" t="str">
        <f t="shared" si="268"/>
        <v/>
      </c>
      <c r="G302" s="114" t="str">
        <f t="shared" si="269"/>
        <v/>
      </c>
    </row>
    <row r="303" spans="1:7" ht="18.75" customHeight="1">
      <c r="A303" s="119"/>
      <c r="B303" s="134"/>
      <c r="C303" s="120"/>
      <c r="D303" s="128"/>
      <c r="E303" s="124"/>
      <c r="F303" s="113" t="str">
        <f t="shared" si="268"/>
        <v/>
      </c>
      <c r="G303" s="114" t="str">
        <f t="shared" si="269"/>
        <v/>
      </c>
    </row>
    <row r="304" spans="1:7" ht="18.75" customHeight="1">
      <c r="A304" s="119"/>
      <c r="B304" s="134"/>
      <c r="C304" s="120"/>
      <c r="D304" s="128"/>
      <c r="E304" s="124"/>
      <c r="F304" s="113" t="str">
        <f t="shared" si="268"/>
        <v/>
      </c>
      <c r="G304" s="114" t="str">
        <f t="shared" si="269"/>
        <v/>
      </c>
    </row>
    <row r="305" spans="1:7" ht="18.75" customHeight="1">
      <c r="A305" s="119"/>
      <c r="B305" s="134"/>
      <c r="C305" s="120"/>
      <c r="D305" s="128"/>
      <c r="E305" s="124"/>
      <c r="F305" s="113" t="str">
        <f t="shared" si="268"/>
        <v/>
      </c>
      <c r="G305" s="114" t="str">
        <f t="shared" si="269"/>
        <v/>
      </c>
    </row>
    <row r="306" spans="1:7" ht="18.75" customHeight="1">
      <c r="A306" s="119"/>
      <c r="B306" s="134"/>
      <c r="C306" s="120"/>
      <c r="D306" s="128"/>
      <c r="E306" s="124"/>
      <c r="F306" s="113" t="str">
        <f t="shared" si="268"/>
        <v/>
      </c>
      <c r="G306" s="114" t="str">
        <f t="shared" si="269"/>
        <v/>
      </c>
    </row>
    <row r="307" spans="1:7" ht="18.75" customHeight="1">
      <c r="A307" s="119"/>
      <c r="B307" s="137"/>
      <c r="C307" s="120"/>
      <c r="D307" s="128"/>
      <c r="E307" s="124"/>
      <c r="F307" s="113" t="str">
        <f t="shared" ref="F307:F329" si="270">IF(E307="","",F306-E307)</f>
        <v/>
      </c>
      <c r="G307" s="114" t="str">
        <f t="shared" ref="G307:G329" si="271">IF(E307="","",G306+E307)</f>
        <v/>
      </c>
    </row>
    <row r="308" spans="1:7" ht="18.75" customHeight="1">
      <c r="A308" s="119"/>
      <c r="B308" s="137"/>
      <c r="C308" s="120"/>
      <c r="D308" s="128"/>
      <c r="E308" s="124"/>
      <c r="F308" s="113" t="str">
        <f t="shared" si="270"/>
        <v/>
      </c>
      <c r="G308" s="114" t="str">
        <f t="shared" si="271"/>
        <v/>
      </c>
    </row>
    <row r="309" spans="1:7" ht="18.75" customHeight="1">
      <c r="A309" s="119"/>
      <c r="B309" s="137"/>
      <c r="C309" s="120"/>
      <c r="D309" s="128"/>
      <c r="E309" s="124"/>
      <c r="F309" s="113" t="str">
        <f t="shared" si="270"/>
        <v/>
      </c>
      <c r="G309" s="114" t="str">
        <f t="shared" si="271"/>
        <v/>
      </c>
    </row>
    <row r="310" spans="1:7" ht="18.75" customHeight="1">
      <c r="A310" s="119"/>
      <c r="B310" s="137"/>
      <c r="C310" s="120"/>
      <c r="D310" s="128"/>
      <c r="E310" s="124"/>
      <c r="F310" s="113" t="str">
        <f t="shared" si="270"/>
        <v/>
      </c>
      <c r="G310" s="114" t="str">
        <f t="shared" si="271"/>
        <v/>
      </c>
    </row>
    <row r="311" spans="1:7" ht="18.75" customHeight="1">
      <c r="A311" s="119"/>
      <c r="B311" s="137"/>
      <c r="C311" s="120"/>
      <c r="D311" s="128"/>
      <c r="E311" s="124"/>
      <c r="F311" s="113" t="str">
        <f t="shared" si="270"/>
        <v/>
      </c>
      <c r="G311" s="114" t="str">
        <f t="shared" si="271"/>
        <v/>
      </c>
    </row>
    <row r="312" spans="1:7" ht="18.75" customHeight="1">
      <c r="A312" s="119"/>
      <c r="B312" s="137"/>
      <c r="C312" s="120"/>
      <c r="D312" s="128"/>
      <c r="E312" s="124"/>
      <c r="F312" s="113" t="str">
        <f t="shared" si="270"/>
        <v/>
      </c>
      <c r="G312" s="114" t="str">
        <f t="shared" si="271"/>
        <v/>
      </c>
    </row>
    <row r="313" spans="1:7" ht="18.75" customHeight="1">
      <c r="A313" s="119"/>
      <c r="B313" s="137"/>
      <c r="C313" s="120"/>
      <c r="D313" s="128"/>
      <c r="E313" s="124"/>
      <c r="F313" s="113" t="str">
        <f t="shared" si="270"/>
        <v/>
      </c>
      <c r="G313" s="114" t="str">
        <f t="shared" si="271"/>
        <v/>
      </c>
    </row>
    <row r="314" spans="1:7" ht="18.75" customHeight="1">
      <c r="A314" s="119"/>
      <c r="B314" s="137"/>
      <c r="C314" s="130"/>
      <c r="D314" s="128"/>
      <c r="E314" s="124"/>
      <c r="F314" s="113" t="str">
        <f t="shared" si="270"/>
        <v/>
      </c>
      <c r="G314" s="114" t="str">
        <f t="shared" si="271"/>
        <v/>
      </c>
    </row>
    <row r="315" spans="1:7" ht="18.75" customHeight="1">
      <c r="A315" s="119"/>
      <c r="B315" s="137"/>
      <c r="C315" s="130"/>
      <c r="D315" s="128"/>
      <c r="E315" s="124"/>
      <c r="F315" s="113" t="str">
        <f t="shared" si="270"/>
        <v/>
      </c>
      <c r="G315" s="114" t="str">
        <f t="shared" si="271"/>
        <v/>
      </c>
    </row>
    <row r="316" spans="1:7" ht="18.75" customHeight="1">
      <c r="A316" s="119"/>
      <c r="B316" s="137"/>
      <c r="C316" s="120"/>
      <c r="D316" s="128"/>
      <c r="E316" s="124"/>
      <c r="F316" s="113" t="str">
        <f t="shared" si="270"/>
        <v/>
      </c>
      <c r="G316" s="114" t="str">
        <f t="shared" si="271"/>
        <v/>
      </c>
    </row>
    <row r="317" spans="1:7" ht="18.75" customHeight="1">
      <c r="A317" s="119"/>
      <c r="B317" s="137"/>
      <c r="C317" s="130"/>
      <c r="D317" s="128"/>
      <c r="E317" s="124"/>
      <c r="F317" s="113" t="str">
        <f t="shared" si="270"/>
        <v/>
      </c>
      <c r="G317" s="114" t="str">
        <f t="shared" si="271"/>
        <v/>
      </c>
    </row>
    <row r="318" spans="1:7" ht="18.75" customHeight="1">
      <c r="A318" s="119"/>
      <c r="B318" s="137"/>
      <c r="C318" s="120"/>
      <c r="D318" s="128"/>
      <c r="E318" s="124"/>
      <c r="F318" s="113" t="str">
        <f t="shared" si="270"/>
        <v/>
      </c>
      <c r="G318" s="114" t="str">
        <f t="shared" si="271"/>
        <v/>
      </c>
    </row>
    <row r="319" spans="1:7" ht="18.75" customHeight="1">
      <c r="A319" s="119"/>
      <c r="B319" s="137"/>
      <c r="C319" s="130"/>
      <c r="D319" s="128"/>
      <c r="E319" s="124"/>
      <c r="F319" s="113" t="str">
        <f t="shared" si="270"/>
        <v/>
      </c>
      <c r="G319" s="114" t="str">
        <f t="shared" si="271"/>
        <v/>
      </c>
    </row>
    <row r="320" spans="1:7" ht="18.75" customHeight="1">
      <c r="A320" s="119"/>
      <c r="B320" s="137"/>
      <c r="C320" s="130"/>
      <c r="D320" s="128"/>
      <c r="E320" s="124"/>
      <c r="F320" s="113" t="str">
        <f t="shared" si="270"/>
        <v/>
      </c>
      <c r="G320" s="114" t="str">
        <f t="shared" si="271"/>
        <v/>
      </c>
    </row>
    <row r="321" spans="1:7" ht="18.75" customHeight="1">
      <c r="A321" s="119"/>
      <c r="B321" s="137"/>
      <c r="C321" s="120"/>
      <c r="D321" s="128"/>
      <c r="E321" s="124"/>
      <c r="F321" s="113" t="str">
        <f t="shared" si="270"/>
        <v/>
      </c>
      <c r="G321" s="114" t="str">
        <f t="shared" si="271"/>
        <v/>
      </c>
    </row>
    <row r="322" spans="1:7" ht="18.75" customHeight="1">
      <c r="A322" s="119"/>
      <c r="B322" s="137"/>
      <c r="C322" s="130"/>
      <c r="D322" s="128"/>
      <c r="E322" s="124"/>
      <c r="F322" s="113" t="str">
        <f t="shared" si="270"/>
        <v/>
      </c>
      <c r="G322" s="114" t="str">
        <f t="shared" si="271"/>
        <v/>
      </c>
    </row>
    <row r="323" spans="1:7" ht="18.75" customHeight="1">
      <c r="A323" s="119"/>
      <c r="B323" s="137"/>
      <c r="C323" s="120"/>
      <c r="D323" s="128"/>
      <c r="E323" s="124"/>
      <c r="F323" s="113" t="str">
        <f t="shared" si="270"/>
        <v/>
      </c>
      <c r="G323" s="114" t="str">
        <f t="shared" si="271"/>
        <v/>
      </c>
    </row>
    <row r="324" spans="1:7" ht="18.75" customHeight="1">
      <c r="A324" s="119"/>
      <c r="B324" s="137"/>
      <c r="C324" s="120"/>
      <c r="D324" s="128"/>
      <c r="E324" s="124"/>
      <c r="F324" s="113" t="str">
        <f t="shared" si="270"/>
        <v/>
      </c>
      <c r="G324" s="114" t="str">
        <f t="shared" si="271"/>
        <v/>
      </c>
    </row>
    <row r="325" spans="1:7" ht="18.75" customHeight="1">
      <c r="A325" s="119"/>
      <c r="B325" s="137"/>
      <c r="C325" s="120"/>
      <c r="D325" s="128"/>
      <c r="E325" s="124"/>
      <c r="F325" s="113" t="str">
        <f t="shared" si="270"/>
        <v/>
      </c>
      <c r="G325" s="114" t="str">
        <f t="shared" si="271"/>
        <v/>
      </c>
    </row>
    <row r="326" spans="1:7" ht="18.75" customHeight="1">
      <c r="A326" s="119"/>
      <c r="B326" s="137"/>
      <c r="C326" s="120"/>
      <c r="D326" s="128"/>
      <c r="E326" s="124"/>
      <c r="F326" s="113" t="str">
        <f t="shared" si="270"/>
        <v/>
      </c>
      <c r="G326" s="114" t="str">
        <f t="shared" si="271"/>
        <v/>
      </c>
    </row>
    <row r="327" spans="1:7" ht="18.75" customHeight="1">
      <c r="A327" s="119"/>
      <c r="B327" s="137"/>
      <c r="C327" s="120"/>
      <c r="D327" s="128"/>
      <c r="E327" s="124"/>
      <c r="F327" s="113" t="str">
        <f t="shared" si="270"/>
        <v/>
      </c>
      <c r="G327" s="114" t="str">
        <f t="shared" si="271"/>
        <v/>
      </c>
    </row>
    <row r="328" spans="1:7" ht="18.75" customHeight="1">
      <c r="A328" s="119"/>
      <c r="B328" s="137"/>
      <c r="C328" s="130"/>
      <c r="D328" s="128"/>
      <c r="E328" s="124"/>
      <c r="F328" s="113" t="str">
        <f t="shared" si="270"/>
        <v/>
      </c>
      <c r="G328" s="114" t="str">
        <f t="shared" si="271"/>
        <v/>
      </c>
    </row>
    <row r="329" spans="1:7" ht="18.75" customHeight="1">
      <c r="A329" s="119"/>
      <c r="B329" s="137"/>
      <c r="C329" s="130"/>
      <c r="D329" s="128"/>
      <c r="E329" s="124"/>
      <c r="F329" s="113" t="str">
        <f t="shared" si="270"/>
        <v/>
      </c>
      <c r="G329" s="114" t="str">
        <f t="shared" si="271"/>
        <v/>
      </c>
    </row>
    <row r="330" spans="1:7" ht="18.75" customHeight="1">
      <c r="A330" s="119"/>
      <c r="B330" s="137"/>
      <c r="C330" s="130"/>
      <c r="D330" s="138"/>
      <c r="E330" s="124"/>
      <c r="F330" s="113"/>
      <c r="G330" s="114"/>
    </row>
    <row r="331" spans="1:7" ht="18.75" customHeight="1">
      <c r="A331" s="119"/>
      <c r="B331" s="137"/>
      <c r="C331" s="130"/>
      <c r="D331" s="138"/>
      <c r="E331" s="124"/>
      <c r="F331" s="113"/>
      <c r="G331" s="114"/>
    </row>
    <row r="332" spans="1:7" ht="18.75" customHeight="1">
      <c r="A332" s="119"/>
      <c r="B332" s="137"/>
      <c r="C332" s="130"/>
      <c r="D332" s="138"/>
      <c r="E332" s="124"/>
      <c r="F332" s="113"/>
      <c r="G332" s="114"/>
    </row>
    <row r="333" spans="1:7" ht="18.75" customHeight="1">
      <c r="A333" s="119"/>
      <c r="B333" s="137"/>
      <c r="C333" s="130"/>
      <c r="D333" s="138"/>
      <c r="E333" s="124"/>
      <c r="F333" s="113"/>
      <c r="G333" s="114"/>
    </row>
    <row r="334" spans="1:7" ht="18.75" customHeight="1">
      <c r="A334" s="119"/>
      <c r="B334" s="137"/>
      <c r="C334" s="130"/>
      <c r="D334" s="138"/>
      <c r="E334" s="124"/>
      <c r="F334" s="113"/>
      <c r="G334" s="114"/>
    </row>
    <row r="335" spans="1:7" ht="18.75" customHeight="1">
      <c r="A335" s="119"/>
      <c r="B335" s="137"/>
      <c r="C335" s="130"/>
      <c r="D335" s="138"/>
      <c r="E335" s="124"/>
      <c r="F335" s="113"/>
      <c r="G335" s="114"/>
    </row>
    <row r="336" spans="1:7" ht="18.75" customHeight="1">
      <c r="A336" s="119"/>
      <c r="B336" s="137"/>
      <c r="C336" s="130"/>
      <c r="D336" s="138"/>
      <c r="E336" s="124"/>
      <c r="F336" s="113"/>
      <c r="G336" s="114"/>
    </row>
    <row r="337" spans="1:7" ht="18.75" customHeight="1">
      <c r="A337" s="119"/>
      <c r="B337" s="137"/>
      <c r="C337" s="130"/>
      <c r="D337" s="138"/>
      <c r="E337" s="124"/>
      <c r="F337" s="113" t="str">
        <f t="shared" ref="F337:F368" si="272">IF(E337="","",F336-E337)</f>
        <v/>
      </c>
      <c r="G337" s="114" t="str">
        <f t="shared" ref="G337:G368" si="273">IF(E337="","",G336+E337)</f>
        <v/>
      </c>
    </row>
    <row r="338" spans="1:7" ht="18.75" customHeight="1">
      <c r="A338" s="119"/>
      <c r="B338" s="137"/>
      <c r="C338" s="130"/>
      <c r="D338" s="138"/>
      <c r="E338" s="124"/>
      <c r="F338" s="113" t="str">
        <f t="shared" si="272"/>
        <v/>
      </c>
      <c r="G338" s="114" t="str">
        <f t="shared" si="273"/>
        <v/>
      </c>
    </row>
    <row r="339" spans="1:7" ht="18.75" customHeight="1">
      <c r="A339" s="119"/>
      <c r="B339" s="137"/>
      <c r="C339" s="120"/>
      <c r="D339" s="128"/>
      <c r="E339" s="124"/>
      <c r="F339" s="113" t="str">
        <f t="shared" si="272"/>
        <v/>
      </c>
      <c r="G339" s="114" t="str">
        <f t="shared" si="273"/>
        <v/>
      </c>
    </row>
    <row r="340" spans="1:7" ht="18.75" customHeight="1">
      <c r="A340" s="119"/>
      <c r="B340" s="137"/>
      <c r="C340" s="130"/>
      <c r="D340" s="128"/>
      <c r="E340" s="124"/>
      <c r="F340" s="113" t="str">
        <f t="shared" si="272"/>
        <v/>
      </c>
      <c r="G340" s="114" t="str">
        <f t="shared" si="273"/>
        <v/>
      </c>
    </row>
    <row r="341" spans="1:7" ht="18.75" customHeight="1">
      <c r="A341" s="119"/>
      <c r="B341" s="137"/>
      <c r="C341" s="120"/>
      <c r="D341" s="138"/>
      <c r="E341" s="124"/>
      <c r="F341" s="113" t="str">
        <f t="shared" si="272"/>
        <v/>
      </c>
      <c r="G341" s="114" t="str">
        <f t="shared" si="273"/>
        <v/>
      </c>
    </row>
    <row r="342" spans="1:7" ht="18.75" customHeight="1">
      <c r="A342" s="119"/>
      <c r="B342" s="137"/>
      <c r="C342" s="130"/>
      <c r="D342" s="138"/>
      <c r="E342" s="124"/>
      <c r="F342" s="113" t="str">
        <f t="shared" si="272"/>
        <v/>
      </c>
      <c r="G342" s="114" t="str">
        <f t="shared" si="273"/>
        <v/>
      </c>
    </row>
    <row r="343" spans="1:7" ht="18.75" customHeight="1">
      <c r="A343" s="119"/>
      <c r="B343" s="137"/>
      <c r="C343" s="130"/>
      <c r="D343" s="138"/>
      <c r="E343" s="124"/>
      <c r="F343" s="113" t="str">
        <f t="shared" si="272"/>
        <v/>
      </c>
      <c r="G343" s="114" t="str">
        <f t="shared" si="273"/>
        <v/>
      </c>
    </row>
    <row r="344" spans="1:7" ht="18.75" customHeight="1">
      <c r="A344" s="119"/>
      <c r="B344" s="137"/>
      <c r="C344" s="130"/>
      <c r="D344" s="128"/>
      <c r="E344" s="124"/>
      <c r="F344" s="113" t="str">
        <f t="shared" si="272"/>
        <v/>
      </c>
      <c r="G344" s="114" t="str">
        <f t="shared" si="273"/>
        <v/>
      </c>
    </row>
    <row r="345" spans="1:7" ht="18.75" customHeight="1">
      <c r="A345" s="119"/>
      <c r="B345" s="137"/>
      <c r="C345" s="120"/>
      <c r="D345" s="138"/>
      <c r="E345" s="124"/>
      <c r="F345" s="113" t="str">
        <f t="shared" si="272"/>
        <v/>
      </c>
      <c r="G345" s="114" t="str">
        <f t="shared" si="273"/>
        <v/>
      </c>
    </row>
    <row r="346" spans="1:7" ht="18.75" customHeight="1">
      <c r="A346" s="119"/>
      <c r="B346" s="137"/>
      <c r="C346" s="120"/>
      <c r="D346" s="128"/>
      <c r="E346" s="124"/>
      <c r="F346" s="113" t="str">
        <f t="shared" si="272"/>
        <v/>
      </c>
      <c r="G346" s="114" t="str">
        <f t="shared" si="273"/>
        <v/>
      </c>
    </row>
    <row r="347" spans="1:7" ht="18.75" customHeight="1">
      <c r="A347" s="119"/>
      <c r="B347" s="137"/>
      <c r="C347" s="120"/>
      <c r="D347" s="128"/>
      <c r="E347" s="124"/>
      <c r="F347" s="113" t="str">
        <f t="shared" si="272"/>
        <v/>
      </c>
      <c r="G347" s="114" t="str">
        <f t="shared" si="273"/>
        <v/>
      </c>
    </row>
    <row r="348" spans="1:7" ht="18.75" customHeight="1">
      <c r="A348" s="119"/>
      <c r="B348" s="137"/>
      <c r="C348" s="120"/>
      <c r="D348" s="128"/>
      <c r="E348" s="124"/>
      <c r="F348" s="113" t="str">
        <f t="shared" si="272"/>
        <v/>
      </c>
      <c r="G348" s="114" t="str">
        <f t="shared" si="273"/>
        <v/>
      </c>
    </row>
    <row r="349" spans="1:7" ht="18.75" customHeight="1">
      <c r="A349" s="119"/>
      <c r="B349" s="137"/>
      <c r="C349" s="120"/>
      <c r="D349" s="128"/>
      <c r="E349" s="124"/>
      <c r="F349" s="113" t="str">
        <f t="shared" si="272"/>
        <v/>
      </c>
      <c r="G349" s="114" t="str">
        <f t="shared" si="273"/>
        <v/>
      </c>
    </row>
    <row r="350" spans="1:7" ht="18.75" customHeight="1">
      <c r="A350" s="119"/>
      <c r="B350" s="137"/>
      <c r="C350" s="120"/>
      <c r="D350" s="128"/>
      <c r="E350" s="124"/>
      <c r="F350" s="113" t="str">
        <f t="shared" si="272"/>
        <v/>
      </c>
      <c r="G350" s="114" t="str">
        <f t="shared" si="273"/>
        <v/>
      </c>
    </row>
    <row r="351" spans="1:7" ht="13">
      <c r="A351" s="119"/>
      <c r="B351" s="137"/>
      <c r="C351" s="120"/>
      <c r="D351" s="128"/>
      <c r="E351" s="124"/>
      <c r="F351" s="113" t="str">
        <f t="shared" si="272"/>
        <v/>
      </c>
      <c r="G351" s="114" t="str">
        <f t="shared" si="273"/>
        <v/>
      </c>
    </row>
    <row r="352" spans="1:7" ht="18.75" customHeight="1">
      <c r="A352" s="119"/>
      <c r="B352" s="137"/>
      <c r="C352" s="120"/>
      <c r="D352" s="128"/>
      <c r="E352" s="124"/>
      <c r="F352" s="113" t="str">
        <f t="shared" si="272"/>
        <v/>
      </c>
      <c r="G352" s="114" t="str">
        <f t="shared" si="273"/>
        <v/>
      </c>
    </row>
    <row r="353" spans="1:7" ht="18.75" customHeight="1">
      <c r="A353" s="119"/>
      <c r="B353" s="137"/>
      <c r="C353" s="120"/>
      <c r="D353" s="128"/>
      <c r="E353" s="124"/>
      <c r="F353" s="113" t="str">
        <f t="shared" si="272"/>
        <v/>
      </c>
      <c r="G353" s="114" t="str">
        <f t="shared" si="273"/>
        <v/>
      </c>
    </row>
    <row r="354" spans="1:7" ht="18.75" customHeight="1">
      <c r="A354" s="119"/>
      <c r="B354" s="137"/>
      <c r="C354" s="120"/>
      <c r="D354" s="128"/>
      <c r="E354" s="124"/>
      <c r="F354" s="113" t="str">
        <f t="shared" si="272"/>
        <v/>
      </c>
      <c r="G354" s="114" t="str">
        <f t="shared" si="273"/>
        <v/>
      </c>
    </row>
    <row r="355" spans="1:7" ht="18.75" customHeight="1">
      <c r="A355" s="119"/>
      <c r="B355" s="137"/>
      <c r="C355" s="120"/>
      <c r="D355" s="133"/>
      <c r="E355" s="124"/>
      <c r="F355" s="113" t="str">
        <f t="shared" si="272"/>
        <v/>
      </c>
      <c r="G355" s="114" t="str">
        <f t="shared" si="273"/>
        <v/>
      </c>
    </row>
    <row r="356" spans="1:7" ht="18.75" customHeight="1">
      <c r="A356" s="119"/>
      <c r="B356" s="137"/>
      <c r="C356" s="120"/>
      <c r="D356" s="133"/>
      <c r="E356" s="124"/>
      <c r="F356" s="113" t="str">
        <f t="shared" si="272"/>
        <v/>
      </c>
      <c r="G356" s="114" t="str">
        <f t="shared" si="273"/>
        <v/>
      </c>
    </row>
    <row r="357" spans="1:7" ht="18.75" customHeight="1">
      <c r="A357" s="119"/>
      <c r="B357" s="137"/>
      <c r="C357" s="120"/>
      <c r="D357" s="128"/>
      <c r="E357" s="124"/>
      <c r="F357" s="113" t="str">
        <f t="shared" si="272"/>
        <v/>
      </c>
      <c r="G357" s="114" t="str">
        <f t="shared" si="273"/>
        <v/>
      </c>
    </row>
    <row r="358" spans="1:7" ht="18.75" customHeight="1">
      <c r="A358" s="119"/>
      <c r="B358" s="137"/>
      <c r="C358" s="120"/>
      <c r="D358" s="133"/>
      <c r="E358" s="124"/>
      <c r="F358" s="113" t="str">
        <f t="shared" si="272"/>
        <v/>
      </c>
      <c r="G358" s="114" t="str">
        <f t="shared" si="273"/>
        <v/>
      </c>
    </row>
    <row r="359" spans="1:7" ht="18.75" customHeight="1">
      <c r="A359" s="119"/>
      <c r="B359" s="137"/>
      <c r="C359" s="120"/>
      <c r="D359" s="133"/>
      <c r="E359" s="124"/>
      <c r="F359" s="113" t="str">
        <f t="shared" si="272"/>
        <v/>
      </c>
      <c r="G359" s="114" t="str">
        <f t="shared" si="273"/>
        <v/>
      </c>
    </row>
    <row r="360" spans="1:7" ht="18.75" customHeight="1">
      <c r="A360" s="139"/>
      <c r="B360" s="137"/>
      <c r="C360" s="140"/>
      <c r="D360" s="133"/>
      <c r="E360" s="141"/>
      <c r="F360" s="142" t="str">
        <f t="shared" si="272"/>
        <v/>
      </c>
      <c r="G360" s="143" t="str">
        <f t="shared" si="273"/>
        <v/>
      </c>
    </row>
    <row r="361" spans="1:7" ht="18.75" customHeight="1">
      <c r="A361" s="139"/>
      <c r="B361" s="137"/>
      <c r="C361" s="140"/>
      <c r="D361" s="133"/>
      <c r="E361" s="124"/>
      <c r="F361" s="113" t="str">
        <f t="shared" si="272"/>
        <v/>
      </c>
      <c r="G361" s="114" t="str">
        <f t="shared" si="273"/>
        <v/>
      </c>
    </row>
    <row r="362" spans="1:7" ht="18.75" customHeight="1">
      <c r="A362" s="119"/>
      <c r="B362" s="137"/>
      <c r="C362" s="140"/>
      <c r="D362" s="133"/>
      <c r="E362" s="124"/>
      <c r="F362" s="113" t="str">
        <f t="shared" si="272"/>
        <v/>
      </c>
      <c r="G362" s="114" t="str">
        <f t="shared" si="273"/>
        <v/>
      </c>
    </row>
    <row r="363" spans="1:7" ht="18.75" customHeight="1">
      <c r="A363" s="119"/>
      <c r="B363" s="137"/>
      <c r="C363" s="140"/>
      <c r="D363" s="133"/>
      <c r="E363" s="124"/>
      <c r="F363" s="113" t="str">
        <f t="shared" si="272"/>
        <v/>
      </c>
      <c r="G363" s="114" t="str">
        <f t="shared" si="273"/>
        <v/>
      </c>
    </row>
    <row r="364" spans="1:7" ht="18.75" customHeight="1">
      <c r="A364" s="119"/>
      <c r="B364" s="137"/>
      <c r="C364" s="140"/>
      <c r="D364" s="133"/>
      <c r="E364" s="124"/>
      <c r="F364" s="113" t="str">
        <f t="shared" si="272"/>
        <v/>
      </c>
      <c r="G364" s="114" t="str">
        <f t="shared" si="273"/>
        <v/>
      </c>
    </row>
    <row r="365" spans="1:7" ht="18.75" customHeight="1">
      <c r="A365" s="119"/>
      <c r="B365" s="137"/>
      <c r="C365" s="130"/>
      <c r="D365" s="133"/>
      <c r="E365" s="124"/>
      <c r="F365" s="113" t="str">
        <f t="shared" si="272"/>
        <v/>
      </c>
      <c r="G365" s="114" t="str">
        <f t="shared" si="273"/>
        <v/>
      </c>
    </row>
    <row r="366" spans="1:7" ht="18.75" customHeight="1">
      <c r="A366" s="119"/>
      <c r="B366" s="137"/>
      <c r="C366" s="120"/>
      <c r="D366" s="133"/>
      <c r="E366" s="124"/>
      <c r="F366" s="113" t="str">
        <f t="shared" si="272"/>
        <v/>
      </c>
      <c r="G366" s="114" t="str">
        <f t="shared" si="273"/>
        <v/>
      </c>
    </row>
    <row r="367" spans="1:7" ht="18.75" customHeight="1">
      <c r="A367" s="119"/>
      <c r="B367" s="137"/>
      <c r="C367" s="120"/>
      <c r="D367" s="128"/>
      <c r="E367" s="124"/>
      <c r="F367" s="113" t="str">
        <f t="shared" si="272"/>
        <v/>
      </c>
      <c r="G367" s="114" t="str">
        <f t="shared" si="273"/>
        <v/>
      </c>
    </row>
    <row r="368" spans="1:7" ht="18.75" customHeight="1">
      <c r="A368" s="119"/>
      <c r="B368" s="137"/>
      <c r="C368" s="120"/>
      <c r="D368" s="128"/>
      <c r="E368" s="124"/>
      <c r="F368" s="113" t="str">
        <f t="shared" si="272"/>
        <v/>
      </c>
      <c r="G368" s="114" t="str">
        <f t="shared" si="273"/>
        <v/>
      </c>
    </row>
    <row r="369" spans="1:7" ht="18.75" customHeight="1">
      <c r="A369" s="119"/>
      <c r="B369" s="137"/>
      <c r="C369" s="120"/>
      <c r="D369" s="128"/>
      <c r="E369" s="124"/>
      <c r="F369" s="113" t="str">
        <f t="shared" ref="F369:F394" si="274">IF(E369="","",F368-E369)</f>
        <v/>
      </c>
      <c r="G369" s="114" t="str">
        <f t="shared" ref="G369:G394" si="275">IF(E369="","",G368+E369)</f>
        <v/>
      </c>
    </row>
    <row r="370" spans="1:7" ht="18.75" customHeight="1">
      <c r="A370" s="119"/>
      <c r="B370" s="137"/>
      <c r="C370" s="130"/>
      <c r="D370" s="138"/>
      <c r="E370" s="124"/>
      <c r="F370" s="113" t="str">
        <f t="shared" si="274"/>
        <v/>
      </c>
      <c r="G370" s="114" t="str">
        <f t="shared" si="275"/>
        <v/>
      </c>
    </row>
    <row r="371" spans="1:7" ht="18.75" customHeight="1">
      <c r="A371" s="119"/>
      <c r="B371" s="137"/>
      <c r="C371" s="130"/>
      <c r="D371" s="128"/>
      <c r="E371" s="124"/>
      <c r="F371" s="113" t="str">
        <f t="shared" si="274"/>
        <v/>
      </c>
      <c r="G371" s="114" t="str">
        <f t="shared" si="275"/>
        <v/>
      </c>
    </row>
    <row r="372" spans="1:7" ht="18.75" customHeight="1">
      <c r="A372" s="119"/>
      <c r="B372" s="137"/>
      <c r="C372" s="130"/>
      <c r="D372" s="128"/>
      <c r="E372" s="124"/>
      <c r="F372" s="113" t="str">
        <f t="shared" si="274"/>
        <v/>
      </c>
      <c r="G372" s="114" t="str">
        <f t="shared" si="275"/>
        <v/>
      </c>
    </row>
    <row r="373" spans="1:7" ht="18.75" customHeight="1">
      <c r="A373" s="119"/>
      <c r="B373" s="137"/>
      <c r="C373" s="120"/>
      <c r="D373" s="138"/>
      <c r="E373" s="124"/>
      <c r="F373" s="113" t="str">
        <f t="shared" si="274"/>
        <v/>
      </c>
      <c r="G373" s="114" t="str">
        <f t="shared" si="275"/>
        <v/>
      </c>
    </row>
    <row r="374" spans="1:7" ht="18.75" customHeight="1">
      <c r="A374" s="119"/>
      <c r="B374" s="137"/>
      <c r="C374" s="130"/>
      <c r="D374" s="138"/>
      <c r="E374" s="124"/>
      <c r="F374" s="113" t="str">
        <f t="shared" si="274"/>
        <v/>
      </c>
      <c r="G374" s="114" t="str">
        <f t="shared" si="275"/>
        <v/>
      </c>
    </row>
    <row r="375" spans="1:7" ht="18.75" customHeight="1">
      <c r="A375" s="119"/>
      <c r="B375" s="137"/>
      <c r="C375" s="120"/>
      <c r="D375" s="138"/>
      <c r="E375" s="124"/>
      <c r="F375" s="113" t="str">
        <f t="shared" si="274"/>
        <v/>
      </c>
      <c r="G375" s="114" t="str">
        <f t="shared" si="275"/>
        <v/>
      </c>
    </row>
    <row r="376" spans="1:7" ht="18.75" customHeight="1">
      <c r="A376" s="119"/>
      <c r="B376" s="137"/>
      <c r="C376" s="120"/>
      <c r="D376" s="133"/>
      <c r="E376" s="124"/>
      <c r="F376" s="113" t="str">
        <f t="shared" si="274"/>
        <v/>
      </c>
      <c r="G376" s="114" t="str">
        <f t="shared" si="275"/>
        <v/>
      </c>
    </row>
    <row r="377" spans="1:7" ht="18.75" customHeight="1">
      <c r="A377" s="119"/>
      <c r="B377" s="137"/>
      <c r="C377" s="120"/>
      <c r="D377" s="128"/>
      <c r="E377" s="124"/>
      <c r="F377" s="113" t="str">
        <f t="shared" si="274"/>
        <v/>
      </c>
      <c r="G377" s="114" t="str">
        <f t="shared" si="275"/>
        <v/>
      </c>
    </row>
    <row r="378" spans="1:7" ht="18.75" customHeight="1">
      <c r="A378" s="119"/>
      <c r="B378" s="137"/>
      <c r="C378" s="120"/>
      <c r="D378" s="138"/>
      <c r="E378" s="124"/>
      <c r="F378" s="113" t="str">
        <f t="shared" si="274"/>
        <v/>
      </c>
      <c r="G378" s="114" t="str">
        <f t="shared" si="275"/>
        <v/>
      </c>
    </row>
    <row r="379" spans="1:7" ht="18.75" customHeight="1">
      <c r="A379" s="119"/>
      <c r="B379" s="137"/>
      <c r="C379" s="120"/>
      <c r="D379" s="133"/>
      <c r="E379" s="124"/>
      <c r="F379" s="113" t="str">
        <f t="shared" si="274"/>
        <v/>
      </c>
      <c r="G379" s="114" t="str">
        <f t="shared" si="275"/>
        <v/>
      </c>
    </row>
    <row r="380" spans="1:7" ht="18.75" customHeight="1">
      <c r="A380" s="119"/>
      <c r="B380" s="137"/>
      <c r="C380" s="120"/>
      <c r="D380" s="138"/>
      <c r="E380" s="124"/>
      <c r="F380" s="113" t="str">
        <f t="shared" si="274"/>
        <v/>
      </c>
      <c r="G380" s="114" t="str">
        <f t="shared" si="275"/>
        <v/>
      </c>
    </row>
    <row r="381" spans="1:7" ht="18.75" customHeight="1">
      <c r="A381" s="119"/>
      <c r="B381" s="137"/>
      <c r="C381" s="120"/>
      <c r="D381" s="133"/>
      <c r="E381" s="124"/>
      <c r="F381" s="113" t="str">
        <f t="shared" si="274"/>
        <v/>
      </c>
      <c r="G381" s="114" t="str">
        <f t="shared" si="275"/>
        <v/>
      </c>
    </row>
    <row r="382" spans="1:7" ht="18.75" customHeight="1">
      <c r="A382" s="119"/>
      <c r="B382" s="137"/>
      <c r="C382" s="120"/>
      <c r="D382" s="138"/>
      <c r="E382" s="124"/>
      <c r="F382" s="113" t="str">
        <f t="shared" si="274"/>
        <v/>
      </c>
      <c r="G382" s="114" t="str">
        <f t="shared" si="275"/>
        <v/>
      </c>
    </row>
    <row r="383" spans="1:7" ht="18.75" customHeight="1">
      <c r="A383" s="119"/>
      <c r="B383" s="137"/>
      <c r="C383" s="120"/>
      <c r="D383" s="128"/>
      <c r="E383" s="124"/>
      <c r="F383" s="113" t="str">
        <f t="shared" si="274"/>
        <v/>
      </c>
      <c r="G383" s="114" t="str">
        <f t="shared" si="275"/>
        <v/>
      </c>
    </row>
    <row r="384" spans="1:7" ht="18.75" customHeight="1">
      <c r="A384" s="119"/>
      <c r="B384" s="137"/>
      <c r="C384" s="130"/>
      <c r="D384" s="128"/>
      <c r="E384" s="124"/>
      <c r="F384" s="113" t="str">
        <f t="shared" si="274"/>
        <v/>
      </c>
      <c r="G384" s="114" t="str">
        <f t="shared" si="275"/>
        <v/>
      </c>
    </row>
    <row r="385" spans="1:7" ht="18.75" customHeight="1">
      <c r="A385" s="119"/>
      <c r="B385" s="144"/>
      <c r="C385" s="130"/>
      <c r="D385" s="128"/>
      <c r="E385" s="124"/>
      <c r="F385" s="113" t="str">
        <f t="shared" si="274"/>
        <v/>
      </c>
      <c r="G385" s="114" t="str">
        <f t="shared" si="275"/>
        <v/>
      </c>
    </row>
    <row r="386" spans="1:7" ht="18.75" customHeight="1">
      <c r="A386" s="119"/>
      <c r="B386" s="137"/>
      <c r="C386" s="130"/>
      <c r="D386" s="128"/>
      <c r="E386" s="124"/>
      <c r="F386" s="113" t="str">
        <f t="shared" si="274"/>
        <v/>
      </c>
      <c r="G386" s="114" t="str">
        <f t="shared" si="275"/>
        <v/>
      </c>
    </row>
    <row r="387" spans="1:7" ht="18.75" customHeight="1">
      <c r="A387" s="119"/>
      <c r="B387" s="137"/>
      <c r="C387" s="120"/>
      <c r="D387" s="128"/>
      <c r="E387" s="124"/>
      <c r="F387" s="113" t="str">
        <f t="shared" si="274"/>
        <v/>
      </c>
      <c r="G387" s="114" t="str">
        <f t="shared" si="275"/>
        <v/>
      </c>
    </row>
    <row r="388" spans="1:7" ht="18.75" customHeight="1">
      <c r="A388" s="119"/>
      <c r="B388" s="137"/>
      <c r="C388" s="130"/>
      <c r="D388" s="138"/>
      <c r="E388" s="124"/>
      <c r="F388" s="113" t="str">
        <f t="shared" si="274"/>
        <v/>
      </c>
      <c r="G388" s="114" t="str">
        <f t="shared" si="275"/>
        <v/>
      </c>
    </row>
    <row r="389" spans="1:7" ht="18.75" customHeight="1">
      <c r="A389" s="119"/>
      <c r="B389" s="145"/>
      <c r="C389" s="130"/>
      <c r="D389" s="138"/>
      <c r="E389" s="124"/>
      <c r="F389" s="113" t="str">
        <f t="shared" si="274"/>
        <v/>
      </c>
      <c r="G389" s="114" t="str">
        <f t="shared" si="275"/>
        <v/>
      </c>
    </row>
    <row r="390" spans="1:7" ht="18.75" customHeight="1">
      <c r="A390" s="119"/>
      <c r="B390" s="145"/>
      <c r="C390" s="130"/>
      <c r="D390" s="138"/>
      <c r="E390" s="124"/>
      <c r="F390" s="113" t="str">
        <f t="shared" si="274"/>
        <v/>
      </c>
      <c r="G390" s="114" t="str">
        <f t="shared" si="275"/>
        <v/>
      </c>
    </row>
    <row r="391" spans="1:7" ht="18.75" customHeight="1">
      <c r="A391" s="119"/>
      <c r="B391" s="145"/>
      <c r="C391" s="130"/>
      <c r="D391" s="138"/>
      <c r="E391" s="124"/>
      <c r="F391" s="113" t="str">
        <f t="shared" si="274"/>
        <v/>
      </c>
      <c r="G391" s="114" t="str">
        <f t="shared" si="275"/>
        <v/>
      </c>
    </row>
    <row r="392" spans="1:7" ht="18.75" customHeight="1">
      <c r="A392" s="119"/>
      <c r="B392" s="145"/>
      <c r="C392" s="130"/>
      <c r="D392" s="138"/>
      <c r="E392" s="124"/>
      <c r="F392" s="113" t="str">
        <f t="shared" si="274"/>
        <v/>
      </c>
      <c r="G392" s="114" t="str">
        <f t="shared" si="275"/>
        <v/>
      </c>
    </row>
    <row r="393" spans="1:7" ht="18.75" customHeight="1">
      <c r="A393" s="119"/>
      <c r="B393" s="145"/>
      <c r="C393" s="130"/>
      <c r="D393" s="138"/>
      <c r="E393" s="124"/>
      <c r="F393" s="113" t="str">
        <f t="shared" si="274"/>
        <v/>
      </c>
      <c r="G393" s="114" t="str">
        <f t="shared" si="275"/>
        <v/>
      </c>
    </row>
    <row r="394" spans="1:7" ht="18.75" customHeight="1">
      <c r="A394" s="119"/>
      <c r="B394" s="145"/>
      <c r="C394" s="130"/>
      <c r="D394" s="138"/>
      <c r="E394" s="124"/>
      <c r="F394" s="113" t="str">
        <f t="shared" si="274"/>
        <v/>
      </c>
      <c r="G394" s="114" t="str">
        <f t="shared" si="275"/>
        <v/>
      </c>
    </row>
    <row r="395" spans="1:7" ht="18.75" customHeight="1">
      <c r="E395" s="28"/>
    </row>
    <row r="396" spans="1:7" ht="18.75" customHeight="1">
      <c r="E396" s="28"/>
    </row>
    <row r="397" spans="1:7" ht="18.75" customHeight="1">
      <c r="E397" s="28"/>
    </row>
  </sheetData>
  <autoFilter ref="A8:H199" xr:uid="{00000000-0001-0000-0200-000000000000}"/>
  <sortState xmlns:xlrd2="http://schemas.microsoft.com/office/spreadsheetml/2017/richdata2" ref="A157:E158">
    <sortCondition ref="A157:A158"/>
  </sortState>
  <mergeCells count="9">
    <mergeCell ref="C4:D4"/>
    <mergeCell ref="D7:E7"/>
    <mergeCell ref="F7:G7"/>
    <mergeCell ref="A4:A7"/>
    <mergeCell ref="A1:G1"/>
    <mergeCell ref="A2:B2"/>
    <mergeCell ref="C2:F2"/>
    <mergeCell ref="A3:B3"/>
    <mergeCell ref="C3:E3"/>
  </mergeCells>
  <phoneticPr fontId="46" type="noConversion"/>
  <conditionalFormatting sqref="B5">
    <cfRule type="expression" dxfId="35" priority="13">
      <formula>$C$5&gt;0</formula>
    </cfRule>
  </conditionalFormatting>
  <conditionalFormatting sqref="D5">
    <cfRule type="expression" dxfId="34" priority="75">
      <formula>$E$5&gt;0</formula>
    </cfRule>
  </conditionalFormatting>
  <conditionalFormatting sqref="F5">
    <cfRule type="expression" dxfId="33" priority="6">
      <formula>$E$5&gt;0</formula>
    </cfRule>
  </conditionalFormatting>
  <conditionalFormatting sqref="G5">
    <cfRule type="expression" dxfId="32" priority="8">
      <formula>$E$5&gt;0</formula>
    </cfRule>
  </conditionalFormatting>
  <conditionalFormatting sqref="D6">
    <cfRule type="expression" dxfId="31" priority="9">
      <formula>$E$5&gt;0</formula>
    </cfRule>
  </conditionalFormatting>
  <conditionalFormatting sqref="F6">
    <cfRule type="expression" dxfId="30" priority="5">
      <formula>$E$5&gt;0</formula>
    </cfRule>
  </conditionalFormatting>
  <conditionalFormatting sqref="G6">
    <cfRule type="expression" dxfId="29" priority="7">
      <formula>$E$5&gt;0</formula>
    </cfRule>
  </conditionalFormatting>
  <conditionalFormatting sqref="F10">
    <cfRule type="cellIs" dxfId="28" priority="4" stopIfTrue="1" operator="equal">
      <formula>0</formula>
    </cfRule>
  </conditionalFormatting>
  <conditionalFormatting sqref="G10">
    <cfRule type="cellIs" dxfId="27" priority="2" stopIfTrue="1" operator="equal">
      <formula>0</formula>
    </cfRule>
  </conditionalFormatting>
  <conditionalFormatting sqref="B6:B7">
    <cfRule type="expression" dxfId="26" priority="12">
      <formula>$C$6&gt;0</formula>
    </cfRule>
  </conditionalFormatting>
  <conditionalFormatting sqref="F11:F199">
    <cfRule type="cellIs" dxfId="25" priority="3" stopIfTrue="1" operator="equal">
      <formula>0</formula>
    </cfRule>
  </conditionalFormatting>
  <conditionalFormatting sqref="G11:G199">
    <cfRule type="cellIs" dxfId="24" priority="1" stopIfTrue="1" operator="equal">
      <formula>0</formula>
    </cfRule>
  </conditionalFormatting>
  <conditionalFormatting sqref="F9:G9 F200:G394">
    <cfRule type="cellIs" dxfId="23" priority="74" stopIfTrue="1" operator="equal">
      <formula>0</formula>
    </cfRule>
  </conditionalFormatting>
  <pageMargins left="0.37" right="0.12" top="0.43" bottom="0.18" header="0.3" footer="0.15"/>
  <pageSetup scale="9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P30"/>
  <sheetViews>
    <sheetView showGridLines="0" topLeftCell="B1" zoomScale="85" zoomScaleNormal="85" workbookViewId="0">
      <selection activeCell="C8" sqref="C8:H8"/>
    </sheetView>
  </sheetViews>
  <sheetFormatPr defaultColWidth="9" defaultRowHeight="55.5" customHeight="1"/>
  <cols>
    <col min="1" max="1" width="1" hidden="1" customWidth="1"/>
    <col min="2" max="2" width="4.26953125" style="77" customWidth="1"/>
    <col min="3" max="3" width="16.81640625" customWidth="1"/>
    <col min="4" max="4" width="26.1796875" customWidth="1"/>
    <col min="5" max="5" width="8.1796875" customWidth="1"/>
    <col min="6" max="7" width="13.54296875" customWidth="1"/>
    <col min="8" max="8" width="10.1796875" customWidth="1"/>
    <col min="9" max="9" width="8.54296875" customWidth="1"/>
    <col min="10" max="10" width="13.81640625" customWidth="1"/>
    <col min="11" max="11" width="9.81640625" customWidth="1"/>
    <col min="12" max="12" width="8.54296875" customWidth="1"/>
    <col min="14" max="14" width="15.453125" customWidth="1"/>
    <col min="15" max="15" width="18.26953125" customWidth="1"/>
  </cols>
  <sheetData>
    <row r="1" spans="2:16" ht="55.5" customHeight="1">
      <c r="B1" s="78">
        <f>N2</f>
        <v>18</v>
      </c>
      <c r="C1" s="213" t="s">
        <v>108</v>
      </c>
      <c r="D1" s="213"/>
      <c r="E1" s="213"/>
      <c r="F1" s="213"/>
      <c r="G1" s="213"/>
      <c r="H1" s="213"/>
      <c r="I1" s="213"/>
      <c r="J1" s="213"/>
      <c r="K1" s="214" t="s">
        <v>109</v>
      </c>
      <c r="L1" s="214"/>
      <c r="M1" s="12"/>
      <c r="N1" s="13" t="s">
        <v>110</v>
      </c>
      <c r="O1" s="14"/>
    </row>
    <row r="2" spans="2:16" ht="21" customHeight="1">
      <c r="B2" s="78">
        <f>B1+1</f>
        <v>19</v>
      </c>
      <c r="C2" s="6" t="s">
        <v>111</v>
      </c>
      <c r="D2" s="79" t="str">
        <f>O3</f>
        <v>CMT-PK-0626-009</v>
      </c>
      <c r="E2" s="215" t="s">
        <v>112</v>
      </c>
      <c r="F2" s="215"/>
      <c r="G2" s="215"/>
      <c r="H2" s="215"/>
      <c r="I2" s="215"/>
      <c r="J2" s="215"/>
      <c r="K2" s="222">
        <v>168</v>
      </c>
      <c r="L2" s="222"/>
      <c r="N2" s="89">
        <v>18</v>
      </c>
      <c r="O2" s="90"/>
    </row>
    <row r="3" spans="2:16" ht="18" customHeight="1">
      <c r="C3" s="215" t="s">
        <v>113</v>
      </c>
      <c r="D3" s="215"/>
      <c r="E3" s="215"/>
      <c r="F3" s="215"/>
      <c r="G3" s="215"/>
      <c r="H3" s="215"/>
      <c r="I3" s="215"/>
      <c r="J3" s="215"/>
      <c r="K3" s="222"/>
      <c r="L3" s="222"/>
      <c r="N3" s="91" t="s">
        <v>114</v>
      </c>
      <c r="O3" s="91" t="str">
        <f>LOOKUP($K$2,'SOUTH wells'!A9:G394,'SOUTH wells'!B9:B394)</f>
        <v>CMT-PK-0626-009</v>
      </c>
      <c r="P3" s="16"/>
    </row>
    <row r="4" spans="2:16" ht="15.5">
      <c r="C4" s="4" t="s">
        <v>115</v>
      </c>
      <c r="D4" s="4"/>
      <c r="E4" s="4"/>
      <c r="F4" s="4"/>
      <c r="G4" s="4"/>
      <c r="H4" s="80" t="str">
        <f>O4</f>
        <v>CHAK 63-5</v>
      </c>
      <c r="I4" s="80"/>
      <c r="J4" s="5"/>
      <c r="K4" s="223"/>
      <c r="L4" s="223"/>
      <c r="N4" s="91" t="s">
        <v>116</v>
      </c>
      <c r="O4" s="91" t="str">
        <f>LOOKUP($K$2,'SOUTH wells'!A9:G394,'SOUTH wells'!D9:D394)</f>
        <v>CHAK 63-5</v>
      </c>
      <c r="P4" s="16"/>
    </row>
    <row r="5" spans="2:16" ht="20.25" customHeight="1">
      <c r="C5" s="6"/>
      <c r="D5" s="6"/>
      <c r="E5" s="6"/>
      <c r="F5" s="6"/>
      <c r="G5" s="6"/>
      <c r="H5" s="7"/>
      <c r="I5" s="7"/>
      <c r="J5" s="7"/>
      <c r="K5" s="92"/>
      <c r="L5" s="92"/>
      <c r="N5" s="91"/>
      <c r="O5" s="91"/>
      <c r="P5" s="16"/>
    </row>
    <row r="6" spans="2:16" ht="29.25" customHeight="1">
      <c r="B6" s="78">
        <f>B2+1</f>
        <v>20</v>
      </c>
      <c r="C6" s="6" t="s">
        <v>117</v>
      </c>
      <c r="D6" s="6"/>
      <c r="E6" s="216">
        <v>60219.53</v>
      </c>
      <c r="F6" s="217"/>
      <c r="G6" s="218"/>
      <c r="H6" s="218"/>
      <c r="I6" s="218"/>
      <c r="J6" s="219"/>
      <c r="K6" s="220">
        <v>7573.9</v>
      </c>
      <c r="L6" s="221"/>
      <c r="M6" s="3" t="s">
        <v>118</v>
      </c>
      <c r="N6" s="91"/>
      <c r="O6" s="91"/>
      <c r="P6" s="16"/>
    </row>
    <row r="7" spans="2:16" ht="30.75" customHeight="1">
      <c r="B7" s="78">
        <f>B6+1</f>
        <v>21</v>
      </c>
      <c r="C7" s="6" t="s">
        <v>119</v>
      </c>
      <c r="D7" s="6"/>
      <c r="E7" s="216">
        <v>60219.53</v>
      </c>
      <c r="F7" s="217"/>
      <c r="G7" s="226" t="str">
        <f>WordNum(E7)</f>
        <v>Sixty  thousand Two hundred and Nineteen point Five Three</v>
      </c>
      <c r="H7" s="226"/>
      <c r="I7" s="226"/>
      <c r="J7" s="227"/>
      <c r="K7" s="93"/>
      <c r="L7" s="93"/>
      <c r="M7" s="3"/>
      <c r="N7" s="91"/>
      <c r="O7" s="91">
        <f>LOOKUP($K$2,'SOUTH wells'!A9:G394,'SOUTH wells'!E9:E394)</f>
        <v>51033.5</v>
      </c>
      <c r="P7" s="16"/>
    </row>
    <row r="8" spans="2:16" ht="30.75" customHeight="1">
      <c r="B8" s="78" t="s">
        <v>123</v>
      </c>
      <c r="C8" s="225" t="s">
        <v>587</v>
      </c>
      <c r="D8" s="225"/>
      <c r="E8" s="225"/>
      <c r="F8" s="225"/>
      <c r="G8" s="225"/>
      <c r="H8" s="225"/>
      <c r="I8" s="6"/>
      <c r="J8" s="6"/>
      <c r="K8" s="228"/>
      <c r="L8" s="228"/>
      <c r="M8" s="94"/>
      <c r="N8" s="18"/>
      <c r="O8" s="18"/>
    </row>
    <row r="9" spans="2:16" ht="23.25" customHeight="1">
      <c r="B9" s="4" t="s">
        <v>593</v>
      </c>
      <c r="C9" s="77"/>
      <c r="D9" s="77"/>
      <c r="E9" s="77"/>
      <c r="F9" s="77"/>
      <c r="G9" s="77"/>
      <c r="H9" s="77"/>
      <c r="I9" s="77"/>
      <c r="J9" s="184"/>
      <c r="K9" s="224">
        <v>1</v>
      </c>
      <c r="L9" s="224"/>
    </row>
    <row r="10" spans="2:16" ht="23.25" customHeight="1">
      <c r="C10" s="9"/>
      <c r="D10" s="225"/>
      <c r="E10" s="225"/>
      <c r="F10" s="225"/>
      <c r="G10" s="225"/>
      <c r="H10" s="225"/>
      <c r="I10" s="225"/>
      <c r="J10" s="95"/>
      <c r="K10" s="224" t="s">
        <v>120</v>
      </c>
      <c r="L10" s="224"/>
    </row>
    <row r="11" spans="2:16" ht="23.25" customHeight="1">
      <c r="C11" s="9"/>
      <c r="D11" s="225"/>
      <c r="E11" s="225"/>
      <c r="F11" s="225"/>
      <c r="G11" s="225"/>
      <c r="H11" s="225"/>
      <c r="I11" s="225"/>
      <c r="J11" s="95"/>
      <c r="K11" s="224">
        <v>4</v>
      </c>
      <c r="L11" s="224"/>
    </row>
    <row r="12" spans="2:16" ht="28.5" customHeight="1">
      <c r="B12" s="78">
        <f>B7+1</f>
        <v>22</v>
      </c>
      <c r="C12" s="4" t="s">
        <v>121</v>
      </c>
      <c r="D12" s="82"/>
      <c r="E12" s="82"/>
      <c r="F12" s="82"/>
      <c r="G12" s="82"/>
      <c r="H12" s="82"/>
      <c r="I12" s="82"/>
      <c r="J12" s="82"/>
      <c r="K12" s="4"/>
    </row>
    <row r="13" spans="2:16" ht="21.75" customHeight="1">
      <c r="C13" s="82" t="s">
        <v>122</v>
      </c>
      <c r="D13" s="82"/>
      <c r="E13" s="82"/>
      <c r="F13" s="82"/>
      <c r="G13" s="82"/>
      <c r="H13" s="82"/>
      <c r="I13" s="82"/>
      <c r="J13" s="82"/>
      <c r="N13" t="s">
        <v>123</v>
      </c>
    </row>
    <row r="14" spans="2:16" ht="21.75" customHeight="1"/>
    <row r="15" spans="2:16" ht="18" customHeight="1">
      <c r="G15" s="83"/>
      <c r="H15" s="83"/>
      <c r="J15" s="83" t="s">
        <v>124</v>
      </c>
      <c r="K15" s="4"/>
      <c r="N15" s="3" t="s">
        <v>432</v>
      </c>
    </row>
    <row r="16" spans="2:16" ht="18" customHeight="1">
      <c r="G16" s="84"/>
      <c r="H16" s="84"/>
      <c r="J16" s="84" t="s">
        <v>125</v>
      </c>
      <c r="K16" s="4"/>
      <c r="O16" s="3" t="s">
        <v>123</v>
      </c>
    </row>
    <row r="17" spans="2:16" ht="18" customHeight="1">
      <c r="G17" s="85"/>
      <c r="H17" s="85"/>
      <c r="J17" s="85" t="s">
        <v>126</v>
      </c>
      <c r="K17" s="4"/>
    </row>
    <row r="18" spans="2:16" ht="18" customHeight="1">
      <c r="G18" s="85"/>
      <c r="H18" s="85"/>
      <c r="J18" s="85"/>
      <c r="K18" s="4"/>
      <c r="O18" s="3"/>
      <c r="P18" s="3" t="s">
        <v>528</v>
      </c>
    </row>
    <row r="19" spans="2:16" ht="18" customHeight="1">
      <c r="G19" s="85"/>
      <c r="H19" s="85"/>
      <c r="J19" s="85"/>
      <c r="K19" s="4"/>
    </row>
    <row r="20" spans="2:16" ht="18" customHeight="1">
      <c r="B20" s="78">
        <f>B12+1</f>
        <v>23</v>
      </c>
      <c r="C20" s="229" t="s">
        <v>127</v>
      </c>
      <c r="D20" s="229"/>
      <c r="G20" s="85"/>
      <c r="H20" s="85"/>
      <c r="J20" s="85"/>
      <c r="K20" s="4"/>
    </row>
    <row r="21" spans="2:16" ht="18" customHeight="1">
      <c r="B21" s="86"/>
      <c r="C21" s="87"/>
      <c r="D21" s="87"/>
      <c r="G21" s="85"/>
      <c r="H21" s="85"/>
      <c r="J21" s="85"/>
      <c r="K21" s="4"/>
    </row>
    <row r="22" spans="2:16" ht="18" customHeight="1">
      <c r="G22" s="85"/>
      <c r="H22" s="85"/>
      <c r="J22" s="85"/>
      <c r="K22" s="4"/>
    </row>
    <row r="23" spans="2:16" ht="18" customHeight="1"/>
    <row r="24" spans="2:16" ht="27" customHeight="1">
      <c r="B24" s="78">
        <f>B20+1</f>
        <v>24</v>
      </c>
      <c r="C24" s="230" t="s">
        <v>475</v>
      </c>
      <c r="D24" s="230"/>
    </row>
    <row r="25" spans="2:16" ht="27" customHeight="1">
      <c r="B25" s="78"/>
      <c r="C25" s="88"/>
      <c r="D25" s="88"/>
    </row>
    <row r="26" spans="2:16" ht="27" customHeight="1">
      <c r="C26" s="10"/>
    </row>
    <row r="27" spans="2:16" ht="27" customHeight="1">
      <c r="B27" s="78">
        <f>B24+1</f>
        <v>25</v>
      </c>
      <c r="C27" s="230" t="s">
        <v>474</v>
      </c>
      <c r="D27" s="230"/>
    </row>
    <row r="28" spans="2:16" ht="27" customHeight="1"/>
    <row r="29" spans="2:16" ht="27" customHeight="1"/>
    <row r="30" spans="2:16" ht="27" customHeight="1">
      <c r="B30" s="78">
        <f>B27+1</f>
        <v>26</v>
      </c>
      <c r="C30" s="231" t="s">
        <v>314</v>
      </c>
      <c r="D30" s="230"/>
    </row>
  </sheetData>
  <mergeCells count="21">
    <mergeCell ref="C20:D20"/>
    <mergeCell ref="C24:D24"/>
    <mergeCell ref="C27:D27"/>
    <mergeCell ref="C30:D30"/>
    <mergeCell ref="D10:I10"/>
    <mergeCell ref="K10:L10"/>
    <mergeCell ref="D11:I11"/>
    <mergeCell ref="K11:L11"/>
    <mergeCell ref="C8:H8"/>
    <mergeCell ref="E7:F7"/>
    <mergeCell ref="G7:J7"/>
    <mergeCell ref="K8:L8"/>
    <mergeCell ref="K9:L9"/>
    <mergeCell ref="C1:J1"/>
    <mergeCell ref="K1:L1"/>
    <mergeCell ref="E2:J2"/>
    <mergeCell ref="C3:J3"/>
    <mergeCell ref="E6:F6"/>
    <mergeCell ref="G6:J6"/>
    <mergeCell ref="K6:L6"/>
    <mergeCell ref="K2:L4"/>
  </mergeCells>
  <printOptions horizontalCentered="1"/>
  <pageMargins left="0.25" right="0.25" top="0.75" bottom="0.75" header="0.3" footer="0.3"/>
  <pageSetup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Macro1">
                <anchor moveWithCells="1" sizeWithCells="1">
                  <from>
                    <xdr:col>13</xdr:col>
                    <xdr:colOff>12700</xdr:colOff>
                    <xdr:row>8</xdr:row>
                    <xdr:rowOff>12700</xdr:rowOff>
                  </from>
                  <to>
                    <xdr:col>14</xdr:col>
                    <xdr:colOff>342900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400"/>
  <sheetViews>
    <sheetView workbookViewId="0">
      <pane xSplit="6" ySplit="8" topLeftCell="G9" activePane="bottomRight" state="frozen"/>
      <selection pane="topRight"/>
      <selection pane="bottomLeft"/>
      <selection pane="bottomRight" activeCell="D7" sqref="D7:E7"/>
    </sheetView>
  </sheetViews>
  <sheetFormatPr defaultColWidth="9" defaultRowHeight="18.75" customHeight="1"/>
  <cols>
    <col min="1" max="1" width="8" customWidth="1"/>
    <col min="2" max="2" width="19.1796875" customWidth="1"/>
    <col min="3" max="3" width="14" style="21" customWidth="1"/>
    <col min="4" max="4" width="17.1796875" customWidth="1"/>
    <col min="5" max="5" width="13.81640625" style="22" customWidth="1"/>
    <col min="6" max="7" width="14.54296875" style="23" customWidth="1"/>
  </cols>
  <sheetData>
    <row r="1" spans="1:7" ht="18.75" customHeight="1">
      <c r="A1" s="232" t="s">
        <v>128</v>
      </c>
      <c r="B1" s="233"/>
      <c r="C1" s="233"/>
      <c r="D1" s="233"/>
      <c r="E1" s="233"/>
      <c r="F1" s="233"/>
      <c r="G1" s="234"/>
    </row>
    <row r="2" spans="1:7" ht="18.75" customHeight="1">
      <c r="A2" s="198" t="s">
        <v>1</v>
      </c>
      <c r="B2" s="199"/>
      <c r="C2" s="235" t="s">
        <v>129</v>
      </c>
      <c r="D2" s="235"/>
      <c r="E2" s="235"/>
      <c r="F2" s="24"/>
      <c r="G2" s="25"/>
    </row>
    <row r="3" spans="1:7" ht="18.75" customHeight="1">
      <c r="A3" s="198" t="s">
        <v>3</v>
      </c>
      <c r="B3" s="199"/>
      <c r="C3" s="236" t="s">
        <v>4</v>
      </c>
      <c r="D3" s="236"/>
      <c r="E3" s="236"/>
      <c r="F3" s="24"/>
      <c r="G3" s="26"/>
    </row>
    <row r="4" spans="1:7" ht="18.75" customHeight="1">
      <c r="A4" s="242" t="s">
        <v>5</v>
      </c>
      <c r="B4" s="27" t="s">
        <v>6</v>
      </c>
      <c r="C4" s="238">
        <v>1577169</v>
      </c>
      <c r="D4" s="238"/>
      <c r="E4" s="28"/>
      <c r="F4" s="29"/>
      <c r="G4" s="26"/>
    </row>
    <row r="5" spans="1:7" ht="18.75" customHeight="1">
      <c r="A5" s="242"/>
      <c r="B5" s="30" t="s">
        <v>7</v>
      </c>
      <c r="C5" s="31">
        <v>1577169</v>
      </c>
      <c r="D5" s="32" t="s">
        <v>8</v>
      </c>
      <c r="E5" s="31"/>
      <c r="F5" s="237" t="s">
        <v>130</v>
      </c>
      <c r="G5" s="237" t="s">
        <v>131</v>
      </c>
    </row>
    <row r="6" spans="1:7" ht="18.75" customHeight="1">
      <c r="A6" s="242"/>
      <c r="B6" s="33" t="s">
        <v>9</v>
      </c>
      <c r="C6" s="31"/>
      <c r="D6" s="32" t="s">
        <v>10</v>
      </c>
      <c r="E6" s="34"/>
      <c r="F6" s="237"/>
      <c r="G6" s="237"/>
    </row>
    <row r="7" spans="1:7" ht="24" customHeight="1">
      <c r="A7" s="243"/>
      <c r="B7" s="239" t="s">
        <v>13</v>
      </c>
      <c r="C7" s="239"/>
      <c r="D7" s="240">
        <f>C4+C5+C6+E5+E6</f>
        <v>3154338</v>
      </c>
      <c r="E7" s="241"/>
      <c r="F7" s="35" t="str">
        <f>LOOKUP(2,1/(NOT(ISBLANK(F9:F200))),F9:F200)</f>
        <v/>
      </c>
      <c r="G7" s="36" t="str">
        <f>LOOKUP(2,1/(NOT(ISBLANK(G9:G200))),G9:G200)</f>
        <v/>
      </c>
    </row>
    <row r="8" spans="1:7" s="20" customFormat="1" ht="37.5" customHeight="1">
      <c r="A8" s="37" t="s">
        <v>14</v>
      </c>
      <c r="B8" s="38" t="s">
        <v>15</v>
      </c>
      <c r="C8" s="38" t="s">
        <v>16</v>
      </c>
      <c r="D8" s="39" t="s">
        <v>17</v>
      </c>
      <c r="E8" s="40" t="s">
        <v>18</v>
      </c>
      <c r="F8" s="39" t="s">
        <v>19</v>
      </c>
      <c r="G8" s="41" t="s">
        <v>20</v>
      </c>
    </row>
    <row r="9" spans="1:7" ht="18.75" customHeight="1">
      <c r="A9" s="42">
        <v>1</v>
      </c>
      <c r="B9" s="43" t="s">
        <v>132</v>
      </c>
      <c r="C9" s="44" t="s">
        <v>133</v>
      </c>
      <c r="D9" s="45" t="s">
        <v>134</v>
      </c>
      <c r="E9" s="46">
        <v>14450</v>
      </c>
      <c r="F9" s="47">
        <f>D7-E9</f>
        <v>3139888</v>
      </c>
      <c r="G9" s="47">
        <v>14450</v>
      </c>
    </row>
    <row r="10" spans="1:7" ht="18.75" customHeight="1">
      <c r="A10" s="42">
        <v>2</v>
      </c>
      <c r="B10" s="43" t="s">
        <v>135</v>
      </c>
      <c r="C10" s="44" t="s">
        <v>133</v>
      </c>
      <c r="D10" s="45" t="s">
        <v>136</v>
      </c>
      <c r="E10" s="46">
        <v>87080</v>
      </c>
      <c r="F10" s="47">
        <f t="shared" ref="F10:F41" si="0">F9-E10</f>
        <v>3052808</v>
      </c>
      <c r="G10" s="47">
        <f t="shared" ref="G10:G41" si="1">G9+E10</f>
        <v>101530</v>
      </c>
    </row>
    <row r="11" spans="1:7" ht="18.75" customHeight="1">
      <c r="A11" s="42">
        <v>3</v>
      </c>
      <c r="B11" s="43" t="s">
        <v>137</v>
      </c>
      <c r="C11" s="44" t="s">
        <v>133</v>
      </c>
      <c r="D11" s="45" t="s">
        <v>134</v>
      </c>
      <c r="E11" s="46">
        <v>41800</v>
      </c>
      <c r="F11" s="47">
        <f t="shared" si="0"/>
        <v>3011008</v>
      </c>
      <c r="G11" s="47">
        <f t="shared" si="1"/>
        <v>143330</v>
      </c>
    </row>
    <row r="12" spans="1:7" ht="18.75" customHeight="1">
      <c r="A12" s="42">
        <v>4</v>
      </c>
      <c r="B12" s="43" t="s">
        <v>138</v>
      </c>
      <c r="C12" s="44" t="s">
        <v>133</v>
      </c>
      <c r="D12" s="45" t="s">
        <v>139</v>
      </c>
      <c r="E12" s="46">
        <v>118850</v>
      </c>
      <c r="F12" s="47">
        <f t="shared" si="0"/>
        <v>2892158</v>
      </c>
      <c r="G12" s="47">
        <f t="shared" si="1"/>
        <v>262180</v>
      </c>
    </row>
    <row r="13" spans="1:7" ht="18.75" customHeight="1">
      <c r="A13" s="42">
        <v>5</v>
      </c>
      <c r="B13" s="43" t="s">
        <v>140</v>
      </c>
      <c r="C13" s="44">
        <v>41431</v>
      </c>
      <c r="D13" s="45" t="s">
        <v>141</v>
      </c>
      <c r="E13" s="46">
        <v>11015</v>
      </c>
      <c r="F13" s="47">
        <f t="shared" si="0"/>
        <v>2881143</v>
      </c>
      <c r="G13" s="47">
        <f t="shared" si="1"/>
        <v>273195</v>
      </c>
    </row>
    <row r="14" spans="1:7" ht="18.75" customHeight="1">
      <c r="A14" s="42">
        <v>6</v>
      </c>
      <c r="B14" s="43" t="s">
        <v>142</v>
      </c>
      <c r="C14" s="44">
        <v>41431</v>
      </c>
      <c r="D14" s="45" t="s">
        <v>136</v>
      </c>
      <c r="E14" s="46">
        <v>11300</v>
      </c>
      <c r="F14" s="47">
        <f t="shared" si="0"/>
        <v>2869843</v>
      </c>
      <c r="G14" s="47">
        <f t="shared" si="1"/>
        <v>284495</v>
      </c>
    </row>
    <row r="15" spans="1:7" ht="18.75" customHeight="1">
      <c r="A15" s="42">
        <v>7</v>
      </c>
      <c r="B15" s="43" t="s">
        <v>143</v>
      </c>
      <c r="C15" s="44" t="s">
        <v>144</v>
      </c>
      <c r="D15" s="45" t="s">
        <v>141</v>
      </c>
      <c r="E15" s="46">
        <v>65020.25</v>
      </c>
      <c r="F15" s="47">
        <f t="shared" si="0"/>
        <v>2804822.75</v>
      </c>
      <c r="G15" s="47">
        <f t="shared" si="1"/>
        <v>349515.25</v>
      </c>
    </row>
    <row r="16" spans="1:7" ht="18.75" customHeight="1">
      <c r="A16" s="42">
        <v>8</v>
      </c>
      <c r="B16" s="48" t="s">
        <v>145</v>
      </c>
      <c r="C16" s="44" t="s">
        <v>146</v>
      </c>
      <c r="D16" s="45" t="s">
        <v>136</v>
      </c>
      <c r="E16" s="46">
        <v>7050</v>
      </c>
      <c r="F16" s="47">
        <f t="shared" si="0"/>
        <v>2797772.75</v>
      </c>
      <c r="G16" s="47">
        <f t="shared" si="1"/>
        <v>356565.25</v>
      </c>
    </row>
    <row r="17" spans="1:7" ht="15.5">
      <c r="A17" s="42">
        <v>9</v>
      </c>
      <c r="B17" s="48" t="s">
        <v>147</v>
      </c>
      <c r="C17" s="44" t="s">
        <v>146</v>
      </c>
      <c r="D17" s="45" t="s">
        <v>136</v>
      </c>
      <c r="E17" s="46">
        <v>67968.75</v>
      </c>
      <c r="F17" s="47">
        <f t="shared" si="0"/>
        <v>2729804</v>
      </c>
      <c r="G17" s="47">
        <f t="shared" si="1"/>
        <v>424534</v>
      </c>
    </row>
    <row r="18" spans="1:7" ht="15.5">
      <c r="A18" s="42">
        <v>10</v>
      </c>
      <c r="B18" s="48" t="s">
        <v>148</v>
      </c>
      <c r="C18" s="44" t="s">
        <v>149</v>
      </c>
      <c r="D18" s="45" t="s">
        <v>141</v>
      </c>
      <c r="E18" s="46">
        <v>12300</v>
      </c>
      <c r="F18" s="47">
        <f t="shared" si="0"/>
        <v>2717504</v>
      </c>
      <c r="G18" s="47">
        <f t="shared" si="1"/>
        <v>436834</v>
      </c>
    </row>
    <row r="19" spans="1:7" ht="15.5">
      <c r="A19" s="42">
        <v>11</v>
      </c>
      <c r="B19" s="48" t="s">
        <v>150</v>
      </c>
      <c r="C19" s="44" t="s">
        <v>149</v>
      </c>
      <c r="D19" s="45" t="s">
        <v>141</v>
      </c>
      <c r="E19" s="46">
        <v>27115</v>
      </c>
      <c r="F19" s="47">
        <f t="shared" si="0"/>
        <v>2690389</v>
      </c>
      <c r="G19" s="47">
        <f t="shared" si="1"/>
        <v>463949</v>
      </c>
    </row>
    <row r="20" spans="1:7" ht="15.5">
      <c r="A20" s="42">
        <v>12</v>
      </c>
      <c r="B20" s="48" t="s">
        <v>151</v>
      </c>
      <c r="C20" s="44">
        <v>41312</v>
      </c>
      <c r="D20" s="45" t="s">
        <v>136</v>
      </c>
      <c r="E20" s="46">
        <v>4000</v>
      </c>
      <c r="F20" s="47">
        <f t="shared" si="0"/>
        <v>2686389</v>
      </c>
      <c r="G20" s="47">
        <f t="shared" si="1"/>
        <v>467949</v>
      </c>
    </row>
    <row r="21" spans="1:7" ht="15.5">
      <c r="A21" s="42">
        <v>13</v>
      </c>
      <c r="B21" s="48" t="s">
        <v>152</v>
      </c>
      <c r="C21" s="44">
        <v>41312</v>
      </c>
      <c r="D21" s="45" t="s">
        <v>153</v>
      </c>
      <c r="E21" s="46">
        <v>61450</v>
      </c>
      <c r="F21" s="47">
        <f t="shared" si="0"/>
        <v>2624939</v>
      </c>
      <c r="G21" s="47">
        <f t="shared" si="1"/>
        <v>529399</v>
      </c>
    </row>
    <row r="22" spans="1:7" ht="15.5">
      <c r="A22" s="42">
        <v>14</v>
      </c>
      <c r="B22" s="48" t="s">
        <v>154</v>
      </c>
      <c r="C22" s="44">
        <v>41312</v>
      </c>
      <c r="D22" s="45" t="s">
        <v>139</v>
      </c>
      <c r="E22" s="46">
        <v>8750</v>
      </c>
      <c r="F22" s="47">
        <f t="shared" si="0"/>
        <v>2616189</v>
      </c>
      <c r="G22" s="47">
        <f t="shared" si="1"/>
        <v>538149</v>
      </c>
    </row>
    <row r="23" spans="1:7" ht="15.5">
      <c r="A23" s="42">
        <v>15</v>
      </c>
      <c r="B23" s="48" t="s">
        <v>155</v>
      </c>
      <c r="C23" s="44">
        <v>41585</v>
      </c>
      <c r="D23" s="45" t="s">
        <v>156</v>
      </c>
      <c r="E23" s="46">
        <v>22428</v>
      </c>
      <c r="F23" s="47">
        <f t="shared" si="0"/>
        <v>2593761</v>
      </c>
      <c r="G23" s="47">
        <f t="shared" si="1"/>
        <v>560577</v>
      </c>
    </row>
    <row r="24" spans="1:7" ht="15.5">
      <c r="A24" s="42">
        <v>16</v>
      </c>
      <c r="B24" s="48" t="s">
        <v>157</v>
      </c>
      <c r="C24" s="44" t="s">
        <v>158</v>
      </c>
      <c r="D24" s="45" t="s">
        <v>141</v>
      </c>
      <c r="E24" s="46">
        <v>15950</v>
      </c>
      <c r="F24" s="47">
        <f t="shared" si="0"/>
        <v>2577811</v>
      </c>
      <c r="G24" s="47">
        <f t="shared" si="1"/>
        <v>576527</v>
      </c>
    </row>
    <row r="25" spans="1:7" ht="15.5">
      <c r="A25" s="42">
        <v>17</v>
      </c>
      <c r="B25" s="49" t="s">
        <v>159</v>
      </c>
      <c r="C25" s="50" t="s">
        <v>160</v>
      </c>
      <c r="D25" s="51" t="s">
        <v>153</v>
      </c>
      <c r="E25" s="52">
        <v>1150</v>
      </c>
      <c r="F25" s="47">
        <f t="shared" si="0"/>
        <v>2576661</v>
      </c>
      <c r="G25" s="47">
        <f t="shared" si="1"/>
        <v>577677</v>
      </c>
    </row>
    <row r="26" spans="1:7" ht="15.5">
      <c r="A26" s="42">
        <v>18</v>
      </c>
      <c r="B26" s="53" t="s">
        <v>161</v>
      </c>
      <c r="C26" s="44">
        <v>41373</v>
      </c>
      <c r="D26" s="45" t="s">
        <v>162</v>
      </c>
      <c r="E26" s="46">
        <v>104770</v>
      </c>
      <c r="F26" s="47">
        <f t="shared" si="0"/>
        <v>2471891</v>
      </c>
      <c r="G26" s="47">
        <f t="shared" si="1"/>
        <v>682447</v>
      </c>
    </row>
    <row r="27" spans="1:7" ht="15.5">
      <c r="A27" s="42">
        <v>19</v>
      </c>
      <c r="B27" s="54" t="s">
        <v>163</v>
      </c>
      <c r="C27" s="44">
        <v>41373</v>
      </c>
      <c r="D27" s="45" t="s">
        <v>139</v>
      </c>
      <c r="E27" s="46">
        <v>65800</v>
      </c>
      <c r="F27" s="47">
        <f t="shared" si="0"/>
        <v>2406091</v>
      </c>
      <c r="G27" s="47">
        <f t="shared" si="1"/>
        <v>748247</v>
      </c>
    </row>
    <row r="28" spans="1:7" ht="15.5">
      <c r="A28" s="42">
        <v>20</v>
      </c>
      <c r="B28" s="54" t="s">
        <v>164</v>
      </c>
      <c r="C28" s="43" t="s">
        <v>165</v>
      </c>
      <c r="D28" s="45" t="s">
        <v>141</v>
      </c>
      <c r="E28" s="46">
        <v>15950</v>
      </c>
      <c r="F28" s="47">
        <f t="shared" si="0"/>
        <v>2390141</v>
      </c>
      <c r="G28" s="47">
        <f t="shared" si="1"/>
        <v>764197</v>
      </c>
    </row>
    <row r="29" spans="1:7" ht="15.5">
      <c r="A29" s="42">
        <v>21</v>
      </c>
      <c r="B29" s="55" t="s">
        <v>166</v>
      </c>
      <c r="C29" s="43" t="s">
        <v>27</v>
      </c>
      <c r="D29" s="45" t="s">
        <v>139</v>
      </c>
      <c r="E29" s="56">
        <v>9280</v>
      </c>
      <c r="F29" s="47">
        <f t="shared" si="0"/>
        <v>2380861</v>
      </c>
      <c r="G29" s="47">
        <f t="shared" si="1"/>
        <v>773477</v>
      </c>
    </row>
    <row r="30" spans="1:7" ht="15.5">
      <c r="A30" s="42">
        <v>22</v>
      </c>
      <c r="B30" s="54" t="s">
        <v>167</v>
      </c>
      <c r="C30" s="43" t="s">
        <v>27</v>
      </c>
      <c r="D30" s="45" t="s">
        <v>141</v>
      </c>
      <c r="E30" s="56">
        <v>17777</v>
      </c>
      <c r="F30" s="47">
        <f t="shared" si="0"/>
        <v>2363084</v>
      </c>
      <c r="G30" s="47">
        <f t="shared" si="1"/>
        <v>791254</v>
      </c>
    </row>
    <row r="31" spans="1:7" ht="15.5">
      <c r="A31" s="42">
        <v>23</v>
      </c>
      <c r="B31" s="54" t="s">
        <v>168</v>
      </c>
      <c r="C31" s="44" t="s">
        <v>27</v>
      </c>
      <c r="D31" s="45" t="s">
        <v>169</v>
      </c>
      <c r="E31" s="56">
        <v>146102</v>
      </c>
      <c r="F31" s="47">
        <f t="shared" si="0"/>
        <v>2216982</v>
      </c>
      <c r="G31" s="47">
        <f t="shared" si="1"/>
        <v>937356</v>
      </c>
    </row>
    <row r="32" spans="1:7" ht="15.5">
      <c r="A32" s="42">
        <v>24</v>
      </c>
      <c r="B32" s="54" t="s">
        <v>170</v>
      </c>
      <c r="C32" s="44" t="s">
        <v>27</v>
      </c>
      <c r="D32" s="45" t="s">
        <v>162</v>
      </c>
      <c r="E32" s="56">
        <v>138446</v>
      </c>
      <c r="F32" s="47">
        <f t="shared" si="0"/>
        <v>2078536</v>
      </c>
      <c r="G32" s="47">
        <f t="shared" si="1"/>
        <v>1075802</v>
      </c>
    </row>
    <row r="33" spans="1:7" ht="15.5">
      <c r="A33" s="42">
        <v>25</v>
      </c>
      <c r="B33" s="54" t="s">
        <v>171</v>
      </c>
      <c r="C33" s="44" t="s">
        <v>27</v>
      </c>
      <c r="D33" s="45" t="s">
        <v>172</v>
      </c>
      <c r="E33" s="56">
        <v>15950</v>
      </c>
      <c r="F33" s="47">
        <f t="shared" si="0"/>
        <v>2062586</v>
      </c>
      <c r="G33" s="47">
        <f t="shared" si="1"/>
        <v>1091752</v>
      </c>
    </row>
    <row r="34" spans="1:7" ht="15.5">
      <c r="A34" s="42">
        <v>26</v>
      </c>
      <c r="B34" s="54" t="s">
        <v>173</v>
      </c>
      <c r="C34" s="44" t="s">
        <v>27</v>
      </c>
      <c r="D34" s="45" t="s">
        <v>172</v>
      </c>
      <c r="E34" s="56">
        <v>118900</v>
      </c>
      <c r="F34" s="47">
        <f t="shared" si="0"/>
        <v>1943686</v>
      </c>
      <c r="G34" s="47">
        <f t="shared" si="1"/>
        <v>1210652</v>
      </c>
    </row>
    <row r="35" spans="1:7" ht="15.5">
      <c r="A35" s="42">
        <v>27</v>
      </c>
      <c r="B35" s="54" t="s">
        <v>174</v>
      </c>
      <c r="C35" s="44">
        <v>41317</v>
      </c>
      <c r="D35" s="45" t="s">
        <v>172</v>
      </c>
      <c r="E35" s="56">
        <v>29650</v>
      </c>
      <c r="F35" s="47">
        <f t="shared" si="0"/>
        <v>1914036</v>
      </c>
      <c r="G35" s="47">
        <f t="shared" si="1"/>
        <v>1240302</v>
      </c>
    </row>
    <row r="36" spans="1:7" ht="15.5">
      <c r="A36" s="42">
        <v>28</v>
      </c>
      <c r="B36" s="54" t="s">
        <v>175</v>
      </c>
      <c r="C36" s="44">
        <v>41406</v>
      </c>
      <c r="D36" s="45" t="s">
        <v>172</v>
      </c>
      <c r="E36" s="56">
        <v>15950</v>
      </c>
      <c r="F36" s="47">
        <f t="shared" si="0"/>
        <v>1898086</v>
      </c>
      <c r="G36" s="47">
        <f t="shared" si="1"/>
        <v>1256252</v>
      </c>
    </row>
    <row r="37" spans="1:7" ht="15.5">
      <c r="A37" s="42">
        <v>29</v>
      </c>
      <c r="B37" s="54" t="s">
        <v>176</v>
      </c>
      <c r="C37" s="44" t="s">
        <v>63</v>
      </c>
      <c r="D37" s="45" t="s">
        <v>177</v>
      </c>
      <c r="E37" s="56">
        <v>93090</v>
      </c>
      <c r="F37" s="47">
        <f t="shared" si="0"/>
        <v>1804996</v>
      </c>
      <c r="G37" s="47">
        <f t="shared" si="1"/>
        <v>1349342</v>
      </c>
    </row>
    <row r="38" spans="1:7" ht="15.5">
      <c r="A38" s="42">
        <v>30</v>
      </c>
      <c r="B38" s="54" t="s">
        <v>178</v>
      </c>
      <c r="C38" s="44" t="s">
        <v>179</v>
      </c>
      <c r="D38" s="45" t="s">
        <v>172</v>
      </c>
      <c r="E38" s="56">
        <v>15950</v>
      </c>
      <c r="F38" s="47">
        <f t="shared" si="0"/>
        <v>1789046</v>
      </c>
      <c r="G38" s="47">
        <f t="shared" si="1"/>
        <v>1365292</v>
      </c>
    </row>
    <row r="39" spans="1:7" ht="15.5">
      <c r="A39" s="42">
        <v>31</v>
      </c>
      <c r="B39" s="54" t="s">
        <v>180</v>
      </c>
      <c r="C39" s="44">
        <v>41792</v>
      </c>
      <c r="D39" s="45" t="s">
        <v>172</v>
      </c>
      <c r="E39" s="56">
        <v>15950</v>
      </c>
      <c r="F39" s="47">
        <f t="shared" si="0"/>
        <v>1773096</v>
      </c>
      <c r="G39" s="47">
        <f t="shared" si="1"/>
        <v>1381242</v>
      </c>
    </row>
    <row r="40" spans="1:7" ht="15.5">
      <c r="A40" s="42">
        <v>32</v>
      </c>
      <c r="B40" s="54" t="s">
        <v>181</v>
      </c>
      <c r="C40" s="44">
        <v>41945</v>
      </c>
      <c r="D40" s="45" t="s">
        <v>172</v>
      </c>
      <c r="E40" s="57">
        <v>15950</v>
      </c>
      <c r="F40" s="47">
        <f t="shared" si="0"/>
        <v>1757146</v>
      </c>
      <c r="G40" s="47">
        <f t="shared" si="1"/>
        <v>1397192</v>
      </c>
    </row>
    <row r="41" spans="1:7" ht="15.5">
      <c r="A41" s="42">
        <v>33</v>
      </c>
      <c r="B41" s="43" t="s">
        <v>182</v>
      </c>
      <c r="C41" s="44" t="s">
        <v>183</v>
      </c>
      <c r="D41" s="45" t="s">
        <v>184</v>
      </c>
      <c r="E41" s="46">
        <v>15602</v>
      </c>
      <c r="F41" s="47">
        <f t="shared" si="0"/>
        <v>1741544</v>
      </c>
      <c r="G41" s="47">
        <f t="shared" si="1"/>
        <v>1412794</v>
      </c>
    </row>
    <row r="42" spans="1:7" ht="15.5">
      <c r="A42" s="42">
        <v>34</v>
      </c>
      <c r="B42" s="43" t="s">
        <v>185</v>
      </c>
      <c r="C42" s="44" t="s">
        <v>186</v>
      </c>
      <c r="D42" s="45" t="s">
        <v>187</v>
      </c>
      <c r="E42" s="46">
        <v>15120</v>
      </c>
      <c r="F42" s="47">
        <f t="shared" ref="F42:F71" si="2">F41-E42</f>
        <v>1726424</v>
      </c>
      <c r="G42" s="47">
        <f t="shared" ref="G42:G71" si="3">G41+E42</f>
        <v>1427914</v>
      </c>
    </row>
    <row r="43" spans="1:7" ht="15.5">
      <c r="A43" s="42">
        <v>35</v>
      </c>
      <c r="B43" s="43" t="s">
        <v>188</v>
      </c>
      <c r="C43" s="44" t="s">
        <v>189</v>
      </c>
      <c r="D43" s="45" t="s">
        <v>187</v>
      </c>
      <c r="E43" s="46">
        <v>82219.5</v>
      </c>
      <c r="F43" s="47">
        <f t="shared" si="2"/>
        <v>1644204.5</v>
      </c>
      <c r="G43" s="47">
        <f t="shared" si="3"/>
        <v>1510133.5</v>
      </c>
    </row>
    <row r="44" spans="1:7" ht="15.5">
      <c r="A44" s="42">
        <v>36</v>
      </c>
      <c r="B44" s="43" t="s">
        <v>190</v>
      </c>
      <c r="C44" s="44" t="s">
        <v>191</v>
      </c>
      <c r="D44" s="45" t="s">
        <v>187</v>
      </c>
      <c r="E44" s="46">
        <v>15950</v>
      </c>
      <c r="F44" s="47">
        <f t="shared" si="2"/>
        <v>1628254.5</v>
      </c>
      <c r="G44" s="47">
        <f t="shared" si="3"/>
        <v>1526083.5</v>
      </c>
    </row>
    <row r="45" spans="1:7" ht="15.5">
      <c r="A45" s="42">
        <v>37</v>
      </c>
      <c r="B45" s="43" t="s">
        <v>192</v>
      </c>
      <c r="C45" s="44" t="s">
        <v>193</v>
      </c>
      <c r="D45" s="45" t="s">
        <v>194</v>
      </c>
      <c r="E45" s="46">
        <v>23687.200000000001</v>
      </c>
      <c r="F45" s="47">
        <f t="shared" si="2"/>
        <v>1604567.3</v>
      </c>
      <c r="G45" s="47">
        <f t="shared" si="3"/>
        <v>1549770.7</v>
      </c>
    </row>
    <row r="46" spans="1:7" ht="15.5">
      <c r="A46" s="42">
        <v>38</v>
      </c>
      <c r="B46" s="43" t="s">
        <v>195</v>
      </c>
      <c r="C46" s="44">
        <v>41915</v>
      </c>
      <c r="D46" s="45" t="s">
        <v>194</v>
      </c>
      <c r="E46" s="46">
        <v>145116</v>
      </c>
      <c r="F46" s="47">
        <f t="shared" si="2"/>
        <v>1459451.3</v>
      </c>
      <c r="G46" s="47">
        <f t="shared" si="3"/>
        <v>1694886.7</v>
      </c>
    </row>
    <row r="47" spans="1:7" ht="15.5">
      <c r="A47" s="42">
        <v>39</v>
      </c>
      <c r="B47" s="43" t="s">
        <v>196</v>
      </c>
      <c r="C47" s="44" t="s">
        <v>197</v>
      </c>
      <c r="D47" s="45" t="s">
        <v>198</v>
      </c>
      <c r="E47" s="46">
        <v>11426</v>
      </c>
      <c r="F47" s="47">
        <f t="shared" si="2"/>
        <v>1448025.3</v>
      </c>
      <c r="G47" s="47">
        <f t="shared" si="3"/>
        <v>1706312.7</v>
      </c>
    </row>
    <row r="48" spans="1:7" ht="15.5">
      <c r="A48" s="42">
        <v>40</v>
      </c>
      <c r="B48" s="43" t="s">
        <v>199</v>
      </c>
      <c r="C48" s="44" t="s">
        <v>197</v>
      </c>
      <c r="D48" s="45" t="s">
        <v>194</v>
      </c>
      <c r="E48" s="46">
        <v>8816</v>
      </c>
      <c r="F48" s="47">
        <f t="shared" si="2"/>
        <v>1439209.3</v>
      </c>
      <c r="G48" s="47">
        <f t="shared" si="3"/>
        <v>1715128.7</v>
      </c>
    </row>
    <row r="49" spans="1:7" ht="15.5">
      <c r="A49" s="42">
        <v>41</v>
      </c>
      <c r="B49" s="43" t="s">
        <v>200</v>
      </c>
      <c r="C49" s="44" t="s">
        <v>201</v>
      </c>
      <c r="D49" s="45" t="s">
        <v>202</v>
      </c>
      <c r="E49" s="46">
        <v>119828</v>
      </c>
      <c r="F49" s="47">
        <f t="shared" si="2"/>
        <v>1319381.3</v>
      </c>
      <c r="G49" s="47">
        <f t="shared" si="3"/>
        <v>1834956.7</v>
      </c>
    </row>
    <row r="50" spans="1:7" ht="15.5">
      <c r="A50" s="42">
        <v>42</v>
      </c>
      <c r="B50" s="43" t="s">
        <v>203</v>
      </c>
      <c r="C50" s="44" t="s">
        <v>204</v>
      </c>
      <c r="D50" s="45" t="s">
        <v>187</v>
      </c>
      <c r="E50" s="46">
        <v>99239</v>
      </c>
      <c r="F50" s="47">
        <f t="shared" si="2"/>
        <v>1220142.3</v>
      </c>
      <c r="G50" s="47">
        <f t="shared" si="3"/>
        <v>1934195.7</v>
      </c>
    </row>
    <row r="51" spans="1:7" ht="15.5">
      <c r="A51" s="42">
        <v>43</v>
      </c>
      <c r="B51" s="43" t="s">
        <v>205</v>
      </c>
      <c r="C51" s="44" t="s">
        <v>204</v>
      </c>
      <c r="D51" s="45" t="s">
        <v>187</v>
      </c>
      <c r="E51" s="46">
        <v>14950</v>
      </c>
      <c r="F51" s="47">
        <f t="shared" si="2"/>
        <v>1205192.3</v>
      </c>
      <c r="G51" s="47">
        <f t="shared" si="3"/>
        <v>1949145.7</v>
      </c>
    </row>
    <row r="52" spans="1:7" ht="15.5">
      <c r="A52" s="42">
        <v>44</v>
      </c>
      <c r="B52" s="43" t="s">
        <v>206</v>
      </c>
      <c r="C52" s="44" t="s">
        <v>207</v>
      </c>
      <c r="D52" s="45" t="s">
        <v>194</v>
      </c>
      <c r="E52" s="46">
        <v>24244</v>
      </c>
      <c r="F52" s="47">
        <f t="shared" si="2"/>
        <v>1180948.3</v>
      </c>
      <c r="G52" s="47">
        <f t="shared" si="3"/>
        <v>1973389.7</v>
      </c>
    </row>
    <row r="53" spans="1:7" ht="15.5">
      <c r="A53" s="42">
        <v>45</v>
      </c>
      <c r="B53" s="48" t="s">
        <v>208</v>
      </c>
      <c r="C53" s="44" t="s">
        <v>209</v>
      </c>
      <c r="D53" s="45" t="s">
        <v>187</v>
      </c>
      <c r="E53" s="46">
        <v>15100</v>
      </c>
      <c r="F53" s="47">
        <f t="shared" si="2"/>
        <v>1165848.3</v>
      </c>
      <c r="G53" s="47">
        <f t="shared" si="3"/>
        <v>1988489.7</v>
      </c>
    </row>
    <row r="54" spans="1:7" ht="15.5">
      <c r="A54" s="42">
        <v>46</v>
      </c>
      <c r="B54" s="48" t="s">
        <v>210</v>
      </c>
      <c r="C54" s="44" t="s">
        <v>211</v>
      </c>
      <c r="D54" s="45" t="s">
        <v>198</v>
      </c>
      <c r="E54" s="46">
        <v>59102</v>
      </c>
      <c r="F54" s="47">
        <f t="shared" si="2"/>
        <v>1106746.3</v>
      </c>
      <c r="G54" s="47">
        <f t="shared" si="3"/>
        <v>2047591.7</v>
      </c>
    </row>
    <row r="55" spans="1:7" ht="15.5">
      <c r="A55" s="42">
        <v>47</v>
      </c>
      <c r="B55" s="48" t="s">
        <v>212</v>
      </c>
      <c r="C55" s="44">
        <v>41677</v>
      </c>
      <c r="D55" s="45" t="s">
        <v>202</v>
      </c>
      <c r="E55" s="46">
        <v>32944</v>
      </c>
      <c r="F55" s="47">
        <f t="shared" si="2"/>
        <v>1073802.3</v>
      </c>
      <c r="G55" s="47">
        <f t="shared" si="3"/>
        <v>2080535.7</v>
      </c>
    </row>
    <row r="56" spans="1:7" ht="15.5">
      <c r="A56" s="42">
        <v>48</v>
      </c>
      <c r="B56" s="48" t="s">
        <v>213</v>
      </c>
      <c r="C56" s="44" t="s">
        <v>214</v>
      </c>
      <c r="D56" s="45" t="s">
        <v>187</v>
      </c>
      <c r="E56" s="46">
        <v>15950</v>
      </c>
      <c r="F56" s="47">
        <f t="shared" si="2"/>
        <v>1057852.3</v>
      </c>
      <c r="G56" s="47">
        <f t="shared" si="3"/>
        <v>2096485.7</v>
      </c>
    </row>
    <row r="57" spans="1:7" ht="15.5">
      <c r="A57" s="42">
        <v>49</v>
      </c>
      <c r="B57" s="48" t="s">
        <v>215</v>
      </c>
      <c r="C57" s="44" t="s">
        <v>216</v>
      </c>
      <c r="D57" s="45" t="s">
        <v>187</v>
      </c>
      <c r="E57" s="46">
        <v>6330</v>
      </c>
      <c r="F57" s="47">
        <f t="shared" si="2"/>
        <v>1051522.3</v>
      </c>
      <c r="G57" s="47">
        <f t="shared" si="3"/>
        <v>2102815.7000000002</v>
      </c>
    </row>
    <row r="58" spans="1:7" ht="15.5">
      <c r="A58" s="42">
        <v>50</v>
      </c>
      <c r="B58" s="48" t="s">
        <v>217</v>
      </c>
      <c r="C58" s="44" t="s">
        <v>218</v>
      </c>
      <c r="D58" s="45" t="s">
        <v>187</v>
      </c>
      <c r="E58" s="46">
        <v>18342.5</v>
      </c>
      <c r="F58" s="47">
        <f t="shared" si="2"/>
        <v>1033179.8</v>
      </c>
      <c r="G58" s="47">
        <f t="shared" si="3"/>
        <v>2121158.2000000002</v>
      </c>
    </row>
    <row r="59" spans="1:7" ht="15.5">
      <c r="A59" s="42">
        <v>51</v>
      </c>
      <c r="B59" s="48" t="s">
        <v>219</v>
      </c>
      <c r="C59" s="44" t="s">
        <v>220</v>
      </c>
      <c r="D59" s="45" t="s">
        <v>194</v>
      </c>
      <c r="E59" s="46">
        <v>16006.84</v>
      </c>
      <c r="F59" s="47">
        <f t="shared" si="2"/>
        <v>1017172.96</v>
      </c>
      <c r="G59" s="47">
        <f t="shared" si="3"/>
        <v>2137165.04</v>
      </c>
    </row>
    <row r="60" spans="1:7" ht="15.5">
      <c r="A60" s="42">
        <v>52</v>
      </c>
      <c r="B60" s="48" t="s">
        <v>221</v>
      </c>
      <c r="C60" s="44" t="s">
        <v>222</v>
      </c>
      <c r="D60" s="45" t="s">
        <v>202</v>
      </c>
      <c r="E60" s="46">
        <v>11774</v>
      </c>
      <c r="F60" s="47">
        <f t="shared" si="2"/>
        <v>1005398.96</v>
      </c>
      <c r="G60" s="47">
        <f t="shared" si="3"/>
        <v>2148939.04</v>
      </c>
    </row>
    <row r="61" spans="1:7" ht="15.5">
      <c r="A61" s="42">
        <v>53</v>
      </c>
      <c r="B61" s="48" t="s">
        <v>223</v>
      </c>
      <c r="C61" s="44" t="s">
        <v>224</v>
      </c>
      <c r="D61" s="45" t="s">
        <v>187</v>
      </c>
      <c r="E61" s="46">
        <v>60720</v>
      </c>
      <c r="F61" s="47">
        <f t="shared" si="2"/>
        <v>944678.96</v>
      </c>
      <c r="G61" s="47">
        <f t="shared" si="3"/>
        <v>2209659.04</v>
      </c>
    </row>
    <row r="62" spans="1:7" ht="15.5">
      <c r="A62" s="42">
        <v>54</v>
      </c>
      <c r="B62" s="49" t="s">
        <v>225</v>
      </c>
      <c r="C62" s="50" t="s">
        <v>226</v>
      </c>
      <c r="D62" s="51" t="s">
        <v>187</v>
      </c>
      <c r="E62" s="52">
        <v>18342.5</v>
      </c>
      <c r="F62" s="47">
        <f t="shared" si="2"/>
        <v>926336.46</v>
      </c>
      <c r="G62" s="47">
        <f t="shared" si="3"/>
        <v>2228001.54</v>
      </c>
    </row>
    <row r="63" spans="1:7" ht="15.5">
      <c r="A63" s="42">
        <v>55</v>
      </c>
      <c r="B63" s="53" t="s">
        <v>227</v>
      </c>
      <c r="C63" s="44" t="s">
        <v>228</v>
      </c>
      <c r="D63" s="45" t="s">
        <v>187</v>
      </c>
      <c r="E63" s="46">
        <v>18342.5</v>
      </c>
      <c r="F63" s="47">
        <f t="shared" si="2"/>
        <v>907993.96</v>
      </c>
      <c r="G63" s="47">
        <f t="shared" si="3"/>
        <v>2246344.04</v>
      </c>
    </row>
    <row r="64" spans="1:7" ht="15.5">
      <c r="A64" s="42">
        <v>56</v>
      </c>
      <c r="B64" s="54" t="s">
        <v>229</v>
      </c>
      <c r="C64" s="44">
        <v>41769</v>
      </c>
      <c r="D64" s="45" t="s">
        <v>187</v>
      </c>
      <c r="E64" s="46">
        <v>23943</v>
      </c>
      <c r="F64" s="47">
        <f t="shared" si="2"/>
        <v>884050.96</v>
      </c>
      <c r="G64" s="47">
        <f t="shared" si="3"/>
        <v>2270287.04</v>
      </c>
    </row>
    <row r="65" spans="1:7" ht="15.5">
      <c r="A65" s="42">
        <v>57</v>
      </c>
      <c r="B65" s="54" t="s">
        <v>230</v>
      </c>
      <c r="C65" s="43" t="s">
        <v>231</v>
      </c>
      <c r="D65" s="45" t="s">
        <v>187</v>
      </c>
      <c r="E65" s="46">
        <v>18342.5</v>
      </c>
      <c r="F65" s="47">
        <f t="shared" si="2"/>
        <v>865708.46</v>
      </c>
      <c r="G65" s="47">
        <f t="shared" si="3"/>
        <v>2288629.54</v>
      </c>
    </row>
    <row r="66" spans="1:7" ht="15.5">
      <c r="A66" s="42">
        <v>58</v>
      </c>
      <c r="B66" s="55" t="s">
        <v>232</v>
      </c>
      <c r="C66" s="43" t="s">
        <v>233</v>
      </c>
      <c r="D66" s="45" t="s">
        <v>187</v>
      </c>
      <c r="E66" s="56">
        <v>20552.419999999998</v>
      </c>
      <c r="F66" s="47">
        <f t="shared" si="2"/>
        <v>845156.04</v>
      </c>
      <c r="G66" s="47">
        <f t="shared" si="3"/>
        <v>2309181.96</v>
      </c>
    </row>
    <row r="67" spans="1:7" ht="15.5">
      <c r="A67" s="42">
        <v>59</v>
      </c>
      <c r="B67" s="54" t="s">
        <v>234</v>
      </c>
      <c r="C67" s="43" t="s">
        <v>235</v>
      </c>
      <c r="D67" s="45" t="s">
        <v>236</v>
      </c>
      <c r="E67" s="56">
        <v>22442.25</v>
      </c>
      <c r="F67" s="47">
        <f t="shared" si="2"/>
        <v>822713.79</v>
      </c>
      <c r="G67" s="47">
        <f t="shared" si="3"/>
        <v>2331624.21</v>
      </c>
    </row>
    <row r="68" spans="1:7" ht="15.5">
      <c r="A68" s="42">
        <v>60</v>
      </c>
      <c r="B68" s="54" t="s">
        <v>237</v>
      </c>
      <c r="C68" s="43" t="s">
        <v>238</v>
      </c>
      <c r="D68" s="45" t="s">
        <v>236</v>
      </c>
      <c r="E68" s="56">
        <v>157952.5</v>
      </c>
      <c r="F68" s="47">
        <f t="shared" si="2"/>
        <v>664761.29</v>
      </c>
      <c r="G68" s="47">
        <f t="shared" si="3"/>
        <v>2489576.71</v>
      </c>
    </row>
    <row r="69" spans="1:7" ht="15.5">
      <c r="A69" s="42">
        <v>61</v>
      </c>
      <c r="B69" s="54" t="s">
        <v>239</v>
      </c>
      <c r="C69" s="43" t="s">
        <v>240</v>
      </c>
      <c r="D69" s="45" t="s">
        <v>241</v>
      </c>
      <c r="E69" s="56">
        <v>13862</v>
      </c>
      <c r="F69" s="47">
        <f t="shared" si="2"/>
        <v>650899.29</v>
      </c>
      <c r="G69" s="47">
        <f t="shared" si="3"/>
        <v>2503438.71</v>
      </c>
    </row>
    <row r="70" spans="1:7" ht="15.5">
      <c r="A70" s="42">
        <v>62</v>
      </c>
      <c r="B70" s="54" t="s">
        <v>242</v>
      </c>
      <c r="C70" s="58">
        <v>42347</v>
      </c>
      <c r="D70" s="45" t="s">
        <v>241</v>
      </c>
      <c r="E70" s="56">
        <v>14291.2</v>
      </c>
      <c r="F70" s="47">
        <f t="shared" si="2"/>
        <v>636608.09</v>
      </c>
      <c r="G70" s="47">
        <f t="shared" si="3"/>
        <v>2517729.91</v>
      </c>
    </row>
    <row r="71" spans="1:7" ht="15.5">
      <c r="A71" s="42">
        <v>63</v>
      </c>
      <c r="B71" s="54" t="s">
        <v>243</v>
      </c>
      <c r="C71" s="43" t="s">
        <v>244</v>
      </c>
      <c r="D71" s="45" t="s">
        <v>236</v>
      </c>
      <c r="E71" s="56">
        <v>18342.5</v>
      </c>
      <c r="F71" s="47">
        <f t="shared" si="2"/>
        <v>618265.59</v>
      </c>
      <c r="G71" s="47">
        <f t="shared" si="3"/>
        <v>2536072.41</v>
      </c>
    </row>
    <row r="72" spans="1:7" ht="14">
      <c r="A72" s="42">
        <v>64</v>
      </c>
      <c r="B72" s="54" t="s">
        <v>245</v>
      </c>
      <c r="C72" s="43" t="s">
        <v>246</v>
      </c>
      <c r="D72" s="45" t="s">
        <v>241</v>
      </c>
      <c r="E72" s="59">
        <v>10799.6</v>
      </c>
      <c r="F72" s="47">
        <f t="shared" ref="F72:F79" si="4">F71-E72</f>
        <v>607465.99</v>
      </c>
      <c r="G72" s="47">
        <f t="shared" ref="G72:G79" si="5">G71+E72</f>
        <v>2546872.0099999998</v>
      </c>
    </row>
    <row r="73" spans="1:7" ht="14">
      <c r="A73" s="42">
        <v>65</v>
      </c>
      <c r="B73" s="54" t="s">
        <v>247</v>
      </c>
      <c r="C73" s="43" t="s">
        <v>248</v>
      </c>
      <c r="D73" s="45" t="s">
        <v>249</v>
      </c>
      <c r="E73" s="59">
        <v>119082.5</v>
      </c>
      <c r="F73" s="47">
        <f t="shared" si="4"/>
        <v>488383.49</v>
      </c>
      <c r="G73" s="47">
        <f t="shared" si="5"/>
        <v>2665954.5099999998</v>
      </c>
    </row>
    <row r="74" spans="1:7" ht="14">
      <c r="A74" s="42">
        <v>66</v>
      </c>
      <c r="B74" s="54" t="s">
        <v>250</v>
      </c>
      <c r="C74" s="60">
        <v>42035</v>
      </c>
      <c r="D74" s="45" t="s">
        <v>236</v>
      </c>
      <c r="E74" s="59">
        <v>18342.5</v>
      </c>
      <c r="F74" s="47">
        <f t="shared" si="4"/>
        <v>470040.99</v>
      </c>
      <c r="G74" s="47">
        <f t="shared" si="5"/>
        <v>2684297.0099999998</v>
      </c>
    </row>
    <row r="75" spans="1:7" ht="14">
      <c r="A75" s="42">
        <v>67</v>
      </c>
      <c r="B75" s="54" t="s">
        <v>251</v>
      </c>
      <c r="C75" s="60">
        <v>42035</v>
      </c>
      <c r="D75" s="45" t="s">
        <v>249</v>
      </c>
      <c r="E75" s="59">
        <v>18466.13</v>
      </c>
      <c r="F75" s="47">
        <f t="shared" si="4"/>
        <v>451574.86</v>
      </c>
      <c r="G75" s="47">
        <f t="shared" si="5"/>
        <v>2702763.14</v>
      </c>
    </row>
    <row r="76" spans="1:7" ht="14">
      <c r="A76" s="42">
        <v>68</v>
      </c>
      <c r="B76" s="54" t="s">
        <v>252</v>
      </c>
      <c r="C76" s="60">
        <v>42063</v>
      </c>
      <c r="D76" s="45" t="s">
        <v>236</v>
      </c>
      <c r="E76" s="59">
        <v>18342.5</v>
      </c>
      <c r="F76" s="47">
        <f t="shared" si="4"/>
        <v>433232.36</v>
      </c>
      <c r="G76" s="47">
        <f t="shared" si="5"/>
        <v>2721105.64</v>
      </c>
    </row>
    <row r="77" spans="1:7" ht="14">
      <c r="A77" s="42">
        <v>69</v>
      </c>
      <c r="B77" s="54" t="s">
        <v>253</v>
      </c>
      <c r="C77" s="60">
        <v>42063</v>
      </c>
      <c r="D77" s="45" t="s">
        <v>249</v>
      </c>
      <c r="E77" s="59">
        <v>8581.7999999999993</v>
      </c>
      <c r="F77" s="47">
        <f t="shared" si="4"/>
        <v>424650.56</v>
      </c>
      <c r="G77" s="47">
        <f t="shared" si="5"/>
        <v>2729687.44</v>
      </c>
    </row>
    <row r="78" spans="1:7" ht="14">
      <c r="A78" s="42">
        <v>70</v>
      </c>
      <c r="B78" s="61" t="s">
        <v>254</v>
      </c>
      <c r="C78" s="44">
        <v>42077</v>
      </c>
      <c r="D78" s="45" t="s">
        <v>249</v>
      </c>
      <c r="E78" s="59">
        <v>26030.25</v>
      </c>
      <c r="F78" s="47">
        <f t="shared" si="4"/>
        <v>398620.31</v>
      </c>
      <c r="G78" s="47">
        <f t="shared" si="5"/>
        <v>2755717.69</v>
      </c>
    </row>
    <row r="79" spans="1:7" ht="14">
      <c r="A79" s="42">
        <v>71</v>
      </c>
      <c r="B79" s="61" t="s">
        <v>255</v>
      </c>
      <c r="C79" s="44">
        <v>42083</v>
      </c>
      <c r="D79" s="45" t="s">
        <v>249</v>
      </c>
      <c r="E79" s="59">
        <v>24265</v>
      </c>
      <c r="F79" s="47">
        <f t="shared" si="4"/>
        <v>374355.31</v>
      </c>
      <c r="G79" s="47">
        <f t="shared" si="5"/>
        <v>2779982.69</v>
      </c>
    </row>
    <row r="80" spans="1:7" ht="14">
      <c r="A80" s="42">
        <v>72</v>
      </c>
      <c r="B80" s="62"/>
      <c r="C80" s="44"/>
      <c r="D80" s="45"/>
      <c r="E80" s="59">
        <v>50</v>
      </c>
      <c r="F80" s="47">
        <f>IF(E80="","",F79-E80)</f>
        <v>374305.31</v>
      </c>
      <c r="G80" s="47">
        <f>IF(E80="","",G79+E80)</f>
        <v>2780032.69</v>
      </c>
    </row>
    <row r="81" spans="1:7" ht="14">
      <c r="A81" s="63"/>
      <c r="B81" s="64"/>
      <c r="C81" s="44"/>
      <c r="D81" s="65"/>
      <c r="E81" s="66"/>
      <c r="F81" s="47" t="str">
        <f t="shared" ref="F81:F144" si="6">IF(E81="","",F80-E81)</f>
        <v/>
      </c>
      <c r="G81" s="47" t="str">
        <f t="shared" ref="G81:G144" si="7">IF(E81="","",G80+E81)</f>
        <v/>
      </c>
    </row>
    <row r="82" spans="1:7" ht="14">
      <c r="A82" s="63"/>
      <c r="B82" s="64"/>
      <c r="C82" s="44"/>
      <c r="D82" s="65"/>
      <c r="E82" s="66"/>
      <c r="F82" s="47" t="str">
        <f t="shared" si="6"/>
        <v/>
      </c>
      <c r="G82" s="47" t="str">
        <f t="shared" si="7"/>
        <v/>
      </c>
    </row>
    <row r="83" spans="1:7" ht="14">
      <c r="A83" s="63"/>
      <c r="B83" s="64"/>
      <c r="C83" s="44"/>
      <c r="D83" s="65"/>
      <c r="E83" s="66"/>
      <c r="F83" s="47" t="str">
        <f t="shared" si="6"/>
        <v/>
      </c>
      <c r="G83" s="47" t="str">
        <f t="shared" si="7"/>
        <v/>
      </c>
    </row>
    <row r="84" spans="1:7" ht="14">
      <c r="A84" s="63"/>
      <c r="B84" s="64"/>
      <c r="C84" s="44"/>
      <c r="D84" s="65"/>
      <c r="E84" s="66"/>
      <c r="F84" s="47" t="str">
        <f t="shared" si="6"/>
        <v/>
      </c>
      <c r="G84" s="47" t="str">
        <f t="shared" si="7"/>
        <v/>
      </c>
    </row>
    <row r="85" spans="1:7" ht="14">
      <c r="A85" s="63"/>
      <c r="B85" s="64"/>
      <c r="C85" s="44"/>
      <c r="D85" s="65"/>
      <c r="E85" s="66"/>
      <c r="F85" s="47" t="str">
        <f t="shared" si="6"/>
        <v/>
      </c>
      <c r="G85" s="47" t="str">
        <f t="shared" si="7"/>
        <v/>
      </c>
    </row>
    <row r="86" spans="1:7" ht="17.25" customHeight="1">
      <c r="A86" s="42"/>
      <c r="B86" s="62"/>
      <c r="C86" s="44"/>
      <c r="D86" s="45"/>
      <c r="E86" s="59"/>
      <c r="F86" s="47" t="str">
        <f t="shared" si="6"/>
        <v/>
      </c>
      <c r="G86" s="47" t="str">
        <f t="shared" si="7"/>
        <v/>
      </c>
    </row>
    <row r="87" spans="1:7" ht="17.25" customHeight="1">
      <c r="A87" s="42"/>
      <c r="B87" s="62"/>
      <c r="C87" s="44"/>
      <c r="D87" s="45"/>
      <c r="E87" s="59"/>
      <c r="F87" s="47" t="str">
        <f t="shared" si="6"/>
        <v/>
      </c>
      <c r="G87" s="47" t="str">
        <f t="shared" si="7"/>
        <v/>
      </c>
    </row>
    <row r="88" spans="1:7" ht="17.25" customHeight="1">
      <c r="A88" s="42"/>
      <c r="B88" s="62"/>
      <c r="C88" s="44"/>
      <c r="D88" s="45"/>
      <c r="E88" s="59"/>
      <c r="F88" s="47" t="str">
        <f t="shared" si="6"/>
        <v/>
      </c>
      <c r="G88" s="47" t="str">
        <f t="shared" si="7"/>
        <v/>
      </c>
    </row>
    <row r="89" spans="1:7" ht="17.25" customHeight="1">
      <c r="A89" s="42"/>
      <c r="B89" s="62"/>
      <c r="C89" s="44"/>
      <c r="D89" s="45"/>
      <c r="E89" s="59"/>
      <c r="F89" s="47" t="str">
        <f t="shared" si="6"/>
        <v/>
      </c>
      <c r="G89" s="47" t="str">
        <f t="shared" si="7"/>
        <v/>
      </c>
    </row>
    <row r="90" spans="1:7" ht="17.25" customHeight="1">
      <c r="A90" s="42"/>
      <c r="B90" s="62"/>
      <c r="C90" s="44"/>
      <c r="D90" s="45"/>
      <c r="E90" s="59"/>
      <c r="F90" s="47" t="str">
        <f t="shared" si="6"/>
        <v/>
      </c>
      <c r="G90" s="47" t="str">
        <f t="shared" si="7"/>
        <v/>
      </c>
    </row>
    <row r="91" spans="1:7" ht="17.25" customHeight="1">
      <c r="A91" s="42"/>
      <c r="B91" s="62"/>
      <c r="C91" s="44"/>
      <c r="D91" s="45"/>
      <c r="E91" s="59"/>
      <c r="F91" s="47" t="str">
        <f t="shared" si="6"/>
        <v/>
      </c>
      <c r="G91" s="47" t="str">
        <f t="shared" si="7"/>
        <v/>
      </c>
    </row>
    <row r="92" spans="1:7" ht="17.25" customHeight="1">
      <c r="A92" s="42"/>
      <c r="B92" s="62"/>
      <c r="C92" s="44"/>
      <c r="D92" s="45"/>
      <c r="E92" s="59"/>
      <c r="F92" s="47" t="str">
        <f t="shared" si="6"/>
        <v/>
      </c>
      <c r="G92" s="47" t="str">
        <f t="shared" si="7"/>
        <v/>
      </c>
    </row>
    <row r="93" spans="1:7" ht="17.25" customHeight="1">
      <c r="A93" s="42"/>
      <c r="B93" s="62"/>
      <c r="C93" s="44"/>
      <c r="D93" s="45"/>
      <c r="E93" s="59"/>
      <c r="F93" s="47" t="str">
        <f t="shared" si="6"/>
        <v/>
      </c>
      <c r="G93" s="47" t="str">
        <f t="shared" si="7"/>
        <v/>
      </c>
    </row>
    <row r="94" spans="1:7" ht="17.25" customHeight="1">
      <c r="A94" s="42"/>
      <c r="B94" s="62"/>
      <c r="C94" s="50"/>
      <c r="D94" s="51"/>
      <c r="E94" s="67"/>
      <c r="F94" s="47" t="str">
        <f t="shared" si="6"/>
        <v/>
      </c>
      <c r="G94" s="47" t="str">
        <f t="shared" si="7"/>
        <v/>
      </c>
    </row>
    <row r="95" spans="1:7" ht="17.25" customHeight="1">
      <c r="A95" s="42"/>
      <c r="B95" s="62"/>
      <c r="C95" s="44"/>
      <c r="D95" s="45"/>
      <c r="E95" s="59"/>
      <c r="F95" s="47" t="str">
        <f t="shared" si="6"/>
        <v/>
      </c>
      <c r="G95" s="47" t="str">
        <f t="shared" si="7"/>
        <v/>
      </c>
    </row>
    <row r="96" spans="1:7" ht="17.25" customHeight="1">
      <c r="A96" s="42"/>
      <c r="B96" s="62"/>
      <c r="C96" s="44"/>
      <c r="D96" s="45"/>
      <c r="E96" s="59"/>
      <c r="F96" s="47" t="str">
        <f t="shared" si="6"/>
        <v/>
      </c>
      <c r="G96" s="47" t="str">
        <f t="shared" si="7"/>
        <v/>
      </c>
    </row>
    <row r="97" spans="1:7" ht="17.25" customHeight="1">
      <c r="A97" s="42"/>
      <c r="B97" s="62"/>
      <c r="C97" s="44"/>
      <c r="D97" s="45"/>
      <c r="E97" s="59"/>
      <c r="F97" s="47" t="str">
        <f t="shared" si="6"/>
        <v/>
      </c>
      <c r="G97" s="47" t="str">
        <f t="shared" si="7"/>
        <v/>
      </c>
    </row>
    <row r="98" spans="1:7" ht="17.25" customHeight="1">
      <c r="A98" s="42"/>
      <c r="B98" s="62"/>
      <c r="C98" s="44"/>
      <c r="D98" s="45"/>
      <c r="E98" s="59"/>
      <c r="F98" s="47" t="str">
        <f t="shared" si="6"/>
        <v/>
      </c>
      <c r="G98" s="47" t="str">
        <f t="shared" si="7"/>
        <v/>
      </c>
    </row>
    <row r="99" spans="1:7" ht="17.25" customHeight="1">
      <c r="A99" s="42"/>
      <c r="B99" s="62"/>
      <c r="C99" s="44"/>
      <c r="D99" s="45"/>
      <c r="E99" s="59"/>
      <c r="F99" s="47" t="str">
        <f t="shared" si="6"/>
        <v/>
      </c>
      <c r="G99" s="47" t="str">
        <f t="shared" si="7"/>
        <v/>
      </c>
    </row>
    <row r="100" spans="1:7" ht="17.25" customHeight="1">
      <c r="A100" s="42"/>
      <c r="B100" s="62"/>
      <c r="C100" s="44"/>
      <c r="D100" s="45"/>
      <c r="E100" s="59"/>
      <c r="F100" s="47" t="str">
        <f t="shared" si="6"/>
        <v/>
      </c>
      <c r="G100" s="47" t="str">
        <f t="shared" si="7"/>
        <v/>
      </c>
    </row>
    <row r="101" spans="1:7" ht="17.25" customHeight="1">
      <c r="A101" s="42"/>
      <c r="B101" s="62"/>
      <c r="C101" s="44"/>
      <c r="D101" s="45"/>
      <c r="E101" s="59"/>
      <c r="F101" s="47" t="str">
        <f t="shared" si="6"/>
        <v/>
      </c>
      <c r="G101" s="47" t="str">
        <f t="shared" si="7"/>
        <v/>
      </c>
    </row>
    <row r="102" spans="1:7" ht="17.25" customHeight="1">
      <c r="A102" s="42"/>
      <c r="B102" s="62"/>
      <c r="C102" s="44"/>
      <c r="D102" s="45"/>
      <c r="E102" s="59"/>
      <c r="F102" s="47" t="str">
        <f t="shared" si="6"/>
        <v/>
      </c>
      <c r="G102" s="47" t="str">
        <f t="shared" si="7"/>
        <v/>
      </c>
    </row>
    <row r="103" spans="1:7" ht="17.25" customHeight="1">
      <c r="A103" s="42"/>
      <c r="B103" s="62"/>
      <c r="C103" s="44"/>
      <c r="D103" s="45"/>
      <c r="E103" s="59"/>
      <c r="F103" s="47" t="str">
        <f t="shared" si="6"/>
        <v/>
      </c>
      <c r="G103" s="47" t="str">
        <f t="shared" si="7"/>
        <v/>
      </c>
    </row>
    <row r="104" spans="1:7" ht="17.25" customHeight="1">
      <c r="A104" s="42"/>
      <c r="B104" s="62"/>
      <c r="C104" s="44"/>
      <c r="D104" s="45"/>
      <c r="E104" s="59"/>
      <c r="F104" s="47" t="str">
        <f t="shared" si="6"/>
        <v/>
      </c>
      <c r="G104" s="47" t="str">
        <f t="shared" si="7"/>
        <v/>
      </c>
    </row>
    <row r="105" spans="1:7" ht="17.25" customHeight="1">
      <c r="A105" s="42"/>
      <c r="B105" s="62"/>
      <c r="C105" s="44"/>
      <c r="D105" s="45"/>
      <c r="E105" s="59"/>
      <c r="F105" s="47" t="str">
        <f t="shared" si="6"/>
        <v/>
      </c>
      <c r="G105" s="47" t="str">
        <f t="shared" si="7"/>
        <v/>
      </c>
    </row>
    <row r="106" spans="1:7" ht="17.25" customHeight="1">
      <c r="A106" s="42"/>
      <c r="B106" s="62"/>
      <c r="C106" s="44"/>
      <c r="D106" s="45"/>
      <c r="E106" s="59"/>
      <c r="F106" s="47" t="str">
        <f t="shared" si="6"/>
        <v/>
      </c>
      <c r="G106" s="47" t="str">
        <f t="shared" si="7"/>
        <v/>
      </c>
    </row>
    <row r="107" spans="1:7" ht="17.25" customHeight="1">
      <c r="A107" s="42"/>
      <c r="B107" s="62"/>
      <c r="C107" s="44"/>
      <c r="D107" s="45"/>
      <c r="E107" s="59"/>
      <c r="F107" s="47" t="str">
        <f t="shared" si="6"/>
        <v/>
      </c>
      <c r="G107" s="47" t="str">
        <f t="shared" si="7"/>
        <v/>
      </c>
    </row>
    <row r="108" spans="1:7" ht="17.25" customHeight="1">
      <c r="A108" s="42"/>
      <c r="B108" s="62"/>
      <c r="C108" s="44"/>
      <c r="D108" s="45"/>
      <c r="E108" s="59"/>
      <c r="F108" s="47" t="str">
        <f t="shared" si="6"/>
        <v/>
      </c>
      <c r="G108" s="47" t="str">
        <f t="shared" si="7"/>
        <v/>
      </c>
    </row>
    <row r="109" spans="1:7" ht="17.25" customHeight="1">
      <c r="A109" s="42"/>
      <c r="B109" s="62"/>
      <c r="C109" s="44"/>
      <c r="D109" s="45"/>
      <c r="E109" s="59"/>
      <c r="F109" s="47" t="str">
        <f t="shared" si="6"/>
        <v/>
      </c>
      <c r="G109" s="47" t="str">
        <f t="shared" si="7"/>
        <v/>
      </c>
    </row>
    <row r="110" spans="1:7" ht="17.25" customHeight="1">
      <c r="A110" s="42"/>
      <c r="B110" s="62"/>
      <c r="C110" s="44"/>
      <c r="D110" s="45"/>
      <c r="E110" s="59"/>
      <c r="F110" s="47" t="str">
        <f t="shared" si="6"/>
        <v/>
      </c>
      <c r="G110" s="47" t="str">
        <f t="shared" si="7"/>
        <v/>
      </c>
    </row>
    <row r="111" spans="1:7" ht="17.25" customHeight="1">
      <c r="A111" s="42"/>
      <c r="B111" s="62"/>
      <c r="C111" s="44"/>
      <c r="D111" s="45"/>
      <c r="E111" s="59"/>
      <c r="F111" s="47" t="str">
        <f t="shared" si="6"/>
        <v/>
      </c>
      <c r="G111" s="47" t="str">
        <f t="shared" si="7"/>
        <v/>
      </c>
    </row>
    <row r="112" spans="1:7" ht="17.25" customHeight="1">
      <c r="A112" s="42"/>
      <c r="B112" s="62"/>
      <c r="C112" s="44"/>
      <c r="D112" s="45"/>
      <c r="E112" s="59"/>
      <c r="F112" s="47" t="str">
        <f t="shared" si="6"/>
        <v/>
      </c>
      <c r="G112" s="47" t="str">
        <f t="shared" si="7"/>
        <v/>
      </c>
    </row>
    <row r="113" spans="1:7" ht="17.25" customHeight="1">
      <c r="A113" s="42"/>
      <c r="B113" s="62"/>
      <c r="C113" s="44"/>
      <c r="D113" s="45"/>
      <c r="E113" s="59"/>
      <c r="F113" s="47" t="str">
        <f t="shared" si="6"/>
        <v/>
      </c>
      <c r="G113" s="47" t="str">
        <f t="shared" si="7"/>
        <v/>
      </c>
    </row>
    <row r="114" spans="1:7" ht="17.25" customHeight="1">
      <c r="A114" s="42"/>
      <c r="B114" s="62"/>
      <c r="C114" s="44"/>
      <c r="D114" s="45"/>
      <c r="E114" s="59"/>
      <c r="F114" s="47" t="str">
        <f t="shared" si="6"/>
        <v/>
      </c>
      <c r="G114" s="47" t="str">
        <f t="shared" si="7"/>
        <v/>
      </c>
    </row>
    <row r="115" spans="1:7" ht="17.25" customHeight="1">
      <c r="A115" s="42"/>
      <c r="B115" s="62"/>
      <c r="C115" s="44"/>
      <c r="D115" s="45"/>
      <c r="E115" s="59"/>
      <c r="F115" s="47" t="str">
        <f t="shared" si="6"/>
        <v/>
      </c>
      <c r="G115" s="47" t="str">
        <f t="shared" si="7"/>
        <v/>
      </c>
    </row>
    <row r="116" spans="1:7" ht="17.25" customHeight="1">
      <c r="A116" s="42"/>
      <c r="B116" s="62"/>
      <c r="C116" s="44"/>
      <c r="D116" s="45"/>
      <c r="E116" s="59"/>
      <c r="F116" s="47" t="str">
        <f t="shared" si="6"/>
        <v/>
      </c>
      <c r="G116" s="47" t="str">
        <f t="shared" si="7"/>
        <v/>
      </c>
    </row>
    <row r="117" spans="1:7" ht="17.25" customHeight="1">
      <c r="A117" s="42"/>
      <c r="B117" s="62"/>
      <c r="C117" s="44"/>
      <c r="D117" s="45"/>
      <c r="E117" s="59"/>
      <c r="F117" s="47" t="str">
        <f t="shared" si="6"/>
        <v/>
      </c>
      <c r="G117" s="47" t="str">
        <f t="shared" si="7"/>
        <v/>
      </c>
    </row>
    <row r="118" spans="1:7" ht="17.25" customHeight="1">
      <c r="A118" s="42"/>
      <c r="B118" s="62"/>
      <c r="C118" s="44"/>
      <c r="D118" s="45"/>
      <c r="E118" s="59"/>
      <c r="F118" s="47" t="str">
        <f t="shared" si="6"/>
        <v/>
      </c>
      <c r="G118" s="47" t="str">
        <f t="shared" si="7"/>
        <v/>
      </c>
    </row>
    <row r="119" spans="1:7" ht="17.25" customHeight="1">
      <c r="A119" s="42"/>
      <c r="B119" s="62"/>
      <c r="C119" s="44"/>
      <c r="D119" s="45"/>
      <c r="E119" s="59"/>
      <c r="F119" s="47" t="str">
        <f t="shared" si="6"/>
        <v/>
      </c>
      <c r="G119" s="47" t="str">
        <f t="shared" si="7"/>
        <v/>
      </c>
    </row>
    <row r="120" spans="1:7" ht="17.25" customHeight="1">
      <c r="A120" s="42"/>
      <c r="B120" s="62"/>
      <c r="C120" s="44"/>
      <c r="D120" s="45"/>
      <c r="E120" s="59"/>
      <c r="F120" s="47" t="str">
        <f t="shared" si="6"/>
        <v/>
      </c>
      <c r="G120" s="47" t="str">
        <f t="shared" si="7"/>
        <v/>
      </c>
    </row>
    <row r="121" spans="1:7" ht="17.25" customHeight="1">
      <c r="A121" s="42"/>
      <c r="B121" s="62"/>
      <c r="C121" s="44"/>
      <c r="D121" s="45"/>
      <c r="E121" s="59"/>
      <c r="F121" s="47" t="str">
        <f t="shared" si="6"/>
        <v/>
      </c>
      <c r="G121" s="47" t="str">
        <f t="shared" si="7"/>
        <v/>
      </c>
    </row>
    <row r="122" spans="1:7" ht="17.25" customHeight="1">
      <c r="A122" s="42"/>
      <c r="B122" s="62"/>
      <c r="C122" s="44"/>
      <c r="D122" s="45"/>
      <c r="E122" s="59"/>
      <c r="F122" s="47" t="str">
        <f t="shared" si="6"/>
        <v/>
      </c>
      <c r="G122" s="47" t="str">
        <f t="shared" si="7"/>
        <v/>
      </c>
    </row>
    <row r="123" spans="1:7" ht="17.25" customHeight="1">
      <c r="A123" s="42"/>
      <c r="B123" s="62"/>
      <c r="C123" s="44"/>
      <c r="D123" s="45"/>
      <c r="E123" s="59"/>
      <c r="F123" s="47" t="str">
        <f t="shared" si="6"/>
        <v/>
      </c>
      <c r="G123" s="47" t="str">
        <f t="shared" si="7"/>
        <v/>
      </c>
    </row>
    <row r="124" spans="1:7" ht="17.25" customHeight="1">
      <c r="A124" s="42"/>
      <c r="B124" s="62"/>
      <c r="C124" s="50"/>
      <c r="D124" s="51"/>
      <c r="E124" s="67"/>
      <c r="F124" s="47" t="str">
        <f t="shared" si="6"/>
        <v/>
      </c>
      <c r="G124" s="47" t="str">
        <f t="shared" si="7"/>
        <v/>
      </c>
    </row>
    <row r="125" spans="1:7" ht="17.25" customHeight="1">
      <c r="A125" s="42"/>
      <c r="B125" s="62"/>
      <c r="C125" s="44"/>
      <c r="D125" s="45"/>
      <c r="E125" s="59"/>
      <c r="F125" s="47" t="str">
        <f t="shared" si="6"/>
        <v/>
      </c>
      <c r="G125" s="47" t="str">
        <f t="shared" si="7"/>
        <v/>
      </c>
    </row>
    <row r="126" spans="1:7" ht="17.25" customHeight="1">
      <c r="A126" s="42"/>
      <c r="B126" s="62"/>
      <c r="C126" s="44"/>
      <c r="D126" s="45"/>
      <c r="E126" s="59"/>
      <c r="F126" s="47" t="str">
        <f t="shared" si="6"/>
        <v/>
      </c>
      <c r="G126" s="47" t="str">
        <f t="shared" si="7"/>
        <v/>
      </c>
    </row>
    <row r="127" spans="1:7" ht="17.25" customHeight="1">
      <c r="A127" s="42"/>
      <c r="B127" s="62"/>
      <c r="C127" s="44"/>
      <c r="D127" s="45"/>
      <c r="E127" s="59"/>
      <c r="F127" s="47" t="str">
        <f t="shared" si="6"/>
        <v/>
      </c>
      <c r="G127" s="47" t="str">
        <f t="shared" si="7"/>
        <v/>
      </c>
    </row>
    <row r="128" spans="1:7" ht="17.25" customHeight="1">
      <c r="A128" s="42"/>
      <c r="B128" s="62"/>
      <c r="C128" s="44"/>
      <c r="D128" s="45"/>
      <c r="E128" s="59"/>
      <c r="F128" s="47" t="str">
        <f t="shared" si="6"/>
        <v/>
      </c>
      <c r="G128" s="47" t="str">
        <f t="shared" si="7"/>
        <v/>
      </c>
    </row>
    <row r="129" spans="1:7" ht="17.25" customHeight="1">
      <c r="A129" s="42"/>
      <c r="B129" s="62"/>
      <c r="C129" s="44"/>
      <c r="D129" s="45"/>
      <c r="E129" s="59"/>
      <c r="F129" s="47" t="str">
        <f t="shared" si="6"/>
        <v/>
      </c>
      <c r="G129" s="47" t="str">
        <f t="shared" si="7"/>
        <v/>
      </c>
    </row>
    <row r="130" spans="1:7" ht="17.25" customHeight="1">
      <c r="A130" s="42"/>
      <c r="B130" s="62"/>
      <c r="C130" s="44"/>
      <c r="D130" s="45"/>
      <c r="E130" s="59"/>
      <c r="F130" s="47" t="str">
        <f t="shared" si="6"/>
        <v/>
      </c>
      <c r="G130" s="47" t="str">
        <f t="shared" si="7"/>
        <v/>
      </c>
    </row>
    <row r="131" spans="1:7" ht="17.25" customHeight="1">
      <c r="A131" s="42"/>
      <c r="B131" s="62"/>
      <c r="C131" s="44"/>
      <c r="D131" s="45"/>
      <c r="E131" s="59"/>
      <c r="F131" s="47" t="str">
        <f t="shared" si="6"/>
        <v/>
      </c>
      <c r="G131" s="47" t="str">
        <f t="shared" si="7"/>
        <v/>
      </c>
    </row>
    <row r="132" spans="1:7" ht="17.25" customHeight="1">
      <c r="A132" s="42"/>
      <c r="B132" s="62"/>
      <c r="C132" s="44"/>
      <c r="D132" s="45"/>
      <c r="E132" s="59"/>
      <c r="F132" s="47" t="str">
        <f t="shared" si="6"/>
        <v/>
      </c>
      <c r="G132" s="47" t="str">
        <f t="shared" si="7"/>
        <v/>
      </c>
    </row>
    <row r="133" spans="1:7" ht="17.25" customHeight="1">
      <c r="A133" s="42"/>
      <c r="B133" s="62"/>
      <c r="C133" s="44"/>
      <c r="D133" s="45"/>
      <c r="E133" s="59"/>
      <c r="F133" s="47" t="str">
        <f t="shared" si="6"/>
        <v/>
      </c>
      <c r="G133" s="47" t="str">
        <f t="shared" si="7"/>
        <v/>
      </c>
    </row>
    <row r="134" spans="1:7" ht="17.25" customHeight="1">
      <c r="A134" s="42"/>
      <c r="B134" s="62"/>
      <c r="C134" s="44"/>
      <c r="D134" s="45"/>
      <c r="E134" s="59"/>
      <c r="F134" s="47" t="str">
        <f t="shared" si="6"/>
        <v/>
      </c>
      <c r="G134" s="47" t="str">
        <f t="shared" si="7"/>
        <v/>
      </c>
    </row>
    <row r="135" spans="1:7" ht="17.25" customHeight="1">
      <c r="A135" s="42"/>
      <c r="B135" s="62"/>
      <c r="C135" s="44"/>
      <c r="D135" s="45"/>
      <c r="E135" s="59"/>
      <c r="F135" s="47" t="str">
        <f t="shared" si="6"/>
        <v/>
      </c>
      <c r="G135" s="47" t="str">
        <f t="shared" si="7"/>
        <v/>
      </c>
    </row>
    <row r="136" spans="1:7" ht="17.25" customHeight="1">
      <c r="A136" s="42"/>
      <c r="B136" s="62"/>
      <c r="C136" s="44"/>
      <c r="D136" s="45"/>
      <c r="E136" s="59"/>
      <c r="F136" s="47" t="str">
        <f t="shared" si="6"/>
        <v/>
      </c>
      <c r="G136" s="47" t="str">
        <f t="shared" si="7"/>
        <v/>
      </c>
    </row>
    <row r="137" spans="1:7" ht="17.25" customHeight="1">
      <c r="A137" s="42"/>
      <c r="B137" s="62"/>
      <c r="C137" s="44"/>
      <c r="D137" s="45"/>
      <c r="E137" s="59"/>
      <c r="F137" s="47" t="str">
        <f t="shared" si="6"/>
        <v/>
      </c>
      <c r="G137" s="47" t="str">
        <f t="shared" si="7"/>
        <v/>
      </c>
    </row>
    <row r="138" spans="1:7" ht="17.25" customHeight="1">
      <c r="A138" s="42"/>
      <c r="B138" s="62"/>
      <c r="C138" s="44"/>
      <c r="D138" s="45"/>
      <c r="E138" s="59"/>
      <c r="F138" s="47" t="str">
        <f t="shared" si="6"/>
        <v/>
      </c>
      <c r="G138" s="47" t="str">
        <f t="shared" si="7"/>
        <v/>
      </c>
    </row>
    <row r="139" spans="1:7" ht="17.25" customHeight="1">
      <c r="A139" s="42"/>
      <c r="B139" s="62"/>
      <c r="C139" s="44"/>
      <c r="D139" s="45"/>
      <c r="E139" s="68"/>
      <c r="F139" s="47" t="str">
        <f t="shared" si="6"/>
        <v/>
      </c>
      <c r="G139" s="47" t="str">
        <f t="shared" si="7"/>
        <v/>
      </c>
    </row>
    <row r="140" spans="1:7" ht="17.25" customHeight="1">
      <c r="A140" s="42"/>
      <c r="B140" s="69"/>
      <c r="C140" s="70"/>
      <c r="D140" s="69"/>
      <c r="E140" s="71"/>
      <c r="F140" s="47" t="str">
        <f t="shared" si="6"/>
        <v/>
      </c>
      <c r="G140" s="47" t="str">
        <f t="shared" si="7"/>
        <v/>
      </c>
    </row>
    <row r="141" spans="1:7" ht="17.25" customHeight="1">
      <c r="A141" s="42"/>
      <c r="B141" s="42"/>
      <c r="C141" s="70"/>
      <c r="D141" s="72"/>
      <c r="E141" s="73"/>
      <c r="F141" s="47" t="str">
        <f t="shared" si="6"/>
        <v/>
      </c>
      <c r="G141" s="47" t="str">
        <f t="shared" si="7"/>
        <v/>
      </c>
    </row>
    <row r="142" spans="1:7" ht="17.25" customHeight="1">
      <c r="A142" s="42"/>
      <c r="B142" s="42"/>
      <c r="C142" s="70"/>
      <c r="D142" s="72"/>
      <c r="E142" s="73"/>
      <c r="F142" s="47" t="str">
        <f t="shared" si="6"/>
        <v/>
      </c>
      <c r="G142" s="47" t="str">
        <f t="shared" si="7"/>
        <v/>
      </c>
    </row>
    <row r="143" spans="1:7" ht="17.25" customHeight="1">
      <c r="A143" s="42"/>
      <c r="B143" s="42"/>
      <c r="C143" s="70"/>
      <c r="D143" s="72"/>
      <c r="E143" s="73"/>
      <c r="F143" s="47" t="str">
        <f t="shared" si="6"/>
        <v/>
      </c>
      <c r="G143" s="47" t="str">
        <f t="shared" si="7"/>
        <v/>
      </c>
    </row>
    <row r="144" spans="1:7" ht="17.25" customHeight="1">
      <c r="A144" s="42"/>
      <c r="B144" s="42"/>
      <c r="C144" s="70"/>
      <c r="D144" s="72"/>
      <c r="E144" s="73"/>
      <c r="F144" s="47" t="str">
        <f t="shared" si="6"/>
        <v/>
      </c>
      <c r="G144" s="47" t="str">
        <f t="shared" si="7"/>
        <v/>
      </c>
    </row>
    <row r="145" spans="1:7" ht="17.25" customHeight="1">
      <c r="A145" s="42"/>
      <c r="B145" s="42"/>
      <c r="C145" s="70"/>
      <c r="D145" s="72"/>
      <c r="E145" s="73"/>
      <c r="F145" s="47" t="str">
        <f t="shared" ref="F145:F208" si="8">IF(E145="","",F144-E145)</f>
        <v/>
      </c>
      <c r="G145" s="47" t="str">
        <f t="shared" ref="G145:G208" si="9">IF(E145="","",G144+E145)</f>
        <v/>
      </c>
    </row>
    <row r="146" spans="1:7" ht="17.25" customHeight="1">
      <c r="A146" s="42"/>
      <c r="B146" s="62"/>
      <c r="C146" s="44"/>
      <c r="D146" s="45"/>
      <c r="E146" s="59"/>
      <c r="F146" s="47" t="str">
        <f t="shared" si="8"/>
        <v/>
      </c>
      <c r="G146" s="47" t="str">
        <f t="shared" si="9"/>
        <v/>
      </c>
    </row>
    <row r="147" spans="1:7" ht="17.25" customHeight="1">
      <c r="A147" s="42"/>
      <c r="B147" s="62"/>
      <c r="C147" s="44"/>
      <c r="D147" s="45"/>
      <c r="E147" s="59"/>
      <c r="F147" s="47" t="str">
        <f t="shared" si="8"/>
        <v/>
      </c>
      <c r="G147" s="47" t="str">
        <f t="shared" si="9"/>
        <v/>
      </c>
    </row>
    <row r="148" spans="1:7" ht="17.25" customHeight="1">
      <c r="A148" s="42"/>
      <c r="B148" s="62"/>
      <c r="C148" s="44"/>
      <c r="D148" s="45"/>
      <c r="E148" s="59"/>
      <c r="F148" s="47" t="str">
        <f t="shared" si="8"/>
        <v/>
      </c>
      <c r="G148" s="47" t="str">
        <f t="shared" si="9"/>
        <v/>
      </c>
    </row>
    <row r="149" spans="1:7" ht="17.25" customHeight="1">
      <c r="A149" s="42"/>
      <c r="B149" s="62"/>
      <c r="C149" s="44"/>
      <c r="D149" s="45"/>
      <c r="E149" s="59"/>
      <c r="F149" s="47" t="str">
        <f t="shared" si="8"/>
        <v/>
      </c>
      <c r="G149" s="47" t="str">
        <f t="shared" si="9"/>
        <v/>
      </c>
    </row>
    <row r="150" spans="1:7" ht="17.25" customHeight="1">
      <c r="A150" s="42"/>
      <c r="B150" s="62"/>
      <c r="C150" s="44"/>
      <c r="D150" s="45"/>
      <c r="E150" s="59"/>
      <c r="F150" s="47" t="str">
        <f t="shared" si="8"/>
        <v/>
      </c>
      <c r="G150" s="47" t="str">
        <f t="shared" si="9"/>
        <v/>
      </c>
    </row>
    <row r="151" spans="1:7" ht="17.25" customHeight="1">
      <c r="A151" s="42"/>
      <c r="B151" s="62"/>
      <c r="C151" s="44"/>
      <c r="D151" s="45"/>
      <c r="E151" s="59"/>
      <c r="F151" s="47" t="str">
        <f t="shared" si="8"/>
        <v/>
      </c>
      <c r="G151" s="47" t="str">
        <f t="shared" si="9"/>
        <v/>
      </c>
    </row>
    <row r="152" spans="1:7" ht="17.25" customHeight="1">
      <c r="A152" s="42"/>
      <c r="B152" s="62"/>
      <c r="C152" s="44"/>
      <c r="D152" s="45"/>
      <c r="E152" s="59"/>
      <c r="F152" s="47" t="str">
        <f t="shared" si="8"/>
        <v/>
      </c>
      <c r="G152" s="47" t="str">
        <f t="shared" si="9"/>
        <v/>
      </c>
    </row>
    <row r="153" spans="1:7" ht="17.25" customHeight="1">
      <c r="A153" s="42"/>
      <c r="B153" s="62"/>
      <c r="C153" s="44"/>
      <c r="D153" s="45"/>
      <c r="E153" s="59"/>
      <c r="F153" s="47" t="str">
        <f t="shared" si="8"/>
        <v/>
      </c>
      <c r="G153" s="47" t="str">
        <f t="shared" si="9"/>
        <v/>
      </c>
    </row>
    <row r="154" spans="1:7" ht="17.25" customHeight="1">
      <c r="A154" s="42"/>
      <c r="B154" s="62"/>
      <c r="C154" s="44"/>
      <c r="D154" s="45"/>
      <c r="E154" s="59"/>
      <c r="F154" s="47" t="str">
        <f t="shared" si="8"/>
        <v/>
      </c>
      <c r="G154" s="47" t="str">
        <f t="shared" si="9"/>
        <v/>
      </c>
    </row>
    <row r="155" spans="1:7" ht="17.25" customHeight="1">
      <c r="A155" s="42"/>
      <c r="B155" s="62"/>
      <c r="C155" s="44"/>
      <c r="D155" s="45"/>
      <c r="E155" s="59"/>
      <c r="F155" s="47" t="str">
        <f t="shared" si="8"/>
        <v/>
      </c>
      <c r="G155" s="47" t="str">
        <f t="shared" si="9"/>
        <v/>
      </c>
    </row>
    <row r="156" spans="1:7" ht="17.25" customHeight="1">
      <c r="A156" s="42"/>
      <c r="B156" s="62"/>
      <c r="C156" s="50"/>
      <c r="D156" s="51"/>
      <c r="E156" s="67"/>
      <c r="F156" s="47" t="str">
        <f t="shared" si="8"/>
        <v/>
      </c>
      <c r="G156" s="47" t="str">
        <f t="shared" si="9"/>
        <v/>
      </c>
    </row>
    <row r="157" spans="1:7" ht="17.25" customHeight="1">
      <c r="A157" s="42"/>
      <c r="B157" s="62"/>
      <c r="C157" s="44"/>
      <c r="D157" s="45"/>
      <c r="E157" s="59"/>
      <c r="F157" s="47" t="str">
        <f t="shared" si="8"/>
        <v/>
      </c>
      <c r="G157" s="47" t="str">
        <f t="shared" si="9"/>
        <v/>
      </c>
    </row>
    <row r="158" spans="1:7" ht="17.25" customHeight="1">
      <c r="A158" s="42"/>
      <c r="B158" s="62"/>
      <c r="C158" s="44"/>
      <c r="D158" s="45"/>
      <c r="E158" s="59"/>
      <c r="F158" s="47" t="str">
        <f t="shared" si="8"/>
        <v/>
      </c>
      <c r="G158" s="47" t="str">
        <f t="shared" si="9"/>
        <v/>
      </c>
    </row>
    <row r="159" spans="1:7" ht="17.25" customHeight="1">
      <c r="A159" s="42"/>
      <c r="B159" s="62"/>
      <c r="C159" s="44"/>
      <c r="D159" s="45"/>
      <c r="E159" s="59"/>
      <c r="F159" s="47" t="str">
        <f t="shared" si="8"/>
        <v/>
      </c>
      <c r="G159" s="47" t="str">
        <f t="shared" si="9"/>
        <v/>
      </c>
    </row>
    <row r="160" spans="1:7" ht="17.25" customHeight="1">
      <c r="A160" s="42"/>
      <c r="B160" s="62"/>
      <c r="C160" s="44"/>
      <c r="D160" s="45"/>
      <c r="E160" s="59"/>
      <c r="F160" s="47" t="str">
        <f t="shared" si="8"/>
        <v/>
      </c>
      <c r="G160" s="47" t="str">
        <f t="shared" si="9"/>
        <v/>
      </c>
    </row>
    <row r="161" spans="1:8" ht="17.25" customHeight="1">
      <c r="A161" s="42"/>
      <c r="B161" s="62"/>
      <c r="C161" s="44"/>
      <c r="D161" s="45"/>
      <c r="E161" s="59"/>
      <c r="F161" s="47" t="str">
        <f t="shared" si="8"/>
        <v/>
      </c>
      <c r="G161" s="47" t="str">
        <f t="shared" si="9"/>
        <v/>
      </c>
    </row>
    <row r="162" spans="1:8" ht="17.25" customHeight="1">
      <c r="A162" s="42"/>
      <c r="B162" s="62"/>
      <c r="C162" s="44"/>
      <c r="D162" s="45"/>
      <c r="E162" s="59"/>
      <c r="F162" s="47" t="str">
        <f t="shared" si="8"/>
        <v/>
      </c>
      <c r="G162" s="47" t="str">
        <f t="shared" si="9"/>
        <v/>
      </c>
    </row>
    <row r="163" spans="1:8" ht="17.25" customHeight="1">
      <c r="A163" s="42"/>
      <c r="B163" s="62"/>
      <c r="C163" s="44"/>
      <c r="D163" s="45"/>
      <c r="E163" s="59"/>
      <c r="F163" s="47" t="str">
        <f t="shared" si="8"/>
        <v/>
      </c>
      <c r="G163" s="47" t="str">
        <f t="shared" si="9"/>
        <v/>
      </c>
    </row>
    <row r="164" spans="1:8" ht="17.25" customHeight="1">
      <c r="A164" s="42"/>
      <c r="B164" s="62"/>
      <c r="C164" s="44"/>
      <c r="D164" s="45"/>
      <c r="E164" s="59"/>
      <c r="F164" s="47" t="str">
        <f t="shared" si="8"/>
        <v/>
      </c>
      <c r="G164" s="47" t="str">
        <f t="shared" si="9"/>
        <v/>
      </c>
    </row>
    <row r="165" spans="1:8" ht="17.25" customHeight="1">
      <c r="A165" s="42"/>
      <c r="B165" s="62"/>
      <c r="C165" s="44"/>
      <c r="D165" s="45"/>
      <c r="E165" s="59"/>
      <c r="F165" s="47" t="str">
        <f t="shared" si="8"/>
        <v/>
      </c>
      <c r="G165" s="47" t="str">
        <f t="shared" si="9"/>
        <v/>
      </c>
    </row>
    <row r="166" spans="1:8" ht="17.25" customHeight="1">
      <c r="A166" s="42"/>
      <c r="B166" s="62"/>
      <c r="C166" s="44"/>
      <c r="D166" s="45"/>
      <c r="E166" s="59"/>
      <c r="F166" s="47" t="str">
        <f t="shared" si="8"/>
        <v/>
      </c>
      <c r="G166" s="47" t="str">
        <f t="shared" si="9"/>
        <v/>
      </c>
    </row>
    <row r="167" spans="1:8" ht="17.25" customHeight="1">
      <c r="A167" s="42"/>
      <c r="B167" s="62"/>
      <c r="C167" s="44"/>
      <c r="D167" s="45"/>
      <c r="E167" s="59"/>
      <c r="F167" s="47" t="str">
        <f t="shared" si="8"/>
        <v/>
      </c>
      <c r="G167" s="47" t="str">
        <f t="shared" si="9"/>
        <v/>
      </c>
    </row>
    <row r="168" spans="1:8" ht="17.25" customHeight="1">
      <c r="A168" s="42"/>
      <c r="B168" s="62"/>
      <c r="C168" s="44"/>
      <c r="D168" s="45"/>
      <c r="E168" s="59"/>
      <c r="F168" s="47" t="str">
        <f t="shared" si="8"/>
        <v/>
      </c>
      <c r="G168" s="47" t="str">
        <f t="shared" si="9"/>
        <v/>
      </c>
    </row>
    <row r="169" spans="1:8" ht="17.25" customHeight="1">
      <c r="A169" s="42"/>
      <c r="B169" s="62"/>
      <c r="C169" s="44"/>
      <c r="D169" s="45"/>
      <c r="E169" s="59"/>
      <c r="F169" s="47" t="str">
        <f t="shared" si="8"/>
        <v/>
      </c>
      <c r="G169" s="47" t="str">
        <f t="shared" si="9"/>
        <v/>
      </c>
    </row>
    <row r="170" spans="1:8" ht="17.25" customHeight="1">
      <c r="A170" s="42"/>
      <c r="B170" s="62"/>
      <c r="C170" s="44"/>
      <c r="D170" s="45"/>
      <c r="E170" s="59"/>
      <c r="F170" s="47" t="str">
        <f t="shared" si="8"/>
        <v/>
      </c>
      <c r="G170" s="47" t="str">
        <f t="shared" si="9"/>
        <v/>
      </c>
      <c r="H170">
        <v>7</v>
      </c>
    </row>
    <row r="171" spans="1:8" ht="17.25" customHeight="1">
      <c r="A171" s="42"/>
      <c r="B171" s="62"/>
      <c r="C171" s="44"/>
      <c r="D171" s="45"/>
      <c r="E171" s="68"/>
      <c r="F171" s="47" t="str">
        <f t="shared" si="8"/>
        <v/>
      </c>
      <c r="G171" s="47" t="str">
        <f t="shared" si="9"/>
        <v/>
      </c>
    </row>
    <row r="172" spans="1:8" ht="17.25" customHeight="1">
      <c r="A172" s="74"/>
      <c r="B172" s="74"/>
      <c r="C172" s="75"/>
      <c r="D172" s="74"/>
      <c r="E172" s="76"/>
      <c r="F172" s="47" t="str">
        <f t="shared" si="8"/>
        <v/>
      </c>
      <c r="G172" s="47" t="str">
        <f t="shared" si="9"/>
        <v/>
      </c>
    </row>
    <row r="173" spans="1:8" ht="17.25" customHeight="1">
      <c r="A173" s="74"/>
      <c r="B173" s="74"/>
      <c r="C173" s="75"/>
      <c r="D173" s="74"/>
      <c r="E173" s="76"/>
      <c r="F173" s="47" t="str">
        <f t="shared" si="8"/>
        <v/>
      </c>
      <c r="G173" s="47" t="str">
        <f t="shared" si="9"/>
        <v/>
      </c>
    </row>
    <row r="174" spans="1:8" ht="17.25" customHeight="1">
      <c r="A174" s="74"/>
      <c r="B174" s="74"/>
      <c r="C174" s="75"/>
      <c r="D174" s="74"/>
      <c r="E174" s="76"/>
      <c r="F174" s="47" t="str">
        <f t="shared" si="8"/>
        <v/>
      </c>
      <c r="G174" s="47" t="str">
        <f t="shared" si="9"/>
        <v/>
      </c>
    </row>
    <row r="175" spans="1:8" ht="17.25" customHeight="1">
      <c r="A175" s="74"/>
      <c r="B175" s="74"/>
      <c r="C175" s="75"/>
      <c r="D175" s="74"/>
      <c r="E175" s="76"/>
      <c r="F175" s="47" t="str">
        <f t="shared" si="8"/>
        <v/>
      </c>
      <c r="G175" s="47" t="str">
        <f t="shared" si="9"/>
        <v/>
      </c>
    </row>
    <row r="176" spans="1:8" ht="17.25" customHeight="1">
      <c r="A176" s="74"/>
      <c r="B176" s="74"/>
      <c r="C176" s="75"/>
      <c r="D176" s="74"/>
      <c r="E176" s="76"/>
      <c r="F176" s="47" t="str">
        <f t="shared" si="8"/>
        <v/>
      </c>
      <c r="G176" s="47" t="str">
        <f t="shared" si="9"/>
        <v/>
      </c>
    </row>
    <row r="177" spans="1:7" ht="17.25" customHeight="1">
      <c r="A177" s="74"/>
      <c r="B177" s="74"/>
      <c r="C177" s="75"/>
      <c r="D177" s="74"/>
      <c r="E177" s="76"/>
      <c r="F177" s="47" t="str">
        <f t="shared" si="8"/>
        <v/>
      </c>
      <c r="G177" s="47" t="str">
        <f t="shared" si="9"/>
        <v/>
      </c>
    </row>
    <row r="178" spans="1:7" ht="17.25" customHeight="1">
      <c r="A178" s="74"/>
      <c r="B178" s="74"/>
      <c r="C178" s="75"/>
      <c r="D178" s="74"/>
      <c r="E178" s="76"/>
      <c r="F178" s="47" t="str">
        <f t="shared" si="8"/>
        <v/>
      </c>
      <c r="G178" s="47" t="str">
        <f t="shared" si="9"/>
        <v/>
      </c>
    </row>
    <row r="179" spans="1:7" ht="17.25" customHeight="1">
      <c r="A179" s="74"/>
      <c r="B179" s="74"/>
      <c r="C179" s="75"/>
      <c r="D179" s="74"/>
      <c r="E179" s="76"/>
      <c r="F179" s="47" t="str">
        <f t="shared" si="8"/>
        <v/>
      </c>
      <c r="G179" s="47" t="str">
        <f t="shared" si="9"/>
        <v/>
      </c>
    </row>
    <row r="180" spans="1:7" ht="17.25" customHeight="1">
      <c r="A180" s="74"/>
      <c r="B180" s="74"/>
      <c r="C180" s="75"/>
      <c r="D180" s="74"/>
      <c r="E180" s="76"/>
      <c r="F180" s="47" t="str">
        <f t="shared" si="8"/>
        <v/>
      </c>
      <c r="G180" s="47" t="str">
        <f t="shared" si="9"/>
        <v/>
      </c>
    </row>
    <row r="181" spans="1:7" ht="17.25" customHeight="1">
      <c r="A181" s="74"/>
      <c r="B181" s="74"/>
      <c r="C181" s="75"/>
      <c r="D181" s="74"/>
      <c r="E181" s="76"/>
      <c r="F181" s="47" t="str">
        <f t="shared" si="8"/>
        <v/>
      </c>
      <c r="G181" s="47" t="str">
        <f t="shared" si="9"/>
        <v/>
      </c>
    </row>
    <row r="182" spans="1:7" ht="17.25" customHeight="1">
      <c r="A182" s="74"/>
      <c r="B182" s="74"/>
      <c r="C182" s="75"/>
      <c r="D182" s="74"/>
      <c r="E182" s="76"/>
      <c r="F182" s="47" t="str">
        <f t="shared" si="8"/>
        <v/>
      </c>
      <c r="G182" s="47" t="str">
        <f t="shared" si="9"/>
        <v/>
      </c>
    </row>
    <row r="183" spans="1:7" ht="17.25" customHeight="1">
      <c r="A183" s="74"/>
      <c r="B183" s="74"/>
      <c r="C183" s="75"/>
      <c r="D183" s="74"/>
      <c r="E183" s="76"/>
      <c r="F183" s="47" t="str">
        <f t="shared" si="8"/>
        <v/>
      </c>
      <c r="G183" s="47" t="str">
        <f t="shared" si="9"/>
        <v/>
      </c>
    </row>
    <row r="184" spans="1:7" ht="17.25" customHeight="1">
      <c r="A184" s="74"/>
      <c r="B184" s="74"/>
      <c r="C184" s="75"/>
      <c r="D184" s="74"/>
      <c r="E184" s="76"/>
      <c r="F184" s="47" t="str">
        <f t="shared" si="8"/>
        <v/>
      </c>
      <c r="G184" s="47" t="str">
        <f t="shared" si="9"/>
        <v/>
      </c>
    </row>
    <row r="185" spans="1:7" ht="17.25" customHeight="1">
      <c r="A185" s="74"/>
      <c r="B185" s="74"/>
      <c r="C185" s="75"/>
      <c r="D185" s="74"/>
      <c r="E185" s="76"/>
      <c r="F185" s="47" t="str">
        <f t="shared" si="8"/>
        <v/>
      </c>
      <c r="G185" s="47" t="str">
        <f t="shared" si="9"/>
        <v/>
      </c>
    </row>
    <row r="186" spans="1:7" ht="17.25" customHeight="1">
      <c r="A186" s="74"/>
      <c r="B186" s="74"/>
      <c r="C186" s="75"/>
      <c r="D186" s="74"/>
      <c r="E186" s="76"/>
      <c r="F186" s="47" t="str">
        <f t="shared" si="8"/>
        <v/>
      </c>
      <c r="G186" s="47" t="str">
        <f t="shared" si="9"/>
        <v/>
      </c>
    </row>
    <row r="187" spans="1:7" ht="17.25" customHeight="1">
      <c r="A187" s="74"/>
      <c r="B187" s="74"/>
      <c r="C187" s="75"/>
      <c r="D187" s="74"/>
      <c r="E187" s="76"/>
      <c r="F187" s="47" t="str">
        <f t="shared" si="8"/>
        <v/>
      </c>
      <c r="G187" s="47" t="str">
        <f t="shared" si="9"/>
        <v/>
      </c>
    </row>
    <row r="188" spans="1:7" ht="17.25" customHeight="1">
      <c r="A188" s="74"/>
      <c r="B188" s="74"/>
      <c r="C188" s="75"/>
      <c r="D188" s="74"/>
      <c r="E188" s="76"/>
      <c r="F188" s="47" t="str">
        <f t="shared" si="8"/>
        <v/>
      </c>
      <c r="G188" s="47" t="str">
        <f t="shared" si="9"/>
        <v/>
      </c>
    </row>
    <row r="189" spans="1:7" ht="17.25" customHeight="1">
      <c r="A189" s="74"/>
      <c r="B189" s="74"/>
      <c r="C189" s="75"/>
      <c r="D189" s="74"/>
      <c r="E189" s="76"/>
      <c r="F189" s="47" t="str">
        <f t="shared" si="8"/>
        <v/>
      </c>
      <c r="G189" s="47" t="str">
        <f t="shared" si="9"/>
        <v/>
      </c>
    </row>
    <row r="190" spans="1:7" ht="17.25" customHeight="1">
      <c r="A190" s="74"/>
      <c r="B190" s="74"/>
      <c r="C190" s="75"/>
      <c r="D190" s="74"/>
      <c r="E190" s="76"/>
      <c r="F190" s="47" t="str">
        <f t="shared" si="8"/>
        <v/>
      </c>
      <c r="G190" s="47" t="str">
        <f t="shared" si="9"/>
        <v/>
      </c>
    </row>
    <row r="191" spans="1:7" ht="17.25" customHeight="1">
      <c r="A191" s="74"/>
      <c r="B191" s="74"/>
      <c r="C191" s="75"/>
      <c r="D191" s="74"/>
      <c r="E191" s="76"/>
      <c r="F191" s="47" t="str">
        <f t="shared" si="8"/>
        <v/>
      </c>
      <c r="G191" s="47" t="str">
        <f t="shared" si="9"/>
        <v/>
      </c>
    </row>
    <row r="192" spans="1:7" ht="17.25" customHeight="1">
      <c r="A192" s="74"/>
      <c r="B192" s="74"/>
      <c r="C192" s="75"/>
      <c r="D192" s="74"/>
      <c r="E192" s="76"/>
      <c r="F192" s="47" t="str">
        <f t="shared" si="8"/>
        <v/>
      </c>
      <c r="G192" s="47" t="str">
        <f t="shared" si="9"/>
        <v/>
      </c>
    </row>
    <row r="193" spans="1:7" ht="17.25" customHeight="1">
      <c r="A193" s="74"/>
      <c r="B193" s="74"/>
      <c r="C193" s="75"/>
      <c r="D193" s="74"/>
      <c r="E193" s="76"/>
      <c r="F193" s="47" t="str">
        <f t="shared" si="8"/>
        <v/>
      </c>
      <c r="G193" s="47" t="str">
        <f t="shared" si="9"/>
        <v/>
      </c>
    </row>
    <row r="194" spans="1:7" ht="17.25" customHeight="1">
      <c r="A194" s="74"/>
      <c r="B194" s="74"/>
      <c r="C194" s="75"/>
      <c r="D194" s="74"/>
      <c r="E194" s="76"/>
      <c r="F194" s="47" t="str">
        <f t="shared" si="8"/>
        <v/>
      </c>
      <c r="G194" s="47" t="str">
        <f t="shared" si="9"/>
        <v/>
      </c>
    </row>
    <row r="195" spans="1:7" ht="17.25" customHeight="1">
      <c r="A195" s="74"/>
      <c r="B195" s="74"/>
      <c r="C195" s="75"/>
      <c r="D195" s="74"/>
      <c r="E195" s="76"/>
      <c r="F195" s="47" t="str">
        <f t="shared" si="8"/>
        <v/>
      </c>
      <c r="G195" s="47" t="str">
        <f t="shared" si="9"/>
        <v/>
      </c>
    </row>
    <row r="196" spans="1:7" ht="17.25" customHeight="1">
      <c r="A196" s="74"/>
      <c r="B196" s="74"/>
      <c r="C196" s="75"/>
      <c r="D196" s="74"/>
      <c r="E196" s="76"/>
      <c r="F196" s="47" t="str">
        <f t="shared" si="8"/>
        <v/>
      </c>
      <c r="G196" s="47" t="str">
        <f t="shared" si="9"/>
        <v/>
      </c>
    </row>
    <row r="197" spans="1:7" ht="17.25" customHeight="1">
      <c r="A197" s="74"/>
      <c r="B197" s="74"/>
      <c r="C197" s="75"/>
      <c r="D197" s="74"/>
      <c r="E197" s="76"/>
      <c r="F197" s="47" t="str">
        <f t="shared" si="8"/>
        <v/>
      </c>
      <c r="G197" s="47" t="str">
        <f t="shared" si="9"/>
        <v/>
      </c>
    </row>
    <row r="198" spans="1:7" ht="17.25" customHeight="1">
      <c r="A198" s="74"/>
      <c r="B198" s="74"/>
      <c r="C198" s="75"/>
      <c r="D198" s="74"/>
      <c r="E198" s="76"/>
      <c r="F198" s="47" t="str">
        <f t="shared" si="8"/>
        <v/>
      </c>
      <c r="G198" s="47" t="str">
        <f t="shared" si="9"/>
        <v/>
      </c>
    </row>
    <row r="199" spans="1:7" ht="17.25" customHeight="1">
      <c r="A199" s="74"/>
      <c r="B199" s="74"/>
      <c r="C199" s="75"/>
      <c r="D199" s="74"/>
      <c r="E199" s="76"/>
      <c r="F199" s="47" t="str">
        <f t="shared" si="8"/>
        <v/>
      </c>
      <c r="G199" s="47" t="str">
        <f t="shared" si="9"/>
        <v/>
      </c>
    </row>
    <row r="200" spans="1:7" ht="17.25" customHeight="1">
      <c r="A200" s="74"/>
      <c r="B200" s="74"/>
      <c r="C200" s="75"/>
      <c r="D200" s="74"/>
      <c r="E200" s="76"/>
      <c r="F200" s="47" t="str">
        <f t="shared" si="8"/>
        <v/>
      </c>
      <c r="G200" s="47" t="str">
        <f t="shared" si="9"/>
        <v/>
      </c>
    </row>
    <row r="201" spans="1:7" ht="17.25" customHeight="1">
      <c r="A201" s="74"/>
      <c r="B201" s="74"/>
      <c r="C201" s="75"/>
      <c r="D201" s="74"/>
      <c r="E201" s="76"/>
      <c r="F201" s="47" t="str">
        <f t="shared" si="8"/>
        <v/>
      </c>
      <c r="G201" s="47" t="str">
        <f t="shared" si="9"/>
        <v/>
      </c>
    </row>
    <row r="202" spans="1:7" ht="17.25" customHeight="1">
      <c r="A202" s="74"/>
      <c r="B202" s="74"/>
      <c r="C202" s="75"/>
      <c r="D202" s="74"/>
      <c r="E202" s="76"/>
      <c r="F202" s="47" t="str">
        <f t="shared" si="8"/>
        <v/>
      </c>
      <c r="G202" s="47" t="str">
        <f t="shared" si="9"/>
        <v/>
      </c>
    </row>
    <row r="203" spans="1:7" ht="17.25" customHeight="1">
      <c r="A203" s="74"/>
      <c r="B203" s="74"/>
      <c r="C203" s="75"/>
      <c r="D203" s="74"/>
      <c r="E203" s="76"/>
      <c r="F203" s="47" t="str">
        <f t="shared" si="8"/>
        <v/>
      </c>
      <c r="G203" s="47" t="str">
        <f t="shared" si="9"/>
        <v/>
      </c>
    </row>
    <row r="204" spans="1:7" ht="17.25" customHeight="1">
      <c r="A204" s="74"/>
      <c r="B204" s="74"/>
      <c r="C204" s="75"/>
      <c r="D204" s="74"/>
      <c r="E204" s="76"/>
      <c r="F204" s="47" t="str">
        <f t="shared" si="8"/>
        <v/>
      </c>
      <c r="G204" s="47" t="str">
        <f t="shared" si="9"/>
        <v/>
      </c>
    </row>
    <row r="205" spans="1:7" ht="17.25" customHeight="1">
      <c r="A205" s="74"/>
      <c r="B205" s="74"/>
      <c r="C205" s="75"/>
      <c r="D205" s="74"/>
      <c r="E205" s="76"/>
      <c r="F205" s="47" t="str">
        <f t="shared" si="8"/>
        <v/>
      </c>
      <c r="G205" s="47" t="str">
        <f t="shared" si="9"/>
        <v/>
      </c>
    </row>
    <row r="206" spans="1:7" ht="17.25" customHeight="1">
      <c r="A206" s="74"/>
      <c r="B206" s="74"/>
      <c r="C206" s="75"/>
      <c r="D206" s="74"/>
      <c r="E206" s="76"/>
      <c r="F206" s="47" t="str">
        <f t="shared" si="8"/>
        <v/>
      </c>
      <c r="G206" s="47" t="str">
        <f t="shared" si="9"/>
        <v/>
      </c>
    </row>
    <row r="207" spans="1:7" ht="17.25" customHeight="1">
      <c r="A207" s="74"/>
      <c r="B207" s="74"/>
      <c r="C207" s="75"/>
      <c r="D207" s="74"/>
      <c r="E207" s="76"/>
      <c r="F207" s="47" t="str">
        <f t="shared" si="8"/>
        <v/>
      </c>
      <c r="G207" s="47" t="str">
        <f t="shared" si="9"/>
        <v/>
      </c>
    </row>
    <row r="208" spans="1:7" ht="17.25" customHeight="1">
      <c r="A208" s="74"/>
      <c r="B208" s="74"/>
      <c r="C208" s="75"/>
      <c r="D208" s="74"/>
      <c r="E208" s="76"/>
      <c r="F208" s="47" t="str">
        <f t="shared" si="8"/>
        <v/>
      </c>
      <c r="G208" s="47" t="str">
        <f t="shared" si="9"/>
        <v/>
      </c>
    </row>
    <row r="209" spans="1:7" ht="17.25" customHeight="1">
      <c r="A209" s="74"/>
      <c r="B209" s="74"/>
      <c r="C209" s="75"/>
      <c r="D209" s="74"/>
      <c r="E209" s="76"/>
      <c r="F209" s="47" t="str">
        <f t="shared" ref="F209:F272" si="10">IF(E209="","",F208-E209)</f>
        <v/>
      </c>
      <c r="G209" s="47" t="str">
        <f t="shared" ref="G209:G272" si="11">IF(E209="","",G208+E209)</f>
        <v/>
      </c>
    </row>
    <row r="210" spans="1:7" ht="17.25" customHeight="1">
      <c r="A210" s="74"/>
      <c r="B210" s="74"/>
      <c r="C210" s="75"/>
      <c r="D210" s="74"/>
      <c r="E210" s="76"/>
      <c r="F210" s="47" t="str">
        <f t="shared" si="10"/>
        <v/>
      </c>
      <c r="G210" s="47" t="str">
        <f t="shared" si="11"/>
        <v/>
      </c>
    </row>
    <row r="211" spans="1:7" ht="17.25" customHeight="1">
      <c r="A211" s="74"/>
      <c r="B211" s="74"/>
      <c r="C211" s="75"/>
      <c r="D211" s="74"/>
      <c r="E211" s="76"/>
      <c r="F211" s="47" t="str">
        <f t="shared" si="10"/>
        <v/>
      </c>
      <c r="G211" s="47" t="str">
        <f t="shared" si="11"/>
        <v/>
      </c>
    </row>
    <row r="212" spans="1:7" ht="17.25" customHeight="1">
      <c r="A212" s="74"/>
      <c r="B212" s="74"/>
      <c r="C212" s="75"/>
      <c r="D212" s="74"/>
      <c r="E212" s="76"/>
      <c r="F212" s="47" t="str">
        <f t="shared" si="10"/>
        <v/>
      </c>
      <c r="G212" s="47" t="str">
        <f t="shared" si="11"/>
        <v/>
      </c>
    </row>
    <row r="213" spans="1:7" ht="17.25" customHeight="1">
      <c r="A213" s="74"/>
      <c r="B213" s="74"/>
      <c r="C213" s="75"/>
      <c r="D213" s="74"/>
      <c r="E213" s="76"/>
      <c r="F213" s="47" t="str">
        <f t="shared" si="10"/>
        <v/>
      </c>
      <c r="G213" s="47" t="str">
        <f t="shared" si="11"/>
        <v/>
      </c>
    </row>
    <row r="214" spans="1:7" ht="17.25" customHeight="1">
      <c r="A214" s="74"/>
      <c r="B214" s="74"/>
      <c r="C214" s="75"/>
      <c r="D214" s="74"/>
      <c r="E214" s="76"/>
      <c r="F214" s="47" t="str">
        <f t="shared" si="10"/>
        <v/>
      </c>
      <c r="G214" s="47" t="str">
        <f t="shared" si="11"/>
        <v/>
      </c>
    </row>
    <row r="215" spans="1:7" ht="17.25" customHeight="1">
      <c r="A215" s="74"/>
      <c r="B215" s="74"/>
      <c r="C215" s="75"/>
      <c r="D215" s="74"/>
      <c r="E215" s="76"/>
      <c r="F215" s="47" t="str">
        <f t="shared" si="10"/>
        <v/>
      </c>
      <c r="G215" s="47" t="str">
        <f t="shared" si="11"/>
        <v/>
      </c>
    </row>
    <row r="216" spans="1:7" ht="17.25" customHeight="1">
      <c r="A216" s="74"/>
      <c r="B216" s="74"/>
      <c r="C216" s="75"/>
      <c r="D216" s="74"/>
      <c r="E216" s="76"/>
      <c r="F216" s="47" t="str">
        <f t="shared" si="10"/>
        <v/>
      </c>
      <c r="G216" s="47" t="str">
        <f t="shared" si="11"/>
        <v/>
      </c>
    </row>
    <row r="217" spans="1:7" ht="17.25" customHeight="1">
      <c r="A217" s="74"/>
      <c r="B217" s="74"/>
      <c r="C217" s="75"/>
      <c r="D217" s="74"/>
      <c r="E217" s="76"/>
      <c r="F217" s="47" t="str">
        <f t="shared" si="10"/>
        <v/>
      </c>
      <c r="G217" s="47" t="str">
        <f t="shared" si="11"/>
        <v/>
      </c>
    </row>
    <row r="218" spans="1:7" ht="17.25" customHeight="1">
      <c r="A218" s="74"/>
      <c r="B218" s="74"/>
      <c r="C218" s="75"/>
      <c r="D218" s="74"/>
      <c r="E218" s="76"/>
      <c r="F218" s="47" t="str">
        <f t="shared" si="10"/>
        <v/>
      </c>
      <c r="G218" s="47" t="str">
        <f t="shared" si="11"/>
        <v/>
      </c>
    </row>
    <row r="219" spans="1:7" ht="17.25" customHeight="1">
      <c r="A219" s="74"/>
      <c r="B219" s="74"/>
      <c r="C219" s="75"/>
      <c r="D219" s="74"/>
      <c r="E219" s="76"/>
      <c r="F219" s="47" t="str">
        <f t="shared" si="10"/>
        <v/>
      </c>
      <c r="G219" s="47" t="str">
        <f t="shared" si="11"/>
        <v/>
      </c>
    </row>
    <row r="220" spans="1:7" ht="17.25" customHeight="1">
      <c r="A220" s="74"/>
      <c r="B220" s="74"/>
      <c r="C220" s="75"/>
      <c r="D220" s="74"/>
      <c r="E220" s="76"/>
      <c r="F220" s="47" t="str">
        <f t="shared" si="10"/>
        <v/>
      </c>
      <c r="G220" s="47" t="str">
        <f t="shared" si="11"/>
        <v/>
      </c>
    </row>
    <row r="221" spans="1:7" ht="17.25" customHeight="1">
      <c r="A221" s="74"/>
      <c r="B221" s="74"/>
      <c r="C221" s="75"/>
      <c r="D221" s="74"/>
      <c r="E221" s="76"/>
      <c r="F221" s="47" t="str">
        <f t="shared" si="10"/>
        <v/>
      </c>
      <c r="G221" s="47" t="str">
        <f t="shared" si="11"/>
        <v/>
      </c>
    </row>
    <row r="222" spans="1:7" ht="17.25" customHeight="1">
      <c r="A222" s="74"/>
      <c r="B222" s="74"/>
      <c r="C222" s="75"/>
      <c r="D222" s="74"/>
      <c r="E222" s="76"/>
      <c r="F222" s="47" t="str">
        <f t="shared" si="10"/>
        <v/>
      </c>
      <c r="G222" s="47" t="str">
        <f t="shared" si="11"/>
        <v/>
      </c>
    </row>
    <row r="223" spans="1:7" ht="17.25" customHeight="1">
      <c r="A223" s="74"/>
      <c r="B223" s="74"/>
      <c r="C223" s="75"/>
      <c r="D223" s="74"/>
      <c r="E223" s="76"/>
      <c r="F223" s="47" t="str">
        <f t="shared" si="10"/>
        <v/>
      </c>
      <c r="G223" s="47" t="str">
        <f t="shared" si="11"/>
        <v/>
      </c>
    </row>
    <row r="224" spans="1:7" ht="17.25" customHeight="1">
      <c r="A224" s="74"/>
      <c r="B224" s="74"/>
      <c r="C224" s="75"/>
      <c r="D224" s="74"/>
      <c r="E224" s="76"/>
      <c r="F224" s="47" t="str">
        <f t="shared" si="10"/>
        <v/>
      </c>
      <c r="G224" s="47" t="str">
        <f t="shared" si="11"/>
        <v/>
      </c>
    </row>
    <row r="225" spans="1:7" ht="17.25" customHeight="1">
      <c r="A225" s="74"/>
      <c r="B225" s="74"/>
      <c r="C225" s="75"/>
      <c r="D225" s="74"/>
      <c r="E225" s="76"/>
      <c r="F225" s="47" t="str">
        <f t="shared" si="10"/>
        <v/>
      </c>
      <c r="G225" s="47" t="str">
        <f t="shared" si="11"/>
        <v/>
      </c>
    </row>
    <row r="226" spans="1:7" ht="17.25" customHeight="1">
      <c r="A226" s="74"/>
      <c r="B226" s="74"/>
      <c r="C226" s="75"/>
      <c r="D226" s="74"/>
      <c r="E226" s="76"/>
      <c r="F226" s="47" t="str">
        <f t="shared" si="10"/>
        <v/>
      </c>
      <c r="G226" s="47" t="str">
        <f t="shared" si="11"/>
        <v/>
      </c>
    </row>
    <row r="227" spans="1:7" ht="17.25" customHeight="1">
      <c r="A227" s="74"/>
      <c r="B227" s="74"/>
      <c r="C227" s="75"/>
      <c r="D227" s="74"/>
      <c r="E227" s="76"/>
      <c r="F227" s="47" t="str">
        <f t="shared" si="10"/>
        <v/>
      </c>
      <c r="G227" s="47" t="str">
        <f t="shared" si="11"/>
        <v/>
      </c>
    </row>
    <row r="228" spans="1:7" ht="17.25" customHeight="1">
      <c r="A228" s="74"/>
      <c r="B228" s="74"/>
      <c r="C228" s="75"/>
      <c r="D228" s="74"/>
      <c r="E228" s="76"/>
      <c r="F228" s="47" t="str">
        <f t="shared" si="10"/>
        <v/>
      </c>
      <c r="G228" s="47" t="str">
        <f t="shared" si="11"/>
        <v/>
      </c>
    </row>
    <row r="229" spans="1:7" ht="17.25" customHeight="1">
      <c r="A229" s="74"/>
      <c r="B229" s="74"/>
      <c r="C229" s="75"/>
      <c r="D229" s="74"/>
      <c r="E229" s="76"/>
      <c r="F229" s="47" t="str">
        <f t="shared" si="10"/>
        <v/>
      </c>
      <c r="G229" s="47" t="str">
        <f t="shared" si="11"/>
        <v/>
      </c>
    </row>
    <row r="230" spans="1:7" ht="17.25" customHeight="1">
      <c r="A230" s="74"/>
      <c r="B230" s="74"/>
      <c r="C230" s="75"/>
      <c r="D230" s="74"/>
      <c r="E230" s="76"/>
      <c r="F230" s="47" t="str">
        <f t="shared" si="10"/>
        <v/>
      </c>
      <c r="G230" s="47" t="str">
        <f t="shared" si="11"/>
        <v/>
      </c>
    </row>
    <row r="231" spans="1:7" ht="17.25" customHeight="1">
      <c r="A231" s="74"/>
      <c r="B231" s="74"/>
      <c r="C231" s="75"/>
      <c r="D231" s="74"/>
      <c r="E231" s="76"/>
      <c r="F231" s="47" t="str">
        <f t="shared" si="10"/>
        <v/>
      </c>
      <c r="G231" s="47" t="str">
        <f t="shared" si="11"/>
        <v/>
      </c>
    </row>
    <row r="232" spans="1:7" ht="17.25" customHeight="1">
      <c r="A232" s="74"/>
      <c r="B232" s="74"/>
      <c r="C232" s="75"/>
      <c r="D232" s="74"/>
      <c r="E232" s="76"/>
      <c r="F232" s="47" t="str">
        <f t="shared" si="10"/>
        <v/>
      </c>
      <c r="G232" s="47" t="str">
        <f t="shared" si="11"/>
        <v/>
      </c>
    </row>
    <row r="233" spans="1:7" ht="17.25" customHeight="1">
      <c r="A233" s="74"/>
      <c r="B233" s="74"/>
      <c r="C233" s="75"/>
      <c r="D233" s="74"/>
      <c r="E233" s="76"/>
      <c r="F233" s="47" t="str">
        <f t="shared" si="10"/>
        <v/>
      </c>
      <c r="G233" s="47" t="str">
        <f t="shared" si="11"/>
        <v/>
      </c>
    </row>
    <row r="234" spans="1:7" ht="17.25" customHeight="1">
      <c r="A234" s="74"/>
      <c r="B234" s="74"/>
      <c r="C234" s="75"/>
      <c r="D234" s="74"/>
      <c r="E234" s="76"/>
      <c r="F234" s="47" t="str">
        <f t="shared" si="10"/>
        <v/>
      </c>
      <c r="G234" s="47" t="str">
        <f t="shared" si="11"/>
        <v/>
      </c>
    </row>
    <row r="235" spans="1:7" ht="17.25" customHeight="1">
      <c r="A235" s="74"/>
      <c r="B235" s="74"/>
      <c r="C235" s="75"/>
      <c r="D235" s="74"/>
      <c r="E235" s="76"/>
      <c r="F235" s="47" t="str">
        <f t="shared" si="10"/>
        <v/>
      </c>
      <c r="G235" s="47" t="str">
        <f t="shared" si="11"/>
        <v/>
      </c>
    </row>
    <row r="236" spans="1:7" ht="17.25" customHeight="1">
      <c r="A236" s="74"/>
      <c r="B236" s="74"/>
      <c r="C236" s="75"/>
      <c r="D236" s="74"/>
      <c r="E236" s="76"/>
      <c r="F236" s="47" t="str">
        <f t="shared" si="10"/>
        <v/>
      </c>
      <c r="G236" s="47" t="str">
        <f t="shared" si="11"/>
        <v/>
      </c>
    </row>
    <row r="237" spans="1:7" ht="17.25" customHeight="1">
      <c r="A237" s="74"/>
      <c r="B237" s="74"/>
      <c r="C237" s="75"/>
      <c r="D237" s="74"/>
      <c r="E237" s="76"/>
      <c r="F237" s="47" t="str">
        <f t="shared" si="10"/>
        <v/>
      </c>
      <c r="G237" s="47" t="str">
        <f t="shared" si="11"/>
        <v/>
      </c>
    </row>
    <row r="238" spans="1:7" ht="17.25" customHeight="1">
      <c r="A238" s="74"/>
      <c r="B238" s="74"/>
      <c r="C238" s="75"/>
      <c r="D238" s="74"/>
      <c r="E238" s="76"/>
      <c r="F238" s="47" t="str">
        <f t="shared" si="10"/>
        <v/>
      </c>
      <c r="G238" s="47" t="str">
        <f t="shared" si="11"/>
        <v/>
      </c>
    </row>
    <row r="239" spans="1:7" ht="17.25" customHeight="1">
      <c r="A239" s="74"/>
      <c r="B239" s="74"/>
      <c r="C239" s="75"/>
      <c r="D239" s="74"/>
      <c r="E239" s="76"/>
      <c r="F239" s="47" t="str">
        <f t="shared" si="10"/>
        <v/>
      </c>
      <c r="G239" s="47" t="str">
        <f t="shared" si="11"/>
        <v/>
      </c>
    </row>
    <row r="240" spans="1:7" ht="17.25" customHeight="1">
      <c r="A240" s="74"/>
      <c r="B240" s="74"/>
      <c r="C240" s="75"/>
      <c r="D240" s="74"/>
      <c r="E240" s="76"/>
      <c r="F240" s="47" t="str">
        <f t="shared" si="10"/>
        <v/>
      </c>
      <c r="G240" s="47" t="str">
        <f t="shared" si="11"/>
        <v/>
      </c>
    </row>
    <row r="241" spans="1:7" ht="17.25" customHeight="1">
      <c r="A241" s="74"/>
      <c r="B241" s="74"/>
      <c r="C241" s="75"/>
      <c r="D241" s="74"/>
      <c r="E241" s="76"/>
      <c r="F241" s="47" t="str">
        <f t="shared" si="10"/>
        <v/>
      </c>
      <c r="G241" s="47" t="str">
        <f t="shared" si="11"/>
        <v/>
      </c>
    </row>
    <row r="242" spans="1:7" ht="17.25" customHeight="1">
      <c r="A242" s="74"/>
      <c r="B242" s="74"/>
      <c r="C242" s="75"/>
      <c r="D242" s="74"/>
      <c r="E242" s="76"/>
      <c r="F242" s="47" t="str">
        <f t="shared" si="10"/>
        <v/>
      </c>
      <c r="G242" s="47" t="str">
        <f t="shared" si="11"/>
        <v/>
      </c>
    </row>
    <row r="243" spans="1:7" ht="17.25" customHeight="1">
      <c r="A243" s="74"/>
      <c r="B243" s="74"/>
      <c r="C243" s="75"/>
      <c r="D243" s="74"/>
      <c r="E243" s="76"/>
      <c r="F243" s="47" t="str">
        <f t="shared" si="10"/>
        <v/>
      </c>
      <c r="G243" s="47" t="str">
        <f t="shared" si="11"/>
        <v/>
      </c>
    </row>
    <row r="244" spans="1:7" ht="17.25" customHeight="1">
      <c r="A244" s="74"/>
      <c r="B244" s="74"/>
      <c r="C244" s="75"/>
      <c r="D244" s="74"/>
      <c r="E244" s="76"/>
      <c r="F244" s="47" t="str">
        <f t="shared" si="10"/>
        <v/>
      </c>
      <c r="G244" s="47" t="str">
        <f t="shared" si="11"/>
        <v/>
      </c>
    </row>
    <row r="245" spans="1:7" ht="17.25" customHeight="1">
      <c r="A245" s="74"/>
      <c r="B245" s="74"/>
      <c r="C245" s="75"/>
      <c r="D245" s="74"/>
      <c r="E245" s="76"/>
      <c r="F245" s="47" t="str">
        <f t="shared" si="10"/>
        <v/>
      </c>
      <c r="G245" s="47" t="str">
        <f t="shared" si="11"/>
        <v/>
      </c>
    </row>
    <row r="246" spans="1:7" ht="17.25" customHeight="1">
      <c r="A246" s="74"/>
      <c r="B246" s="74"/>
      <c r="C246" s="75"/>
      <c r="D246" s="74"/>
      <c r="E246" s="76"/>
      <c r="F246" s="47" t="str">
        <f t="shared" si="10"/>
        <v/>
      </c>
      <c r="G246" s="47" t="str">
        <f t="shared" si="11"/>
        <v/>
      </c>
    </row>
    <row r="247" spans="1:7" ht="17.25" customHeight="1">
      <c r="A247" s="74"/>
      <c r="B247" s="74"/>
      <c r="C247" s="75"/>
      <c r="D247" s="74"/>
      <c r="E247" s="76"/>
      <c r="F247" s="47" t="str">
        <f t="shared" si="10"/>
        <v/>
      </c>
      <c r="G247" s="47" t="str">
        <f t="shared" si="11"/>
        <v/>
      </c>
    </row>
    <row r="248" spans="1:7" ht="17.25" customHeight="1">
      <c r="A248" s="74"/>
      <c r="B248" s="74"/>
      <c r="C248" s="75"/>
      <c r="D248" s="74"/>
      <c r="E248" s="76"/>
      <c r="F248" s="47" t="str">
        <f t="shared" si="10"/>
        <v/>
      </c>
      <c r="G248" s="47" t="str">
        <f t="shared" si="11"/>
        <v/>
      </c>
    </row>
    <row r="249" spans="1:7" ht="17.25" customHeight="1">
      <c r="A249" s="74"/>
      <c r="B249" s="74"/>
      <c r="C249" s="75"/>
      <c r="D249" s="74"/>
      <c r="E249" s="76"/>
      <c r="F249" s="47" t="str">
        <f t="shared" si="10"/>
        <v/>
      </c>
      <c r="G249" s="47" t="str">
        <f t="shared" si="11"/>
        <v/>
      </c>
    </row>
    <row r="250" spans="1:7" ht="17.25" customHeight="1">
      <c r="A250" s="74"/>
      <c r="B250" s="74"/>
      <c r="C250" s="75"/>
      <c r="D250" s="74"/>
      <c r="E250" s="76"/>
      <c r="F250" s="47" t="str">
        <f t="shared" si="10"/>
        <v/>
      </c>
      <c r="G250" s="47" t="str">
        <f t="shared" si="11"/>
        <v/>
      </c>
    </row>
    <row r="251" spans="1:7" ht="17.25" customHeight="1">
      <c r="A251" s="74"/>
      <c r="B251" s="74"/>
      <c r="C251" s="75"/>
      <c r="D251" s="74"/>
      <c r="E251" s="76"/>
      <c r="F251" s="47" t="str">
        <f t="shared" si="10"/>
        <v/>
      </c>
      <c r="G251" s="47" t="str">
        <f t="shared" si="11"/>
        <v/>
      </c>
    </row>
    <row r="252" spans="1:7" ht="17.25" customHeight="1">
      <c r="A252" s="74"/>
      <c r="B252" s="74"/>
      <c r="C252" s="75"/>
      <c r="D252" s="74"/>
      <c r="E252" s="76"/>
      <c r="F252" s="47" t="str">
        <f t="shared" si="10"/>
        <v/>
      </c>
      <c r="G252" s="47" t="str">
        <f t="shared" si="11"/>
        <v/>
      </c>
    </row>
    <row r="253" spans="1:7" ht="17.25" customHeight="1">
      <c r="A253" s="74"/>
      <c r="B253" s="74"/>
      <c r="C253" s="75"/>
      <c r="D253" s="74"/>
      <c r="E253" s="76"/>
      <c r="F253" s="47" t="str">
        <f t="shared" si="10"/>
        <v/>
      </c>
      <c r="G253" s="47" t="str">
        <f t="shared" si="11"/>
        <v/>
      </c>
    </row>
    <row r="254" spans="1:7" ht="17.25" customHeight="1">
      <c r="A254" s="74"/>
      <c r="B254" s="74"/>
      <c r="C254" s="75"/>
      <c r="D254" s="74"/>
      <c r="E254" s="76"/>
      <c r="F254" s="47" t="str">
        <f t="shared" si="10"/>
        <v/>
      </c>
      <c r="G254" s="47" t="str">
        <f t="shared" si="11"/>
        <v/>
      </c>
    </row>
    <row r="255" spans="1:7" ht="17.25" customHeight="1">
      <c r="A255" s="74"/>
      <c r="B255" s="74"/>
      <c r="C255" s="75"/>
      <c r="D255" s="74"/>
      <c r="E255" s="76"/>
      <c r="F255" s="47" t="str">
        <f t="shared" si="10"/>
        <v/>
      </c>
      <c r="G255" s="47" t="str">
        <f t="shared" si="11"/>
        <v/>
      </c>
    </row>
    <row r="256" spans="1:7" ht="17.25" customHeight="1">
      <c r="A256" s="74"/>
      <c r="B256" s="74"/>
      <c r="C256" s="75"/>
      <c r="D256" s="74"/>
      <c r="E256" s="76"/>
      <c r="F256" s="47" t="str">
        <f t="shared" si="10"/>
        <v/>
      </c>
      <c r="G256" s="47" t="str">
        <f t="shared" si="11"/>
        <v/>
      </c>
    </row>
    <row r="257" spans="1:7" ht="17.25" customHeight="1">
      <c r="A257" s="74"/>
      <c r="B257" s="74"/>
      <c r="C257" s="75"/>
      <c r="D257" s="74"/>
      <c r="E257" s="76"/>
      <c r="F257" s="47" t="str">
        <f t="shared" si="10"/>
        <v/>
      </c>
      <c r="G257" s="47" t="str">
        <f t="shared" si="11"/>
        <v/>
      </c>
    </row>
    <row r="258" spans="1:7" ht="17.25" customHeight="1">
      <c r="A258" s="74"/>
      <c r="B258" s="74"/>
      <c r="C258" s="75"/>
      <c r="D258" s="74"/>
      <c r="E258" s="76"/>
      <c r="F258" s="47" t="str">
        <f t="shared" si="10"/>
        <v/>
      </c>
      <c r="G258" s="47" t="str">
        <f t="shared" si="11"/>
        <v/>
      </c>
    </row>
    <row r="259" spans="1:7" ht="17.25" customHeight="1">
      <c r="A259" s="74"/>
      <c r="B259" s="74"/>
      <c r="C259" s="75"/>
      <c r="D259" s="74"/>
      <c r="E259" s="76"/>
      <c r="F259" s="47" t="str">
        <f t="shared" si="10"/>
        <v/>
      </c>
      <c r="G259" s="47" t="str">
        <f t="shared" si="11"/>
        <v/>
      </c>
    </row>
    <row r="260" spans="1:7" ht="17.25" customHeight="1">
      <c r="A260" s="74"/>
      <c r="B260" s="74"/>
      <c r="C260" s="75"/>
      <c r="D260" s="74"/>
      <c r="E260" s="76"/>
      <c r="F260" s="47" t="str">
        <f t="shared" si="10"/>
        <v/>
      </c>
      <c r="G260" s="47" t="str">
        <f t="shared" si="11"/>
        <v/>
      </c>
    </row>
    <row r="261" spans="1:7" ht="17.25" customHeight="1">
      <c r="A261" s="74"/>
      <c r="B261" s="74"/>
      <c r="C261" s="75"/>
      <c r="D261" s="74"/>
      <c r="E261" s="76"/>
      <c r="F261" s="47" t="str">
        <f t="shared" si="10"/>
        <v/>
      </c>
      <c r="G261" s="47" t="str">
        <f t="shared" si="11"/>
        <v/>
      </c>
    </row>
    <row r="262" spans="1:7" ht="17.25" customHeight="1">
      <c r="A262" s="74"/>
      <c r="B262" s="74"/>
      <c r="C262" s="75"/>
      <c r="D262" s="74"/>
      <c r="E262" s="76"/>
      <c r="F262" s="47" t="str">
        <f t="shared" si="10"/>
        <v/>
      </c>
      <c r="G262" s="47" t="str">
        <f t="shared" si="11"/>
        <v/>
      </c>
    </row>
    <row r="263" spans="1:7" ht="17.25" customHeight="1">
      <c r="A263" s="74"/>
      <c r="B263" s="74"/>
      <c r="C263" s="75"/>
      <c r="D263" s="74"/>
      <c r="E263" s="76"/>
      <c r="F263" s="47" t="str">
        <f t="shared" si="10"/>
        <v/>
      </c>
      <c r="G263" s="47" t="str">
        <f t="shared" si="11"/>
        <v/>
      </c>
    </row>
    <row r="264" spans="1:7" ht="17.25" customHeight="1">
      <c r="A264" s="74"/>
      <c r="B264" s="74"/>
      <c r="C264" s="75"/>
      <c r="D264" s="74"/>
      <c r="E264" s="76"/>
      <c r="F264" s="47" t="str">
        <f t="shared" si="10"/>
        <v/>
      </c>
      <c r="G264" s="47" t="str">
        <f t="shared" si="11"/>
        <v/>
      </c>
    </row>
    <row r="265" spans="1:7" ht="17.25" customHeight="1">
      <c r="A265" s="74"/>
      <c r="B265" s="74"/>
      <c r="C265" s="75"/>
      <c r="D265" s="74"/>
      <c r="E265" s="76"/>
      <c r="F265" s="47" t="str">
        <f t="shared" si="10"/>
        <v/>
      </c>
      <c r="G265" s="47" t="str">
        <f t="shared" si="11"/>
        <v/>
      </c>
    </row>
    <row r="266" spans="1:7" ht="17.25" customHeight="1">
      <c r="A266" s="74"/>
      <c r="B266" s="74"/>
      <c r="C266" s="75"/>
      <c r="D266" s="74"/>
      <c r="E266" s="76"/>
      <c r="F266" s="47" t="str">
        <f t="shared" si="10"/>
        <v/>
      </c>
      <c r="G266" s="47" t="str">
        <f t="shared" si="11"/>
        <v/>
      </c>
    </row>
    <row r="267" spans="1:7" ht="17.25" customHeight="1">
      <c r="A267" s="74"/>
      <c r="B267" s="74"/>
      <c r="C267" s="75"/>
      <c r="D267" s="74"/>
      <c r="E267" s="76"/>
      <c r="F267" s="47" t="str">
        <f t="shared" si="10"/>
        <v/>
      </c>
      <c r="G267" s="47" t="str">
        <f t="shared" si="11"/>
        <v/>
      </c>
    </row>
    <row r="268" spans="1:7" ht="17.25" customHeight="1">
      <c r="A268" s="74"/>
      <c r="B268" s="74"/>
      <c r="C268" s="75"/>
      <c r="D268" s="74"/>
      <c r="E268" s="76"/>
      <c r="F268" s="47" t="str">
        <f t="shared" si="10"/>
        <v/>
      </c>
      <c r="G268" s="47" t="str">
        <f t="shared" si="11"/>
        <v/>
      </c>
    </row>
    <row r="269" spans="1:7" ht="17.25" customHeight="1">
      <c r="A269" s="74"/>
      <c r="B269" s="74"/>
      <c r="C269" s="75"/>
      <c r="D269" s="74"/>
      <c r="E269" s="76"/>
      <c r="F269" s="47" t="str">
        <f t="shared" si="10"/>
        <v/>
      </c>
      <c r="G269" s="47" t="str">
        <f t="shared" si="11"/>
        <v/>
      </c>
    </row>
    <row r="270" spans="1:7" ht="17.25" customHeight="1">
      <c r="A270" s="74"/>
      <c r="B270" s="74"/>
      <c r="C270" s="75"/>
      <c r="D270" s="74"/>
      <c r="E270" s="76"/>
      <c r="F270" s="47" t="str">
        <f t="shared" si="10"/>
        <v/>
      </c>
      <c r="G270" s="47" t="str">
        <f t="shared" si="11"/>
        <v/>
      </c>
    </row>
    <row r="271" spans="1:7" ht="17.25" customHeight="1">
      <c r="A271" s="74"/>
      <c r="B271" s="74"/>
      <c r="C271" s="75"/>
      <c r="D271" s="74"/>
      <c r="E271" s="76"/>
      <c r="F271" s="47" t="str">
        <f t="shared" si="10"/>
        <v/>
      </c>
      <c r="G271" s="47" t="str">
        <f t="shared" si="11"/>
        <v/>
      </c>
    </row>
    <row r="272" spans="1:7" ht="17.25" customHeight="1">
      <c r="A272" s="74"/>
      <c r="B272" s="74"/>
      <c r="C272" s="75"/>
      <c r="D272" s="74"/>
      <c r="E272" s="76"/>
      <c r="F272" s="47" t="str">
        <f t="shared" si="10"/>
        <v/>
      </c>
      <c r="G272" s="47" t="str">
        <f t="shared" si="11"/>
        <v/>
      </c>
    </row>
    <row r="273" spans="1:7" ht="17.25" customHeight="1">
      <c r="A273" s="74"/>
      <c r="B273" s="74"/>
      <c r="C273" s="75"/>
      <c r="D273" s="74"/>
      <c r="E273" s="76"/>
      <c r="F273" s="47" t="str">
        <f t="shared" ref="F273:F336" si="12">IF(E273="","",F272-E273)</f>
        <v/>
      </c>
      <c r="G273" s="47" t="str">
        <f t="shared" ref="G273:G336" si="13">IF(E273="","",G272+E273)</f>
        <v/>
      </c>
    </row>
    <row r="274" spans="1:7" ht="17.25" customHeight="1">
      <c r="A274" s="74"/>
      <c r="B274" s="74"/>
      <c r="C274" s="75"/>
      <c r="D274" s="74"/>
      <c r="E274" s="76"/>
      <c r="F274" s="47" t="str">
        <f t="shared" si="12"/>
        <v/>
      </c>
      <c r="G274" s="47" t="str">
        <f t="shared" si="13"/>
        <v/>
      </c>
    </row>
    <row r="275" spans="1:7" ht="17.25" customHeight="1">
      <c r="A275" s="74"/>
      <c r="B275" s="74"/>
      <c r="C275" s="75"/>
      <c r="D275" s="74"/>
      <c r="E275" s="76"/>
      <c r="F275" s="47" t="str">
        <f t="shared" si="12"/>
        <v/>
      </c>
      <c r="G275" s="47" t="str">
        <f t="shared" si="13"/>
        <v/>
      </c>
    </row>
    <row r="276" spans="1:7" ht="17.25" customHeight="1">
      <c r="A276" s="74"/>
      <c r="B276" s="74"/>
      <c r="C276" s="75"/>
      <c r="D276" s="74"/>
      <c r="E276" s="76"/>
      <c r="F276" s="47" t="str">
        <f t="shared" si="12"/>
        <v/>
      </c>
      <c r="G276" s="47" t="str">
        <f t="shared" si="13"/>
        <v/>
      </c>
    </row>
    <row r="277" spans="1:7" ht="17.25" customHeight="1">
      <c r="A277" s="74"/>
      <c r="B277" s="74"/>
      <c r="C277" s="75"/>
      <c r="D277" s="74"/>
      <c r="E277" s="76"/>
      <c r="F277" s="47" t="str">
        <f t="shared" si="12"/>
        <v/>
      </c>
      <c r="G277" s="47" t="str">
        <f t="shared" si="13"/>
        <v/>
      </c>
    </row>
    <row r="278" spans="1:7" ht="17.25" customHeight="1">
      <c r="A278" s="74"/>
      <c r="B278" s="74"/>
      <c r="C278" s="75"/>
      <c r="D278" s="74"/>
      <c r="E278" s="76"/>
      <c r="F278" s="47" t="str">
        <f t="shared" si="12"/>
        <v/>
      </c>
      <c r="G278" s="47" t="str">
        <f t="shared" si="13"/>
        <v/>
      </c>
    </row>
    <row r="279" spans="1:7" ht="17.25" customHeight="1">
      <c r="A279" s="74"/>
      <c r="B279" s="74"/>
      <c r="C279" s="75"/>
      <c r="D279" s="74"/>
      <c r="E279" s="76"/>
      <c r="F279" s="47" t="str">
        <f t="shared" si="12"/>
        <v/>
      </c>
      <c r="G279" s="47" t="str">
        <f t="shared" si="13"/>
        <v/>
      </c>
    </row>
    <row r="280" spans="1:7" ht="17.25" customHeight="1">
      <c r="A280" s="74"/>
      <c r="B280" s="74"/>
      <c r="C280" s="75"/>
      <c r="D280" s="74"/>
      <c r="E280" s="76"/>
      <c r="F280" s="47" t="str">
        <f t="shared" si="12"/>
        <v/>
      </c>
      <c r="G280" s="47" t="str">
        <f t="shared" si="13"/>
        <v/>
      </c>
    </row>
    <row r="281" spans="1:7" ht="17.25" customHeight="1">
      <c r="A281" s="74"/>
      <c r="B281" s="74"/>
      <c r="C281" s="75"/>
      <c r="D281" s="74"/>
      <c r="E281" s="76"/>
      <c r="F281" s="47" t="str">
        <f t="shared" si="12"/>
        <v/>
      </c>
      <c r="G281" s="47" t="str">
        <f t="shared" si="13"/>
        <v/>
      </c>
    </row>
    <row r="282" spans="1:7" ht="17.25" customHeight="1">
      <c r="A282" s="74"/>
      <c r="B282" s="74"/>
      <c r="C282" s="75"/>
      <c r="D282" s="74"/>
      <c r="E282" s="76"/>
      <c r="F282" s="47" t="str">
        <f t="shared" si="12"/>
        <v/>
      </c>
      <c r="G282" s="47" t="str">
        <f t="shared" si="13"/>
        <v/>
      </c>
    </row>
    <row r="283" spans="1:7" ht="17.25" customHeight="1">
      <c r="A283" s="74"/>
      <c r="B283" s="74"/>
      <c r="C283" s="75"/>
      <c r="D283" s="74"/>
      <c r="E283" s="76"/>
      <c r="F283" s="47" t="str">
        <f t="shared" si="12"/>
        <v/>
      </c>
      <c r="G283" s="47" t="str">
        <f t="shared" si="13"/>
        <v/>
      </c>
    </row>
    <row r="284" spans="1:7" ht="17.25" customHeight="1">
      <c r="A284" s="74"/>
      <c r="B284" s="74"/>
      <c r="C284" s="75"/>
      <c r="D284" s="74"/>
      <c r="E284" s="76"/>
      <c r="F284" s="47" t="str">
        <f t="shared" si="12"/>
        <v/>
      </c>
      <c r="G284" s="47" t="str">
        <f t="shared" si="13"/>
        <v/>
      </c>
    </row>
    <row r="285" spans="1:7" ht="17.25" customHeight="1">
      <c r="A285" s="74"/>
      <c r="B285" s="74"/>
      <c r="C285" s="75"/>
      <c r="D285" s="74"/>
      <c r="E285" s="76"/>
      <c r="F285" s="47" t="str">
        <f t="shared" si="12"/>
        <v/>
      </c>
      <c r="G285" s="47" t="str">
        <f t="shared" si="13"/>
        <v/>
      </c>
    </row>
    <row r="286" spans="1:7" ht="17.25" customHeight="1">
      <c r="A286" s="74"/>
      <c r="B286" s="74"/>
      <c r="C286" s="75"/>
      <c r="D286" s="74"/>
      <c r="E286" s="76"/>
      <c r="F286" s="47" t="str">
        <f t="shared" si="12"/>
        <v/>
      </c>
      <c r="G286" s="47" t="str">
        <f t="shared" si="13"/>
        <v/>
      </c>
    </row>
    <row r="287" spans="1:7" ht="17.25" customHeight="1">
      <c r="A287" s="74"/>
      <c r="B287" s="74"/>
      <c r="C287" s="75"/>
      <c r="D287" s="74"/>
      <c r="E287" s="76"/>
      <c r="F287" s="47" t="str">
        <f t="shared" si="12"/>
        <v/>
      </c>
      <c r="G287" s="47" t="str">
        <f t="shared" si="13"/>
        <v/>
      </c>
    </row>
    <row r="288" spans="1:7" ht="17.25" customHeight="1">
      <c r="A288" s="74"/>
      <c r="B288" s="74"/>
      <c r="C288" s="75"/>
      <c r="D288" s="74"/>
      <c r="E288" s="76"/>
      <c r="F288" s="47" t="str">
        <f t="shared" si="12"/>
        <v/>
      </c>
      <c r="G288" s="47" t="str">
        <f t="shared" si="13"/>
        <v/>
      </c>
    </row>
    <row r="289" spans="1:7" ht="17.25" customHeight="1">
      <c r="A289" s="74"/>
      <c r="B289" s="74"/>
      <c r="C289" s="75"/>
      <c r="D289" s="74"/>
      <c r="E289" s="76"/>
      <c r="F289" s="47" t="str">
        <f t="shared" si="12"/>
        <v/>
      </c>
      <c r="G289" s="47" t="str">
        <f t="shared" si="13"/>
        <v/>
      </c>
    </row>
    <row r="290" spans="1:7" ht="17.25" customHeight="1">
      <c r="A290" s="74"/>
      <c r="B290" s="74"/>
      <c r="C290" s="75"/>
      <c r="D290" s="74"/>
      <c r="E290" s="76"/>
      <c r="F290" s="47" t="str">
        <f t="shared" si="12"/>
        <v/>
      </c>
      <c r="G290" s="47" t="str">
        <f t="shared" si="13"/>
        <v/>
      </c>
    </row>
    <row r="291" spans="1:7" ht="17.25" customHeight="1">
      <c r="A291" s="74"/>
      <c r="B291" s="74"/>
      <c r="C291" s="75"/>
      <c r="D291" s="74"/>
      <c r="E291" s="76"/>
      <c r="F291" s="47" t="str">
        <f t="shared" si="12"/>
        <v/>
      </c>
      <c r="G291" s="47" t="str">
        <f t="shared" si="13"/>
        <v/>
      </c>
    </row>
    <row r="292" spans="1:7" ht="17.25" customHeight="1">
      <c r="A292" s="74"/>
      <c r="B292" s="74"/>
      <c r="C292" s="75"/>
      <c r="D292" s="74"/>
      <c r="E292" s="76"/>
      <c r="F292" s="47" t="str">
        <f t="shared" si="12"/>
        <v/>
      </c>
      <c r="G292" s="47" t="str">
        <f t="shared" si="13"/>
        <v/>
      </c>
    </row>
    <row r="293" spans="1:7" ht="17.25" customHeight="1">
      <c r="A293" s="74"/>
      <c r="B293" s="74"/>
      <c r="C293" s="75"/>
      <c r="D293" s="74"/>
      <c r="E293" s="76"/>
      <c r="F293" s="47" t="str">
        <f t="shared" si="12"/>
        <v/>
      </c>
      <c r="G293" s="47" t="str">
        <f t="shared" si="13"/>
        <v/>
      </c>
    </row>
    <row r="294" spans="1:7" ht="17.25" customHeight="1">
      <c r="A294" s="74"/>
      <c r="B294" s="74"/>
      <c r="C294" s="75"/>
      <c r="D294" s="74"/>
      <c r="E294" s="76"/>
      <c r="F294" s="47" t="str">
        <f t="shared" si="12"/>
        <v/>
      </c>
      <c r="G294" s="47" t="str">
        <f t="shared" si="13"/>
        <v/>
      </c>
    </row>
    <row r="295" spans="1:7" ht="17.25" customHeight="1">
      <c r="A295" s="74"/>
      <c r="B295" s="74"/>
      <c r="C295" s="75"/>
      <c r="D295" s="74"/>
      <c r="E295" s="76"/>
      <c r="F295" s="47" t="str">
        <f t="shared" si="12"/>
        <v/>
      </c>
      <c r="G295" s="47" t="str">
        <f t="shared" si="13"/>
        <v/>
      </c>
    </row>
    <row r="296" spans="1:7" ht="17.25" customHeight="1">
      <c r="A296" s="74"/>
      <c r="B296" s="74"/>
      <c r="C296" s="75"/>
      <c r="D296" s="74"/>
      <c r="E296" s="76"/>
      <c r="F296" s="47" t="str">
        <f t="shared" si="12"/>
        <v/>
      </c>
      <c r="G296" s="47" t="str">
        <f t="shared" si="13"/>
        <v/>
      </c>
    </row>
    <row r="297" spans="1:7" ht="17.25" customHeight="1">
      <c r="A297" s="74"/>
      <c r="B297" s="74"/>
      <c r="C297" s="75"/>
      <c r="D297" s="74"/>
      <c r="E297" s="76"/>
      <c r="F297" s="47" t="str">
        <f t="shared" si="12"/>
        <v/>
      </c>
      <c r="G297" s="47" t="str">
        <f t="shared" si="13"/>
        <v/>
      </c>
    </row>
    <row r="298" spans="1:7" ht="17.25" customHeight="1">
      <c r="A298" s="74"/>
      <c r="B298" s="74"/>
      <c r="C298" s="75"/>
      <c r="D298" s="74"/>
      <c r="E298" s="76"/>
      <c r="F298" s="47" t="str">
        <f t="shared" si="12"/>
        <v/>
      </c>
      <c r="G298" s="47" t="str">
        <f t="shared" si="13"/>
        <v/>
      </c>
    </row>
    <row r="299" spans="1:7" ht="17.25" customHeight="1">
      <c r="A299" s="74"/>
      <c r="B299" s="74"/>
      <c r="C299" s="75"/>
      <c r="D299" s="74"/>
      <c r="E299" s="76"/>
      <c r="F299" s="47" t="str">
        <f t="shared" si="12"/>
        <v/>
      </c>
      <c r="G299" s="47" t="str">
        <f t="shared" si="13"/>
        <v/>
      </c>
    </row>
    <row r="300" spans="1:7" ht="17.25" customHeight="1">
      <c r="A300" s="74"/>
      <c r="B300" s="74"/>
      <c r="C300" s="75"/>
      <c r="D300" s="74"/>
      <c r="E300" s="76"/>
      <c r="F300" s="47" t="str">
        <f t="shared" si="12"/>
        <v/>
      </c>
      <c r="G300" s="47" t="str">
        <f t="shared" si="13"/>
        <v/>
      </c>
    </row>
    <row r="301" spans="1:7" ht="17.25" customHeight="1">
      <c r="A301" s="74"/>
      <c r="B301" s="74"/>
      <c r="C301" s="75"/>
      <c r="D301" s="74"/>
      <c r="E301" s="76"/>
      <c r="F301" s="47" t="str">
        <f t="shared" si="12"/>
        <v/>
      </c>
      <c r="G301" s="47" t="str">
        <f t="shared" si="13"/>
        <v/>
      </c>
    </row>
    <row r="302" spans="1:7" ht="17.25" customHeight="1">
      <c r="A302" s="74"/>
      <c r="B302" s="74"/>
      <c r="C302" s="75"/>
      <c r="D302" s="74"/>
      <c r="E302" s="76"/>
      <c r="F302" s="47" t="str">
        <f t="shared" si="12"/>
        <v/>
      </c>
      <c r="G302" s="47" t="str">
        <f t="shared" si="13"/>
        <v/>
      </c>
    </row>
    <row r="303" spans="1:7" ht="17.25" customHeight="1">
      <c r="A303" s="74"/>
      <c r="B303" s="74"/>
      <c r="C303" s="75"/>
      <c r="D303" s="74"/>
      <c r="E303" s="76"/>
      <c r="F303" s="47" t="str">
        <f t="shared" si="12"/>
        <v/>
      </c>
      <c r="G303" s="47" t="str">
        <f t="shared" si="13"/>
        <v/>
      </c>
    </row>
    <row r="304" spans="1:7" ht="17.25" customHeight="1">
      <c r="A304" s="74"/>
      <c r="B304" s="74"/>
      <c r="C304" s="75"/>
      <c r="D304" s="74"/>
      <c r="E304" s="76"/>
      <c r="F304" s="47" t="str">
        <f t="shared" si="12"/>
        <v/>
      </c>
      <c r="G304" s="47" t="str">
        <f t="shared" si="13"/>
        <v/>
      </c>
    </row>
    <row r="305" spans="1:7" ht="17.25" customHeight="1">
      <c r="A305" s="74"/>
      <c r="B305" s="74"/>
      <c r="C305" s="75"/>
      <c r="D305" s="74"/>
      <c r="E305" s="76"/>
      <c r="F305" s="47" t="str">
        <f t="shared" si="12"/>
        <v/>
      </c>
      <c r="G305" s="47" t="str">
        <f t="shared" si="13"/>
        <v/>
      </c>
    </row>
    <row r="306" spans="1:7" ht="17.25" customHeight="1">
      <c r="A306" s="74"/>
      <c r="B306" s="74"/>
      <c r="C306" s="75"/>
      <c r="D306" s="74"/>
      <c r="E306" s="76"/>
      <c r="F306" s="47" t="str">
        <f t="shared" si="12"/>
        <v/>
      </c>
      <c r="G306" s="47" t="str">
        <f t="shared" si="13"/>
        <v/>
      </c>
    </row>
    <row r="307" spans="1:7" ht="17.25" customHeight="1">
      <c r="A307" s="74"/>
      <c r="B307" s="74"/>
      <c r="C307" s="75"/>
      <c r="D307" s="74"/>
      <c r="E307" s="76"/>
      <c r="F307" s="47" t="str">
        <f t="shared" si="12"/>
        <v/>
      </c>
      <c r="G307" s="47" t="str">
        <f t="shared" si="13"/>
        <v/>
      </c>
    </row>
    <row r="308" spans="1:7" ht="17.25" customHeight="1">
      <c r="A308" s="74"/>
      <c r="B308" s="74"/>
      <c r="C308" s="75"/>
      <c r="D308" s="74"/>
      <c r="E308" s="76"/>
      <c r="F308" s="47" t="str">
        <f t="shared" si="12"/>
        <v/>
      </c>
      <c r="G308" s="47" t="str">
        <f t="shared" si="13"/>
        <v/>
      </c>
    </row>
    <row r="309" spans="1:7" ht="17.25" customHeight="1">
      <c r="A309" s="74"/>
      <c r="B309" s="74"/>
      <c r="C309" s="75"/>
      <c r="D309" s="74"/>
      <c r="E309" s="76"/>
      <c r="F309" s="47" t="str">
        <f t="shared" si="12"/>
        <v/>
      </c>
      <c r="G309" s="47" t="str">
        <f t="shared" si="13"/>
        <v/>
      </c>
    </row>
    <row r="310" spans="1:7" ht="17.25" customHeight="1">
      <c r="A310" s="74"/>
      <c r="B310" s="74"/>
      <c r="C310" s="75"/>
      <c r="D310" s="74"/>
      <c r="E310" s="76"/>
      <c r="F310" s="47" t="str">
        <f t="shared" si="12"/>
        <v/>
      </c>
      <c r="G310" s="47" t="str">
        <f t="shared" si="13"/>
        <v/>
      </c>
    </row>
    <row r="311" spans="1:7" ht="17.25" customHeight="1">
      <c r="A311" s="74"/>
      <c r="B311" s="74"/>
      <c r="C311" s="75"/>
      <c r="D311" s="74"/>
      <c r="E311" s="76"/>
      <c r="F311" s="47" t="str">
        <f t="shared" si="12"/>
        <v/>
      </c>
      <c r="G311" s="47" t="str">
        <f t="shared" si="13"/>
        <v/>
      </c>
    </row>
    <row r="312" spans="1:7" ht="17.25" customHeight="1">
      <c r="A312" s="74"/>
      <c r="B312" s="74"/>
      <c r="C312" s="75"/>
      <c r="D312" s="74"/>
      <c r="E312" s="76"/>
      <c r="F312" s="47" t="str">
        <f t="shared" si="12"/>
        <v/>
      </c>
      <c r="G312" s="47" t="str">
        <f t="shared" si="13"/>
        <v/>
      </c>
    </row>
    <row r="313" spans="1:7" ht="17.25" customHeight="1">
      <c r="A313" s="74"/>
      <c r="B313" s="74"/>
      <c r="C313" s="75"/>
      <c r="D313" s="74"/>
      <c r="E313" s="76"/>
      <c r="F313" s="47" t="str">
        <f t="shared" si="12"/>
        <v/>
      </c>
      <c r="G313" s="47" t="str">
        <f t="shared" si="13"/>
        <v/>
      </c>
    </row>
    <row r="314" spans="1:7" ht="17.25" customHeight="1">
      <c r="A314" s="74"/>
      <c r="B314" s="74"/>
      <c r="C314" s="75"/>
      <c r="D314" s="74"/>
      <c r="E314" s="76"/>
      <c r="F314" s="47" t="str">
        <f t="shared" si="12"/>
        <v/>
      </c>
      <c r="G314" s="47" t="str">
        <f t="shared" si="13"/>
        <v/>
      </c>
    </row>
    <row r="315" spans="1:7" ht="17.25" customHeight="1">
      <c r="A315" s="74"/>
      <c r="B315" s="74"/>
      <c r="C315" s="75"/>
      <c r="D315" s="74"/>
      <c r="E315" s="76"/>
      <c r="F315" s="47" t="str">
        <f t="shared" si="12"/>
        <v/>
      </c>
      <c r="G315" s="47" t="str">
        <f t="shared" si="13"/>
        <v/>
      </c>
    </row>
    <row r="316" spans="1:7" ht="17.25" customHeight="1">
      <c r="A316" s="74"/>
      <c r="B316" s="74"/>
      <c r="C316" s="75"/>
      <c r="D316" s="74"/>
      <c r="E316" s="76"/>
      <c r="F316" s="47" t="str">
        <f t="shared" si="12"/>
        <v/>
      </c>
      <c r="G316" s="47" t="str">
        <f t="shared" si="13"/>
        <v/>
      </c>
    </row>
    <row r="317" spans="1:7" ht="17.25" customHeight="1">
      <c r="A317" s="74"/>
      <c r="B317" s="74"/>
      <c r="C317" s="75"/>
      <c r="D317" s="74"/>
      <c r="E317" s="76"/>
      <c r="F317" s="47" t="str">
        <f t="shared" si="12"/>
        <v/>
      </c>
      <c r="G317" s="47" t="str">
        <f t="shared" si="13"/>
        <v/>
      </c>
    </row>
    <row r="318" spans="1:7" ht="17.25" customHeight="1">
      <c r="A318" s="74"/>
      <c r="B318" s="74"/>
      <c r="C318" s="75"/>
      <c r="D318" s="74"/>
      <c r="E318" s="76"/>
      <c r="F318" s="47" t="str">
        <f t="shared" si="12"/>
        <v/>
      </c>
      <c r="G318" s="47" t="str">
        <f t="shared" si="13"/>
        <v/>
      </c>
    </row>
    <row r="319" spans="1:7" ht="17.25" customHeight="1">
      <c r="A319" s="74"/>
      <c r="B319" s="74"/>
      <c r="C319" s="75"/>
      <c r="D319" s="74"/>
      <c r="E319" s="76"/>
      <c r="F319" s="47" t="str">
        <f t="shared" si="12"/>
        <v/>
      </c>
      <c r="G319" s="47" t="str">
        <f t="shared" si="13"/>
        <v/>
      </c>
    </row>
    <row r="320" spans="1:7" ht="17.25" customHeight="1">
      <c r="A320" s="74"/>
      <c r="B320" s="74"/>
      <c r="C320" s="75"/>
      <c r="D320" s="74"/>
      <c r="E320" s="76"/>
      <c r="F320" s="47" t="str">
        <f t="shared" si="12"/>
        <v/>
      </c>
      <c r="G320" s="47" t="str">
        <f t="shared" si="13"/>
        <v/>
      </c>
    </row>
    <row r="321" spans="1:7" ht="17.25" customHeight="1">
      <c r="A321" s="74"/>
      <c r="B321" s="74"/>
      <c r="C321" s="75"/>
      <c r="D321" s="74"/>
      <c r="E321" s="76"/>
      <c r="F321" s="47" t="str">
        <f t="shared" si="12"/>
        <v/>
      </c>
      <c r="G321" s="47" t="str">
        <f t="shared" si="13"/>
        <v/>
      </c>
    </row>
    <row r="322" spans="1:7" ht="17.25" customHeight="1">
      <c r="A322" s="74"/>
      <c r="B322" s="74"/>
      <c r="C322" s="75"/>
      <c r="D322" s="74"/>
      <c r="E322" s="76"/>
      <c r="F322" s="47" t="str">
        <f t="shared" si="12"/>
        <v/>
      </c>
      <c r="G322" s="47" t="str">
        <f t="shared" si="13"/>
        <v/>
      </c>
    </row>
    <row r="323" spans="1:7" ht="17.25" customHeight="1">
      <c r="A323" s="74"/>
      <c r="B323" s="74"/>
      <c r="C323" s="75"/>
      <c r="D323" s="74"/>
      <c r="E323" s="76"/>
      <c r="F323" s="47" t="str">
        <f t="shared" si="12"/>
        <v/>
      </c>
      <c r="G323" s="47" t="str">
        <f t="shared" si="13"/>
        <v/>
      </c>
    </row>
    <row r="324" spans="1:7" ht="17.25" customHeight="1">
      <c r="A324" s="74"/>
      <c r="B324" s="74"/>
      <c r="C324" s="75"/>
      <c r="D324" s="74"/>
      <c r="E324" s="76"/>
      <c r="F324" s="47" t="str">
        <f t="shared" si="12"/>
        <v/>
      </c>
      <c r="G324" s="47" t="str">
        <f t="shared" si="13"/>
        <v/>
      </c>
    </row>
    <row r="325" spans="1:7" ht="17.25" customHeight="1">
      <c r="A325" s="74"/>
      <c r="B325" s="74"/>
      <c r="C325" s="75"/>
      <c r="D325" s="74"/>
      <c r="E325" s="76"/>
      <c r="F325" s="47" t="str">
        <f t="shared" si="12"/>
        <v/>
      </c>
      <c r="G325" s="47" t="str">
        <f t="shared" si="13"/>
        <v/>
      </c>
    </row>
    <row r="326" spans="1:7" ht="17.25" customHeight="1">
      <c r="A326" s="74"/>
      <c r="B326" s="74"/>
      <c r="C326" s="75"/>
      <c r="D326" s="74"/>
      <c r="E326" s="76"/>
      <c r="F326" s="47" t="str">
        <f t="shared" si="12"/>
        <v/>
      </c>
      <c r="G326" s="47" t="str">
        <f t="shared" si="13"/>
        <v/>
      </c>
    </row>
    <row r="327" spans="1:7" ht="17.25" customHeight="1">
      <c r="A327" s="74"/>
      <c r="B327" s="74"/>
      <c r="C327" s="75"/>
      <c r="D327" s="74"/>
      <c r="E327" s="76"/>
      <c r="F327" s="47" t="str">
        <f t="shared" si="12"/>
        <v/>
      </c>
      <c r="G327" s="47" t="str">
        <f t="shared" si="13"/>
        <v/>
      </c>
    </row>
    <row r="328" spans="1:7" ht="17.25" customHeight="1">
      <c r="A328" s="74"/>
      <c r="B328" s="74"/>
      <c r="C328" s="75"/>
      <c r="D328" s="74"/>
      <c r="E328" s="76"/>
      <c r="F328" s="47" t="str">
        <f t="shared" si="12"/>
        <v/>
      </c>
      <c r="G328" s="47" t="str">
        <f t="shared" si="13"/>
        <v/>
      </c>
    </row>
    <row r="329" spans="1:7" ht="17.25" customHeight="1">
      <c r="A329" s="74"/>
      <c r="B329" s="74"/>
      <c r="C329" s="75"/>
      <c r="D329" s="74"/>
      <c r="E329" s="76"/>
      <c r="F329" s="47" t="str">
        <f t="shared" si="12"/>
        <v/>
      </c>
      <c r="G329" s="47" t="str">
        <f t="shared" si="13"/>
        <v/>
      </c>
    </row>
    <row r="330" spans="1:7" ht="17.25" customHeight="1">
      <c r="A330" s="74"/>
      <c r="B330" s="74"/>
      <c r="C330" s="75"/>
      <c r="D330" s="74"/>
      <c r="E330" s="76"/>
      <c r="F330" s="47" t="str">
        <f t="shared" si="12"/>
        <v/>
      </c>
      <c r="G330" s="47" t="str">
        <f t="shared" si="13"/>
        <v/>
      </c>
    </row>
    <row r="331" spans="1:7" ht="17.25" customHeight="1">
      <c r="A331" s="74"/>
      <c r="B331" s="74"/>
      <c r="C331" s="75"/>
      <c r="D331" s="74"/>
      <c r="E331" s="76"/>
      <c r="F331" s="47" t="str">
        <f t="shared" si="12"/>
        <v/>
      </c>
      <c r="G331" s="47" t="str">
        <f t="shared" si="13"/>
        <v/>
      </c>
    </row>
    <row r="332" spans="1:7" ht="17.25" customHeight="1">
      <c r="A332" s="74"/>
      <c r="B332" s="74"/>
      <c r="C332" s="75"/>
      <c r="D332" s="74"/>
      <c r="E332" s="76"/>
      <c r="F332" s="47" t="str">
        <f t="shared" si="12"/>
        <v/>
      </c>
      <c r="G332" s="47" t="str">
        <f t="shared" si="13"/>
        <v/>
      </c>
    </row>
    <row r="333" spans="1:7" ht="17.25" customHeight="1">
      <c r="A333" s="74"/>
      <c r="B333" s="74"/>
      <c r="C333" s="75"/>
      <c r="D333" s="74"/>
      <c r="E333" s="76"/>
      <c r="F333" s="47" t="str">
        <f t="shared" si="12"/>
        <v/>
      </c>
      <c r="G333" s="47" t="str">
        <f t="shared" si="13"/>
        <v/>
      </c>
    </row>
    <row r="334" spans="1:7" ht="17.25" customHeight="1">
      <c r="A334" s="74"/>
      <c r="B334" s="74"/>
      <c r="C334" s="75"/>
      <c r="D334" s="74"/>
      <c r="E334" s="76"/>
      <c r="F334" s="47" t="str">
        <f t="shared" si="12"/>
        <v/>
      </c>
      <c r="G334" s="47" t="str">
        <f t="shared" si="13"/>
        <v/>
      </c>
    </row>
    <row r="335" spans="1:7" ht="17.25" customHeight="1">
      <c r="A335" s="74"/>
      <c r="B335" s="74"/>
      <c r="C335" s="75"/>
      <c r="D335" s="74"/>
      <c r="E335" s="76"/>
      <c r="F335" s="47" t="str">
        <f t="shared" si="12"/>
        <v/>
      </c>
      <c r="G335" s="47" t="str">
        <f t="shared" si="13"/>
        <v/>
      </c>
    </row>
    <row r="336" spans="1:7" ht="17.25" customHeight="1">
      <c r="A336" s="74"/>
      <c r="B336" s="74"/>
      <c r="C336" s="75"/>
      <c r="D336" s="74"/>
      <c r="E336" s="76"/>
      <c r="F336" s="47" t="str">
        <f t="shared" si="12"/>
        <v/>
      </c>
      <c r="G336" s="47" t="str">
        <f t="shared" si="13"/>
        <v/>
      </c>
    </row>
    <row r="337" spans="1:7" ht="17.25" customHeight="1">
      <c r="A337" s="74"/>
      <c r="B337" s="74"/>
      <c r="C337" s="75"/>
      <c r="D337" s="74"/>
      <c r="E337" s="76"/>
      <c r="F337" s="47" t="str">
        <f t="shared" ref="F337:F400" si="14">IF(E337="","",F336-E337)</f>
        <v/>
      </c>
      <c r="G337" s="47" t="str">
        <f t="shared" ref="G337:G400" si="15">IF(E337="","",G336+E337)</f>
        <v/>
      </c>
    </row>
    <row r="338" spans="1:7" ht="17.25" customHeight="1">
      <c r="A338" s="74"/>
      <c r="B338" s="74"/>
      <c r="C338" s="75"/>
      <c r="D338" s="74"/>
      <c r="E338" s="76"/>
      <c r="F338" s="47" t="str">
        <f t="shared" si="14"/>
        <v/>
      </c>
      <c r="G338" s="47" t="str">
        <f t="shared" si="15"/>
        <v/>
      </c>
    </row>
    <row r="339" spans="1:7" ht="17.25" customHeight="1">
      <c r="A339" s="74"/>
      <c r="B339" s="74"/>
      <c r="C339" s="75"/>
      <c r="D339" s="74"/>
      <c r="E339" s="76"/>
      <c r="F339" s="47" t="str">
        <f t="shared" si="14"/>
        <v/>
      </c>
      <c r="G339" s="47" t="str">
        <f t="shared" si="15"/>
        <v/>
      </c>
    </row>
    <row r="340" spans="1:7" ht="17.25" customHeight="1">
      <c r="A340" s="74"/>
      <c r="B340" s="74"/>
      <c r="C340" s="75"/>
      <c r="D340" s="74"/>
      <c r="E340" s="76"/>
      <c r="F340" s="47" t="str">
        <f t="shared" si="14"/>
        <v/>
      </c>
      <c r="G340" s="47" t="str">
        <f t="shared" si="15"/>
        <v/>
      </c>
    </row>
    <row r="341" spans="1:7" ht="17.25" customHeight="1">
      <c r="A341" s="74"/>
      <c r="B341" s="74"/>
      <c r="C341" s="75"/>
      <c r="D341" s="74"/>
      <c r="E341" s="76"/>
      <c r="F341" s="47" t="str">
        <f t="shared" si="14"/>
        <v/>
      </c>
      <c r="G341" s="47" t="str">
        <f t="shared" si="15"/>
        <v/>
      </c>
    </row>
    <row r="342" spans="1:7" ht="17.25" customHeight="1">
      <c r="A342" s="74"/>
      <c r="B342" s="74"/>
      <c r="C342" s="75"/>
      <c r="D342" s="74"/>
      <c r="E342" s="76"/>
      <c r="F342" s="47" t="str">
        <f t="shared" si="14"/>
        <v/>
      </c>
      <c r="G342" s="47" t="str">
        <f t="shared" si="15"/>
        <v/>
      </c>
    </row>
    <row r="343" spans="1:7" ht="17.25" customHeight="1">
      <c r="A343" s="74"/>
      <c r="B343" s="74"/>
      <c r="C343" s="75"/>
      <c r="D343" s="74"/>
      <c r="E343" s="76"/>
      <c r="F343" s="47" t="str">
        <f t="shared" si="14"/>
        <v/>
      </c>
      <c r="G343" s="47" t="str">
        <f t="shared" si="15"/>
        <v/>
      </c>
    </row>
    <row r="344" spans="1:7" ht="17.25" customHeight="1">
      <c r="A344" s="74"/>
      <c r="B344" s="74"/>
      <c r="C344" s="75"/>
      <c r="D344" s="74"/>
      <c r="E344" s="76"/>
      <c r="F344" s="47" t="str">
        <f t="shared" si="14"/>
        <v/>
      </c>
      <c r="G344" s="47" t="str">
        <f t="shared" si="15"/>
        <v/>
      </c>
    </row>
    <row r="345" spans="1:7" ht="17.25" customHeight="1">
      <c r="A345" s="74"/>
      <c r="B345" s="74"/>
      <c r="C345" s="75"/>
      <c r="D345" s="74"/>
      <c r="E345" s="76"/>
      <c r="F345" s="47" t="str">
        <f t="shared" si="14"/>
        <v/>
      </c>
      <c r="G345" s="47" t="str">
        <f t="shared" si="15"/>
        <v/>
      </c>
    </row>
    <row r="346" spans="1:7" ht="17.25" customHeight="1">
      <c r="A346" s="74"/>
      <c r="B346" s="74"/>
      <c r="C346" s="75"/>
      <c r="D346" s="74"/>
      <c r="E346" s="76"/>
      <c r="F346" s="47" t="str">
        <f t="shared" si="14"/>
        <v/>
      </c>
      <c r="G346" s="47" t="str">
        <f t="shared" si="15"/>
        <v/>
      </c>
    </row>
    <row r="347" spans="1:7" ht="17.25" customHeight="1">
      <c r="A347" s="74"/>
      <c r="B347" s="74"/>
      <c r="C347" s="75"/>
      <c r="D347" s="74"/>
      <c r="E347" s="76"/>
      <c r="F347" s="47" t="str">
        <f t="shared" si="14"/>
        <v/>
      </c>
      <c r="G347" s="47" t="str">
        <f t="shared" si="15"/>
        <v/>
      </c>
    </row>
    <row r="348" spans="1:7" ht="17.25" customHeight="1">
      <c r="A348" s="74"/>
      <c r="B348" s="74"/>
      <c r="C348" s="75"/>
      <c r="D348" s="74"/>
      <c r="E348" s="76"/>
      <c r="F348" s="47" t="str">
        <f t="shared" si="14"/>
        <v/>
      </c>
      <c r="G348" s="47" t="str">
        <f t="shared" si="15"/>
        <v/>
      </c>
    </row>
    <row r="349" spans="1:7" ht="17.25" customHeight="1">
      <c r="A349" s="74"/>
      <c r="B349" s="74"/>
      <c r="C349" s="75"/>
      <c r="D349" s="74"/>
      <c r="E349" s="76"/>
      <c r="F349" s="47" t="str">
        <f t="shared" si="14"/>
        <v/>
      </c>
      <c r="G349" s="47" t="str">
        <f t="shared" si="15"/>
        <v/>
      </c>
    </row>
    <row r="350" spans="1:7" ht="17.25" customHeight="1">
      <c r="A350" s="74"/>
      <c r="B350" s="74"/>
      <c r="C350" s="75"/>
      <c r="D350" s="74"/>
      <c r="E350" s="76"/>
      <c r="F350" s="47" t="str">
        <f t="shared" si="14"/>
        <v/>
      </c>
      <c r="G350" s="47" t="str">
        <f t="shared" si="15"/>
        <v/>
      </c>
    </row>
    <row r="351" spans="1:7" ht="17.25" customHeight="1">
      <c r="A351" s="74"/>
      <c r="B351" s="74"/>
      <c r="C351" s="75"/>
      <c r="D351" s="74"/>
      <c r="E351" s="76"/>
      <c r="F351" s="47" t="str">
        <f t="shared" si="14"/>
        <v/>
      </c>
      <c r="G351" s="47" t="str">
        <f t="shared" si="15"/>
        <v/>
      </c>
    </row>
    <row r="352" spans="1:7" ht="17.25" customHeight="1">
      <c r="A352" s="74"/>
      <c r="B352" s="74"/>
      <c r="C352" s="75"/>
      <c r="D352" s="74"/>
      <c r="E352" s="76"/>
      <c r="F352" s="47" t="str">
        <f t="shared" si="14"/>
        <v/>
      </c>
      <c r="G352" s="47" t="str">
        <f t="shared" si="15"/>
        <v/>
      </c>
    </row>
    <row r="353" spans="1:7" ht="17.25" customHeight="1">
      <c r="A353" s="74"/>
      <c r="B353" s="74"/>
      <c r="C353" s="75"/>
      <c r="D353" s="74"/>
      <c r="E353" s="76"/>
      <c r="F353" s="47" t="str">
        <f t="shared" si="14"/>
        <v/>
      </c>
      <c r="G353" s="47" t="str">
        <f t="shared" si="15"/>
        <v/>
      </c>
    </row>
    <row r="354" spans="1:7" ht="17.25" customHeight="1">
      <c r="A354" s="74"/>
      <c r="B354" s="74"/>
      <c r="C354" s="75"/>
      <c r="D354" s="74"/>
      <c r="E354" s="76"/>
      <c r="F354" s="47" t="str">
        <f t="shared" si="14"/>
        <v/>
      </c>
      <c r="G354" s="47" t="str">
        <f t="shared" si="15"/>
        <v/>
      </c>
    </row>
    <row r="355" spans="1:7" ht="17.25" customHeight="1">
      <c r="A355" s="74"/>
      <c r="B355" s="74"/>
      <c r="C355" s="75"/>
      <c r="D355" s="74"/>
      <c r="E355" s="76"/>
      <c r="F355" s="47" t="str">
        <f t="shared" si="14"/>
        <v/>
      </c>
      <c r="G355" s="47" t="str">
        <f t="shared" si="15"/>
        <v/>
      </c>
    </row>
    <row r="356" spans="1:7" ht="17.25" customHeight="1">
      <c r="A356" s="74"/>
      <c r="B356" s="74"/>
      <c r="C356" s="75"/>
      <c r="D356" s="74"/>
      <c r="E356" s="76"/>
      <c r="F356" s="47" t="str">
        <f t="shared" si="14"/>
        <v/>
      </c>
      <c r="G356" s="47" t="str">
        <f t="shared" si="15"/>
        <v/>
      </c>
    </row>
    <row r="357" spans="1:7" ht="17.25" customHeight="1">
      <c r="A357" s="74"/>
      <c r="B357" s="74"/>
      <c r="C357" s="75"/>
      <c r="D357" s="74"/>
      <c r="E357" s="76"/>
      <c r="F357" s="47" t="str">
        <f t="shared" si="14"/>
        <v/>
      </c>
      <c r="G357" s="47" t="str">
        <f t="shared" si="15"/>
        <v/>
      </c>
    </row>
    <row r="358" spans="1:7" ht="17.25" customHeight="1">
      <c r="A358" s="74"/>
      <c r="B358" s="74"/>
      <c r="C358" s="75"/>
      <c r="D358" s="74"/>
      <c r="E358" s="76"/>
      <c r="F358" s="47" t="str">
        <f t="shared" si="14"/>
        <v/>
      </c>
      <c r="G358" s="47" t="str">
        <f t="shared" si="15"/>
        <v/>
      </c>
    </row>
    <row r="359" spans="1:7" ht="17.25" customHeight="1">
      <c r="A359" s="74"/>
      <c r="B359" s="74"/>
      <c r="C359" s="75"/>
      <c r="D359" s="74"/>
      <c r="E359" s="76"/>
      <c r="F359" s="47" t="str">
        <f t="shared" si="14"/>
        <v/>
      </c>
      <c r="G359" s="47" t="str">
        <f t="shared" si="15"/>
        <v/>
      </c>
    </row>
    <row r="360" spans="1:7" ht="17.25" customHeight="1">
      <c r="A360" s="74"/>
      <c r="B360" s="74"/>
      <c r="C360" s="75"/>
      <c r="D360" s="74"/>
      <c r="E360" s="76"/>
      <c r="F360" s="47" t="str">
        <f t="shared" si="14"/>
        <v/>
      </c>
      <c r="G360" s="47" t="str">
        <f t="shared" si="15"/>
        <v/>
      </c>
    </row>
    <row r="361" spans="1:7" ht="17.25" customHeight="1">
      <c r="A361" s="74"/>
      <c r="B361" s="74"/>
      <c r="C361" s="75"/>
      <c r="D361" s="74"/>
      <c r="E361" s="76"/>
      <c r="F361" s="47" t="str">
        <f t="shared" si="14"/>
        <v/>
      </c>
      <c r="G361" s="47" t="str">
        <f t="shared" si="15"/>
        <v/>
      </c>
    </row>
    <row r="362" spans="1:7" ht="17.25" customHeight="1">
      <c r="A362" s="74"/>
      <c r="B362" s="74"/>
      <c r="C362" s="75"/>
      <c r="D362" s="74"/>
      <c r="E362" s="76"/>
      <c r="F362" s="47" t="str">
        <f t="shared" si="14"/>
        <v/>
      </c>
      <c r="G362" s="47" t="str">
        <f t="shared" si="15"/>
        <v/>
      </c>
    </row>
    <row r="363" spans="1:7" ht="17.25" customHeight="1">
      <c r="A363" s="74"/>
      <c r="B363" s="74"/>
      <c r="C363" s="75"/>
      <c r="D363" s="74"/>
      <c r="E363" s="76"/>
      <c r="F363" s="47" t="str">
        <f t="shared" si="14"/>
        <v/>
      </c>
      <c r="G363" s="47" t="str">
        <f t="shared" si="15"/>
        <v/>
      </c>
    </row>
    <row r="364" spans="1:7" ht="17.25" customHeight="1">
      <c r="A364" s="74"/>
      <c r="B364" s="74"/>
      <c r="C364" s="75"/>
      <c r="D364" s="74"/>
      <c r="E364" s="76"/>
      <c r="F364" s="47" t="str">
        <f t="shared" si="14"/>
        <v/>
      </c>
      <c r="G364" s="47" t="str">
        <f t="shared" si="15"/>
        <v/>
      </c>
    </row>
    <row r="365" spans="1:7" ht="17.25" customHeight="1">
      <c r="A365" s="74"/>
      <c r="B365" s="74"/>
      <c r="C365" s="75"/>
      <c r="D365" s="74"/>
      <c r="E365" s="76"/>
      <c r="F365" s="47" t="str">
        <f t="shared" si="14"/>
        <v/>
      </c>
      <c r="G365" s="47" t="str">
        <f t="shared" si="15"/>
        <v/>
      </c>
    </row>
    <row r="366" spans="1:7" ht="17.25" customHeight="1">
      <c r="A366" s="74"/>
      <c r="B366" s="74"/>
      <c r="C366" s="75"/>
      <c r="D366" s="74"/>
      <c r="E366" s="76"/>
      <c r="F366" s="47" t="str">
        <f t="shared" si="14"/>
        <v/>
      </c>
      <c r="G366" s="47" t="str">
        <f t="shared" si="15"/>
        <v/>
      </c>
    </row>
    <row r="367" spans="1:7" ht="17.25" customHeight="1">
      <c r="A367" s="74"/>
      <c r="B367" s="74"/>
      <c r="C367" s="75"/>
      <c r="D367" s="74"/>
      <c r="E367" s="76"/>
      <c r="F367" s="47" t="str">
        <f t="shared" si="14"/>
        <v/>
      </c>
      <c r="G367" s="47" t="str">
        <f t="shared" si="15"/>
        <v/>
      </c>
    </row>
    <row r="368" spans="1:7" ht="17.25" customHeight="1">
      <c r="A368" s="74"/>
      <c r="B368" s="74"/>
      <c r="C368" s="75"/>
      <c r="D368" s="74"/>
      <c r="E368" s="76"/>
      <c r="F368" s="47" t="str">
        <f t="shared" si="14"/>
        <v/>
      </c>
      <c r="G368" s="47" t="str">
        <f t="shared" si="15"/>
        <v/>
      </c>
    </row>
    <row r="369" spans="1:7" ht="17.25" customHeight="1">
      <c r="A369" s="74"/>
      <c r="B369" s="74"/>
      <c r="C369" s="75"/>
      <c r="D369" s="74"/>
      <c r="E369" s="76"/>
      <c r="F369" s="47" t="str">
        <f t="shared" si="14"/>
        <v/>
      </c>
      <c r="G369" s="47" t="str">
        <f t="shared" si="15"/>
        <v/>
      </c>
    </row>
    <row r="370" spans="1:7" ht="17.25" customHeight="1">
      <c r="A370" s="74"/>
      <c r="B370" s="74"/>
      <c r="C370" s="75"/>
      <c r="D370" s="74"/>
      <c r="E370" s="76"/>
      <c r="F370" s="47" t="str">
        <f t="shared" si="14"/>
        <v/>
      </c>
      <c r="G370" s="47" t="str">
        <f t="shared" si="15"/>
        <v/>
      </c>
    </row>
    <row r="371" spans="1:7" ht="17.25" customHeight="1">
      <c r="A371" s="74"/>
      <c r="B371" s="74"/>
      <c r="C371" s="75"/>
      <c r="D371" s="74"/>
      <c r="E371" s="76"/>
      <c r="F371" s="47" t="str">
        <f t="shared" si="14"/>
        <v/>
      </c>
      <c r="G371" s="47" t="str">
        <f t="shared" si="15"/>
        <v/>
      </c>
    </row>
    <row r="372" spans="1:7" ht="17.25" customHeight="1">
      <c r="A372" s="74"/>
      <c r="B372" s="74"/>
      <c r="C372" s="75"/>
      <c r="D372" s="74"/>
      <c r="E372" s="76"/>
      <c r="F372" s="47" t="str">
        <f t="shared" si="14"/>
        <v/>
      </c>
      <c r="G372" s="47" t="str">
        <f t="shared" si="15"/>
        <v/>
      </c>
    </row>
    <row r="373" spans="1:7" ht="17.25" customHeight="1">
      <c r="A373" s="74"/>
      <c r="B373" s="74"/>
      <c r="C373" s="75"/>
      <c r="D373" s="74"/>
      <c r="E373" s="76"/>
      <c r="F373" s="47" t="str">
        <f t="shared" si="14"/>
        <v/>
      </c>
      <c r="G373" s="47" t="str">
        <f t="shared" si="15"/>
        <v/>
      </c>
    </row>
    <row r="374" spans="1:7" ht="17.25" customHeight="1">
      <c r="A374" s="74"/>
      <c r="B374" s="74"/>
      <c r="C374" s="75"/>
      <c r="D374" s="74"/>
      <c r="E374" s="76"/>
      <c r="F374" s="47" t="str">
        <f t="shared" si="14"/>
        <v/>
      </c>
      <c r="G374" s="47" t="str">
        <f t="shared" si="15"/>
        <v/>
      </c>
    </row>
    <row r="375" spans="1:7" ht="17.25" customHeight="1">
      <c r="A375" s="74"/>
      <c r="B375" s="74"/>
      <c r="C375" s="75"/>
      <c r="D375" s="74"/>
      <c r="E375" s="76"/>
      <c r="F375" s="47" t="str">
        <f t="shared" si="14"/>
        <v/>
      </c>
      <c r="G375" s="47" t="str">
        <f t="shared" si="15"/>
        <v/>
      </c>
    </row>
    <row r="376" spans="1:7" ht="17.25" customHeight="1">
      <c r="A376" s="74"/>
      <c r="B376" s="74"/>
      <c r="C376" s="75"/>
      <c r="D376" s="74"/>
      <c r="E376" s="76"/>
      <c r="F376" s="47" t="str">
        <f t="shared" si="14"/>
        <v/>
      </c>
      <c r="G376" s="47" t="str">
        <f t="shared" si="15"/>
        <v/>
      </c>
    </row>
    <row r="377" spans="1:7" ht="17.25" customHeight="1">
      <c r="A377" s="74"/>
      <c r="B377" s="74"/>
      <c r="C377" s="75"/>
      <c r="D377" s="74"/>
      <c r="E377" s="76"/>
      <c r="F377" s="47" t="str">
        <f t="shared" si="14"/>
        <v/>
      </c>
      <c r="G377" s="47" t="str">
        <f t="shared" si="15"/>
        <v/>
      </c>
    </row>
    <row r="378" spans="1:7" ht="17.25" customHeight="1">
      <c r="A378" s="74"/>
      <c r="B378" s="74"/>
      <c r="C378" s="75"/>
      <c r="D378" s="74"/>
      <c r="E378" s="76"/>
      <c r="F378" s="47" t="str">
        <f t="shared" si="14"/>
        <v/>
      </c>
      <c r="G378" s="47" t="str">
        <f t="shared" si="15"/>
        <v/>
      </c>
    </row>
    <row r="379" spans="1:7" ht="17.25" customHeight="1">
      <c r="A379" s="74"/>
      <c r="B379" s="74"/>
      <c r="C379" s="75"/>
      <c r="D379" s="74"/>
      <c r="E379" s="76"/>
      <c r="F379" s="47" t="str">
        <f t="shared" si="14"/>
        <v/>
      </c>
      <c r="G379" s="47" t="str">
        <f t="shared" si="15"/>
        <v/>
      </c>
    </row>
    <row r="380" spans="1:7" ht="17.25" customHeight="1">
      <c r="A380" s="74"/>
      <c r="B380" s="74"/>
      <c r="C380" s="75"/>
      <c r="D380" s="74"/>
      <c r="E380" s="76"/>
      <c r="F380" s="47" t="str">
        <f t="shared" si="14"/>
        <v/>
      </c>
      <c r="G380" s="47" t="str">
        <f t="shared" si="15"/>
        <v/>
      </c>
    </row>
    <row r="381" spans="1:7" ht="17.25" customHeight="1">
      <c r="A381" s="74"/>
      <c r="B381" s="74"/>
      <c r="C381" s="75"/>
      <c r="D381" s="74"/>
      <c r="E381" s="76"/>
      <c r="F381" s="47" t="str">
        <f t="shared" si="14"/>
        <v/>
      </c>
      <c r="G381" s="47" t="str">
        <f t="shared" si="15"/>
        <v/>
      </c>
    </row>
    <row r="382" spans="1:7" ht="17.25" customHeight="1">
      <c r="A382" s="74"/>
      <c r="B382" s="74"/>
      <c r="C382" s="75"/>
      <c r="D382" s="74"/>
      <c r="E382" s="76"/>
      <c r="F382" s="47" t="str">
        <f t="shared" si="14"/>
        <v/>
      </c>
      <c r="G382" s="47" t="str">
        <f t="shared" si="15"/>
        <v/>
      </c>
    </row>
    <row r="383" spans="1:7" ht="17.25" customHeight="1">
      <c r="A383" s="74"/>
      <c r="B383" s="74"/>
      <c r="C383" s="75"/>
      <c r="D383" s="74"/>
      <c r="E383" s="76"/>
      <c r="F383" s="47" t="str">
        <f t="shared" si="14"/>
        <v/>
      </c>
      <c r="G383" s="47" t="str">
        <f t="shared" si="15"/>
        <v/>
      </c>
    </row>
    <row r="384" spans="1:7" ht="17.25" customHeight="1">
      <c r="A384" s="74"/>
      <c r="B384" s="74"/>
      <c r="C384" s="75"/>
      <c r="D384" s="74"/>
      <c r="E384" s="76"/>
      <c r="F384" s="47" t="str">
        <f t="shared" si="14"/>
        <v/>
      </c>
      <c r="G384" s="47" t="str">
        <f t="shared" si="15"/>
        <v/>
      </c>
    </row>
    <row r="385" spans="1:7" ht="17.25" customHeight="1">
      <c r="A385" s="74"/>
      <c r="B385" s="74"/>
      <c r="C385" s="75"/>
      <c r="D385" s="74"/>
      <c r="E385" s="76"/>
      <c r="F385" s="47" t="str">
        <f t="shared" si="14"/>
        <v/>
      </c>
      <c r="G385" s="47" t="str">
        <f t="shared" si="15"/>
        <v/>
      </c>
    </row>
    <row r="386" spans="1:7" ht="17.25" customHeight="1">
      <c r="A386" s="74"/>
      <c r="B386" s="74"/>
      <c r="C386" s="75"/>
      <c r="D386" s="74"/>
      <c r="E386" s="76"/>
      <c r="F386" s="47" t="str">
        <f t="shared" si="14"/>
        <v/>
      </c>
      <c r="G386" s="47" t="str">
        <f t="shared" si="15"/>
        <v/>
      </c>
    </row>
    <row r="387" spans="1:7" ht="17.25" customHeight="1">
      <c r="A387" s="74"/>
      <c r="B387" s="74"/>
      <c r="C387" s="75"/>
      <c r="D387" s="74"/>
      <c r="E387" s="76"/>
      <c r="F387" s="47" t="str">
        <f t="shared" si="14"/>
        <v/>
      </c>
      <c r="G387" s="47" t="str">
        <f t="shared" si="15"/>
        <v/>
      </c>
    </row>
    <row r="388" spans="1:7" ht="17.25" customHeight="1">
      <c r="A388" s="74"/>
      <c r="B388" s="74"/>
      <c r="C388" s="75"/>
      <c r="D388" s="74"/>
      <c r="E388" s="76"/>
      <c r="F388" s="47" t="str">
        <f t="shared" si="14"/>
        <v/>
      </c>
      <c r="G388" s="47" t="str">
        <f t="shared" si="15"/>
        <v/>
      </c>
    </row>
    <row r="389" spans="1:7" ht="17.25" customHeight="1">
      <c r="A389" s="74"/>
      <c r="B389" s="74"/>
      <c r="C389" s="75"/>
      <c r="D389" s="74"/>
      <c r="E389" s="76"/>
      <c r="F389" s="47" t="str">
        <f t="shared" si="14"/>
        <v/>
      </c>
      <c r="G389" s="47" t="str">
        <f t="shared" si="15"/>
        <v/>
      </c>
    </row>
    <row r="390" spans="1:7" ht="17.25" customHeight="1">
      <c r="A390" s="74"/>
      <c r="B390" s="74"/>
      <c r="C390" s="75"/>
      <c r="D390" s="74"/>
      <c r="E390" s="76"/>
      <c r="F390" s="47" t="str">
        <f t="shared" si="14"/>
        <v/>
      </c>
      <c r="G390" s="47" t="str">
        <f t="shared" si="15"/>
        <v/>
      </c>
    </row>
    <row r="391" spans="1:7" ht="17.25" customHeight="1">
      <c r="A391" s="74"/>
      <c r="B391" s="74"/>
      <c r="C391" s="75"/>
      <c r="D391" s="74"/>
      <c r="E391" s="76"/>
      <c r="F391" s="47" t="str">
        <f t="shared" si="14"/>
        <v/>
      </c>
      <c r="G391" s="47" t="str">
        <f t="shared" si="15"/>
        <v/>
      </c>
    </row>
    <row r="392" spans="1:7" ht="17.25" customHeight="1">
      <c r="A392" s="74"/>
      <c r="B392" s="74"/>
      <c r="C392" s="75"/>
      <c r="D392" s="74"/>
      <c r="E392" s="76"/>
      <c r="F392" s="47" t="str">
        <f t="shared" si="14"/>
        <v/>
      </c>
      <c r="G392" s="47" t="str">
        <f t="shared" si="15"/>
        <v/>
      </c>
    </row>
    <row r="393" spans="1:7" ht="17.25" customHeight="1">
      <c r="A393" s="74"/>
      <c r="B393" s="74"/>
      <c r="C393" s="75"/>
      <c r="D393" s="74"/>
      <c r="E393" s="76"/>
      <c r="F393" s="47" t="str">
        <f t="shared" si="14"/>
        <v/>
      </c>
      <c r="G393" s="47" t="str">
        <f t="shared" si="15"/>
        <v/>
      </c>
    </row>
    <row r="394" spans="1:7" ht="17.25" customHeight="1">
      <c r="A394" s="74"/>
      <c r="B394" s="74"/>
      <c r="C394" s="75"/>
      <c r="D394" s="74"/>
      <c r="E394" s="76"/>
      <c r="F394" s="47" t="str">
        <f t="shared" si="14"/>
        <v/>
      </c>
      <c r="G394" s="47" t="str">
        <f t="shared" si="15"/>
        <v/>
      </c>
    </row>
    <row r="395" spans="1:7" ht="17.25" customHeight="1">
      <c r="A395" s="74"/>
      <c r="B395" s="74"/>
      <c r="C395" s="75"/>
      <c r="D395" s="74"/>
      <c r="E395" s="76"/>
      <c r="F395" s="47" t="str">
        <f t="shared" si="14"/>
        <v/>
      </c>
      <c r="G395" s="47" t="str">
        <f t="shared" si="15"/>
        <v/>
      </c>
    </row>
    <row r="396" spans="1:7" ht="17.25" customHeight="1">
      <c r="A396" s="74"/>
      <c r="B396" s="74"/>
      <c r="C396" s="75"/>
      <c r="D396" s="74"/>
      <c r="E396" s="76"/>
      <c r="F396" s="47" t="str">
        <f t="shared" si="14"/>
        <v/>
      </c>
      <c r="G396" s="47" t="str">
        <f t="shared" si="15"/>
        <v/>
      </c>
    </row>
    <row r="397" spans="1:7" ht="17.25" customHeight="1">
      <c r="A397" s="74"/>
      <c r="B397" s="74"/>
      <c r="C397" s="75"/>
      <c r="D397" s="74"/>
      <c r="E397" s="76"/>
      <c r="F397" s="47" t="str">
        <f t="shared" si="14"/>
        <v/>
      </c>
      <c r="G397" s="47" t="str">
        <f t="shared" si="15"/>
        <v/>
      </c>
    </row>
    <row r="398" spans="1:7" ht="17.25" customHeight="1">
      <c r="A398" s="74"/>
      <c r="B398" s="74"/>
      <c r="C398" s="75"/>
      <c r="D398" s="74"/>
      <c r="E398" s="76"/>
      <c r="F398" s="47" t="str">
        <f t="shared" si="14"/>
        <v/>
      </c>
      <c r="G398" s="47" t="str">
        <f t="shared" si="15"/>
        <v/>
      </c>
    </row>
    <row r="399" spans="1:7" ht="17.25" customHeight="1">
      <c r="A399" s="74"/>
      <c r="B399" s="74"/>
      <c r="C399" s="75"/>
      <c r="D399" s="74"/>
      <c r="E399" s="76"/>
      <c r="F399" s="47" t="str">
        <f t="shared" si="14"/>
        <v/>
      </c>
      <c r="G399" s="47" t="str">
        <f t="shared" si="15"/>
        <v/>
      </c>
    </row>
    <row r="400" spans="1:7" ht="17.25" customHeight="1">
      <c r="A400" s="74"/>
      <c r="B400" s="74"/>
      <c r="C400" s="75"/>
      <c r="D400" s="74"/>
      <c r="E400" s="76"/>
      <c r="F400" s="47" t="str">
        <f t="shared" si="14"/>
        <v/>
      </c>
      <c r="G400" s="47" t="str">
        <f t="shared" si="15"/>
        <v/>
      </c>
    </row>
  </sheetData>
  <mergeCells count="11">
    <mergeCell ref="G5:G6"/>
    <mergeCell ref="C4:D4"/>
    <mergeCell ref="B7:C7"/>
    <mergeCell ref="D7:E7"/>
    <mergeCell ref="A4:A7"/>
    <mergeCell ref="F5:F6"/>
    <mergeCell ref="A1:G1"/>
    <mergeCell ref="A2:B2"/>
    <mergeCell ref="C2:E2"/>
    <mergeCell ref="A3:B3"/>
    <mergeCell ref="C3:E3"/>
  </mergeCells>
  <conditionalFormatting sqref="B5">
    <cfRule type="expression" dxfId="12" priority="5">
      <formula>$C$5&gt;0</formula>
    </cfRule>
    <cfRule type="expression" dxfId="11" priority="10">
      <formula>$C$5&gt;0</formula>
    </cfRule>
  </conditionalFormatting>
  <conditionalFormatting sqref="D5">
    <cfRule type="expression" dxfId="10" priority="7">
      <formula>$E$5&gt;0</formula>
    </cfRule>
    <cfRule type="expression" dxfId="9" priority="12">
      <formula>$E$5&gt;0</formula>
    </cfRule>
  </conditionalFormatting>
  <conditionalFormatting sqref="B6">
    <cfRule type="expression" dxfId="8" priority="4">
      <formula>$C$6&gt;0</formula>
    </cfRule>
    <cfRule type="expression" dxfId="7" priority="9">
      <formula>$C$6&gt;0</formula>
    </cfRule>
  </conditionalFormatting>
  <conditionalFormatting sqref="D6">
    <cfRule type="expression" dxfId="6" priority="6">
      <formula>$E$6&gt;0</formula>
    </cfRule>
    <cfRule type="expression" dxfId="5" priority="11">
      <formula>$E$6&gt;0</formula>
    </cfRule>
  </conditionalFormatting>
  <conditionalFormatting sqref="F9:G400">
    <cfRule type="cellIs" dxfId="4" priority="8" stopIfTrue="1" operator="equal">
      <formula>0</formula>
    </cfRule>
    <cfRule type="cellIs" dxfId="3" priority="13" stopIfTrue="1" operator="equal">
      <formula>0</formula>
    </cfRule>
  </conditionalFormatting>
  <conditionalFormatting sqref="F9:G40">
    <cfRule type="cellIs" dxfId="2" priority="3" stopIfTrue="1" operator="equal">
      <formula>0</formula>
    </cfRule>
  </conditionalFormatting>
  <conditionalFormatting sqref="F41:G45">
    <cfRule type="cellIs" dxfId="1" priority="2" stopIfTrue="1" operator="equal">
      <formula>0</formula>
    </cfRule>
  </conditionalFormatting>
  <conditionalFormatting sqref="F46:G79">
    <cfRule type="cellIs" dxfId="0" priority="1" stopIfTrue="1" operator="equal">
      <formula>0</formula>
    </cfRule>
  </conditionalFormatting>
  <pageMargins left="0.45" right="0.14000000000000001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O28"/>
  <sheetViews>
    <sheetView showGridLines="0" workbookViewId="0">
      <selection activeCell="D7" sqref="D7:E7"/>
    </sheetView>
  </sheetViews>
  <sheetFormatPr defaultColWidth="9" defaultRowHeight="55.5" customHeight="1"/>
  <cols>
    <col min="1" max="1" width="2.1796875" customWidth="1"/>
    <col min="2" max="2" width="4" style="1" customWidth="1"/>
    <col min="3" max="3" width="16.54296875" customWidth="1"/>
    <col min="4" max="4" width="17.81640625" customWidth="1"/>
    <col min="5" max="5" width="9.54296875" customWidth="1"/>
    <col min="6" max="6" width="18.7265625" customWidth="1"/>
    <col min="7" max="7" width="8.54296875" customWidth="1"/>
    <col min="8" max="8" width="8.26953125" customWidth="1"/>
    <col min="10" max="10" width="9.81640625" customWidth="1"/>
    <col min="11" max="12" width="8.81640625" customWidth="1"/>
    <col min="14" max="14" width="15.453125" customWidth="1"/>
    <col min="15" max="15" width="18.26953125" customWidth="1"/>
  </cols>
  <sheetData>
    <row r="1" spans="2:15" ht="55.5" customHeight="1">
      <c r="B1" s="2">
        <f>N2</f>
        <v>15</v>
      </c>
      <c r="C1" s="3" t="s">
        <v>256</v>
      </c>
      <c r="K1" s="246" t="s">
        <v>257</v>
      </c>
      <c r="L1" s="246"/>
      <c r="M1" s="12"/>
      <c r="N1" s="13" t="s">
        <v>110</v>
      </c>
      <c r="O1" s="14"/>
    </row>
    <row r="2" spans="2:15" ht="27" customHeight="1">
      <c r="B2" s="2">
        <f>B1+1</f>
        <v>16</v>
      </c>
      <c r="C2" s="4" t="s">
        <v>111</v>
      </c>
      <c r="D2" s="5" t="str">
        <f>O3</f>
        <v>CMT-PK-0914-001</v>
      </c>
      <c r="E2" s="215" t="s">
        <v>112</v>
      </c>
      <c r="F2" s="215"/>
      <c r="G2" s="215"/>
      <c r="H2" s="215"/>
      <c r="I2" s="215"/>
      <c r="J2" s="215"/>
      <c r="K2" s="251">
        <v>50</v>
      </c>
      <c r="L2" s="251"/>
      <c r="N2" s="15">
        <v>15</v>
      </c>
    </row>
    <row r="3" spans="2:15" ht="18" customHeight="1">
      <c r="C3" s="215" t="s">
        <v>258</v>
      </c>
      <c r="D3" s="215"/>
      <c r="E3" s="215"/>
      <c r="F3" s="215"/>
      <c r="G3" s="215"/>
      <c r="H3" s="215"/>
      <c r="I3" s="215"/>
      <c r="J3" s="215"/>
      <c r="K3" s="251"/>
      <c r="L3" s="251"/>
      <c r="N3" s="16" t="s">
        <v>114</v>
      </c>
      <c r="O3" s="16" t="str">
        <f>LOOKUP($K$2,'NORTH Wells'!A9:G400,'NORTH Wells'!B9:B400)</f>
        <v>CMT-PK-0914-001</v>
      </c>
    </row>
    <row r="4" spans="2:15" ht="18" customHeight="1">
      <c r="C4" s="215" t="s">
        <v>259</v>
      </c>
      <c r="D4" s="215"/>
      <c r="E4" s="215"/>
      <c r="F4" s="215"/>
      <c r="G4" s="215"/>
      <c r="H4" s="247" t="str">
        <f>O4</f>
        <v>MELA-4</v>
      </c>
      <c r="I4" s="247"/>
      <c r="J4" s="247"/>
      <c r="K4" s="251"/>
      <c r="L4" s="251"/>
      <c r="N4" s="16" t="s">
        <v>116</v>
      </c>
      <c r="O4" s="16" t="str">
        <f>LOOKUP($K$2,'NORTH Wells'!A9:G400,'NORTH Wells'!D9:D400)</f>
        <v>MELA-4</v>
      </c>
    </row>
    <row r="5" spans="2:15" ht="31.5" customHeight="1">
      <c r="B5" s="2">
        <f>B2+1</f>
        <v>17</v>
      </c>
      <c r="C5" s="255" t="s">
        <v>260</v>
      </c>
      <c r="D5" s="255"/>
      <c r="E5" s="255"/>
      <c r="F5" s="255"/>
      <c r="G5" s="255"/>
      <c r="H5" s="255"/>
      <c r="I5" s="255"/>
      <c r="J5" s="255"/>
      <c r="N5" s="16" t="s">
        <v>261</v>
      </c>
      <c r="O5" s="17">
        <f>LOOKUP($K$2,'NORTH Wells'!A9:G400,'NORTH Wells'!E9:E400)</f>
        <v>18342.5</v>
      </c>
    </row>
    <row r="6" spans="2:15" ht="26.25" customHeight="1">
      <c r="C6" s="8">
        <f>O5</f>
        <v>18342.5</v>
      </c>
      <c r="D6" s="256" t="str">
        <f>WordNum(C6)</f>
        <v>Eighteen thousand Three hundred and Forty Two point Five</v>
      </c>
      <c r="E6" s="257"/>
      <c r="F6" s="257"/>
      <c r="G6" s="257"/>
      <c r="H6" s="257"/>
      <c r="I6" s="257"/>
      <c r="J6" s="257"/>
      <c r="K6" s="249" t="s">
        <v>262</v>
      </c>
      <c r="L6" s="249"/>
      <c r="N6" s="16"/>
      <c r="O6" s="16"/>
    </row>
    <row r="7" spans="2:15" ht="31.5" customHeight="1">
      <c r="B7" s="2">
        <f>B5+1</f>
        <v>18</v>
      </c>
      <c r="C7" s="4" t="s">
        <v>263</v>
      </c>
      <c r="K7" s="250"/>
      <c r="L7" s="250"/>
      <c r="N7" s="18"/>
      <c r="O7" s="18"/>
    </row>
    <row r="8" spans="2:15" ht="23.25" customHeight="1">
      <c r="C8" s="9"/>
      <c r="D8" s="245" t="s">
        <v>264</v>
      </c>
      <c r="E8" s="245"/>
      <c r="F8" s="245"/>
      <c r="G8" s="245"/>
      <c r="H8" s="245"/>
      <c r="I8" s="245"/>
      <c r="J8" s="19">
        <f>IF(K8="","",K8)</f>
        <v>1</v>
      </c>
      <c r="K8" s="244">
        <v>1</v>
      </c>
      <c r="L8" s="244"/>
    </row>
    <row r="9" spans="2:15" ht="23.25" customHeight="1">
      <c r="C9" s="9"/>
      <c r="D9" s="245" t="s">
        <v>265</v>
      </c>
      <c r="E9" s="245"/>
      <c r="F9" s="245"/>
      <c r="G9" s="245"/>
      <c r="H9" s="245"/>
      <c r="I9" s="245"/>
      <c r="J9" s="19" t="str">
        <f t="shared" ref="J9:J11" si="0">IF(K9="","",K9)</f>
        <v>2 &amp; 3</v>
      </c>
      <c r="K9" s="244" t="s">
        <v>120</v>
      </c>
      <c r="L9" s="244"/>
    </row>
    <row r="10" spans="2:15" ht="23.25" customHeight="1">
      <c r="C10" s="9"/>
      <c r="D10" s="245" t="s">
        <v>266</v>
      </c>
      <c r="E10" s="245"/>
      <c r="F10" s="245"/>
      <c r="G10" s="245"/>
      <c r="H10" s="245"/>
      <c r="I10" s="245"/>
      <c r="J10" s="19" t="str">
        <f t="shared" si="0"/>
        <v>4 &amp; 5</v>
      </c>
      <c r="K10" s="244" t="s">
        <v>267</v>
      </c>
      <c r="L10" s="244"/>
    </row>
    <row r="11" spans="2:15" ht="23.25" customHeight="1">
      <c r="C11" s="9"/>
      <c r="D11" s="245" t="s">
        <v>268</v>
      </c>
      <c r="E11" s="245"/>
      <c r="F11" s="245"/>
      <c r="G11" s="245"/>
      <c r="H11" s="245"/>
      <c r="I11" s="245"/>
      <c r="J11" s="19" t="str">
        <f t="shared" si="0"/>
        <v/>
      </c>
      <c r="K11" s="244"/>
      <c r="L11" s="244"/>
    </row>
    <row r="12" spans="2:15" ht="28.5" customHeight="1">
      <c r="B12" s="2">
        <f>B7+1</f>
        <v>19</v>
      </c>
      <c r="C12" s="215" t="s">
        <v>269</v>
      </c>
      <c r="D12" s="215"/>
      <c r="E12" s="215"/>
      <c r="F12" s="215"/>
      <c r="G12" s="215"/>
      <c r="H12" s="215"/>
      <c r="I12" s="215"/>
      <c r="J12" s="215"/>
      <c r="K12" s="4"/>
    </row>
    <row r="13" spans="2:15" ht="21.75" customHeight="1"/>
    <row r="14" spans="2:15" ht="21.75" customHeight="1"/>
    <row r="15" spans="2:15" ht="18" customHeight="1">
      <c r="F15" s="252" t="s">
        <v>270</v>
      </c>
      <c r="G15" s="252"/>
      <c r="H15" s="252"/>
      <c r="I15" s="252"/>
      <c r="J15" s="252"/>
      <c r="K15" s="4"/>
    </row>
    <row r="16" spans="2:15" ht="18" customHeight="1">
      <c r="F16" s="253" t="s">
        <v>271</v>
      </c>
      <c r="G16" s="253"/>
      <c r="H16" s="253"/>
      <c r="I16" s="253"/>
      <c r="J16" s="253"/>
      <c r="K16" s="4"/>
    </row>
    <row r="17" spans="2:11" ht="18" customHeight="1">
      <c r="F17" s="254" t="s">
        <v>272</v>
      </c>
      <c r="G17" s="254"/>
      <c r="H17" s="254"/>
      <c r="I17" s="254"/>
      <c r="J17" s="254"/>
      <c r="K17" s="4"/>
    </row>
    <row r="18" spans="2:11" ht="18" customHeight="1"/>
    <row r="19" spans="2:11" ht="27" customHeight="1">
      <c r="B19" s="2">
        <f>B12+1</f>
        <v>20</v>
      </c>
      <c r="C19" s="248" t="s">
        <v>273</v>
      </c>
      <c r="D19" s="248"/>
    </row>
    <row r="20" spans="2:11" ht="27" customHeight="1">
      <c r="C20" s="10"/>
    </row>
    <row r="21" spans="2:11" ht="27" customHeight="1">
      <c r="C21" s="10"/>
    </row>
    <row r="22" spans="2:11" ht="27" customHeight="1">
      <c r="C22" s="10"/>
    </row>
    <row r="23" spans="2:11" ht="27" customHeight="1">
      <c r="B23" s="2">
        <f>B19+1</f>
        <v>21</v>
      </c>
      <c r="C23" s="248" t="s">
        <v>274</v>
      </c>
      <c r="D23" s="248"/>
    </row>
    <row r="24" spans="2:11" ht="27" customHeight="1"/>
    <row r="25" spans="2:11" ht="27" customHeight="1"/>
    <row r="26" spans="2:11" ht="27" customHeight="1">
      <c r="B26" s="11">
        <f>B23+1</f>
        <v>22</v>
      </c>
      <c r="C26" s="248" t="s">
        <v>275</v>
      </c>
      <c r="D26" s="248"/>
    </row>
    <row r="27" spans="2:11" ht="27" customHeight="1"/>
    <row r="28" spans="2:11" ht="27" customHeight="1"/>
  </sheetData>
  <mergeCells count="24">
    <mergeCell ref="C26:D26"/>
    <mergeCell ref="K6:L7"/>
    <mergeCell ref="K2:L4"/>
    <mergeCell ref="F15:J15"/>
    <mergeCell ref="F16:J16"/>
    <mergeCell ref="F17:J17"/>
    <mergeCell ref="C19:D19"/>
    <mergeCell ref="C23:D23"/>
    <mergeCell ref="D10:I10"/>
    <mergeCell ref="K10:L10"/>
    <mergeCell ref="D11:I11"/>
    <mergeCell ref="K11:L11"/>
    <mergeCell ref="C12:J12"/>
    <mergeCell ref="C5:J5"/>
    <mergeCell ref="D6:J6"/>
    <mergeCell ref="D8:I8"/>
    <mergeCell ref="K8:L8"/>
    <mergeCell ref="D9:I9"/>
    <mergeCell ref="K9:L9"/>
    <mergeCell ref="K1:L1"/>
    <mergeCell ref="E2:J2"/>
    <mergeCell ref="C3:J3"/>
    <mergeCell ref="C4:G4"/>
    <mergeCell ref="H4:J4"/>
  </mergeCells>
  <pageMargins left="1.03" right="0.27" top="0.75" bottom="0.75" header="0.3" footer="0.3"/>
  <pageSetup scale="9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2 (6)</vt:lpstr>
      <vt:lpstr>2 (4)</vt:lpstr>
      <vt:lpstr>SOUTH wells</vt:lpstr>
      <vt:lpstr>Covering Letter  South </vt:lpstr>
      <vt:lpstr>NORTH Wells</vt:lpstr>
      <vt:lpstr>COVERING LETTER NORTH </vt:lpstr>
      <vt:lpstr>'Covering Letter  South '!Print_Area</vt:lpstr>
      <vt:lpstr>'COVERING LETTER NORTH '!Print_Area</vt:lpstr>
      <vt:lpstr>'NORTH Wells'!Print_Area</vt:lpstr>
      <vt:lpstr>'SOUTH wells'!Print_Area</vt:lpstr>
      <vt:lpstr>'NORTH Wells'!Print_Titles</vt:lpstr>
      <vt:lpstr>'SOUTH wells'!Print_Titles</vt:lpstr>
    </vt:vector>
  </TitlesOfParts>
  <Company>OGDCL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well-fazalrahim</dc:creator>
  <cp:lastModifiedBy>Fazal Rahim/Chief Mud Engineer/PetroServ/OGDCL</cp:lastModifiedBy>
  <cp:lastPrinted>2026-07-16T08:50:37Z</cp:lastPrinted>
  <dcterms:created xsi:type="dcterms:W3CDTF">2010-02-11T11:28:00Z</dcterms:created>
  <dcterms:modified xsi:type="dcterms:W3CDTF">2026-08-16T11:00:21Z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B30145173096455FBACF5D549E6A29B8_12</vt:lpwstr>
  </property>
  <property fmtid="{D5CDD505-2E9C-101B-9397-08002B2CF9AE}" pid="3" name="KSOProductBuildVer">
    <vt:lpwstr>1033-12.2.0.20795</vt:lpwstr>
  </property>
</Properties>
</file>